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ice Targets" sheetId="2" state="visible" r:id="rId2"/>
    <sheet name="Tickers" sheetId="3" state="visible" r:id="rId3"/>
  </sheets>
  <definedNames>
    <definedName name="_xlnm._FilterDatabase" localSheetId="1" hidden="1">'Price Targets'!$A$1:$T$120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Targets'!A2:A120)</f>
        <v/>
      </c>
    </row>
    <row r="5">
      <c r="A5" s="3" t="inlineStr">
        <is>
          <t>Tickers with live data</t>
        </is>
      </c>
      <c r="B5" s="4">
        <f>COUNT('Price Targets'!F2:F120)</f>
        <v/>
      </c>
    </row>
    <row r="6">
      <c r="A6" s="3" t="inlineStr">
        <is>
          <t>Median upside to avg target</t>
        </is>
      </c>
      <c r="B6" s="5">
        <f>MEDIAN('Price Targets'!H2:H120)</f>
        <v/>
      </c>
    </row>
    <row r="7">
      <c r="A7" s="3" t="inlineStr">
        <is>
          <t>Average dividend yield (payers)</t>
        </is>
      </c>
      <c r="B7" s="6">
        <f>AVERAGEIF('Price Targets'!O2:O120,"&gt;0")</f>
        <v/>
      </c>
    </row>
    <row r="8">
      <c r="A8" s="3" t="inlineStr">
        <is>
          <t>Companies reporting in next 7 days</t>
        </is>
      </c>
      <c r="B8" s="4">
        <f>COUNTIFS('Price Targets'!Q2:Q120,"&gt;="&amp;TODAY(),'Price Targets'!Q2:Q120,"&lt;="&amp;TODAY()+7)</f>
        <v/>
      </c>
    </row>
    <row r="9">
      <c r="A9" s="3" t="inlineStr">
        <is>
          <t>Largest upside to avg target</t>
        </is>
      </c>
      <c r="B9" s="5">
        <f>MAX('Price Targets'!H2:H120)</f>
        <v/>
      </c>
    </row>
    <row r="10">
      <c r="A10" s="3" t="inlineStr">
        <is>
          <t>→ ticker</t>
        </is>
      </c>
      <c r="B10" s="7">
        <f>INDEX('Price Targets'!A2:A120,MATCH(MAX('Price Targets'!H2:H120),'Price Targets'!H2:H120,0))</f>
        <v/>
      </c>
    </row>
    <row r="11">
      <c r="A11" s="3" t="inlineStr">
        <is>
          <t>Smallest upside / largest downside</t>
        </is>
      </c>
      <c r="B11" s="5">
        <f>MIN('Price Targets'!H2:H120)</f>
        <v/>
      </c>
    </row>
    <row r="12">
      <c r="A12" s="3" t="inlineStr">
        <is>
          <t>→ ticker</t>
        </is>
      </c>
      <c r="B12" s="7">
        <f>INDEX('Price Targets'!A2:A120,MATCH(MIN('Price Targets'!H2:H120),'Price Targets'!H2:H120,0))</f>
        <v/>
      </c>
    </row>
    <row r="13">
      <c r="A13" s="3" t="inlineStr">
        <is>
          <t>Combined market cap ($T)</t>
        </is>
      </c>
      <c r="B13" s="8">
        <f>SUM('Price Targets'!E2:E120)/1000</f>
        <v/>
      </c>
    </row>
    <row r="15">
      <c r="A15" s="9" t="inlineStr">
        <is>
          <t>Data as of: 2026-08-12 17:41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5422.48</v>
      </c>
      <c r="F2" s="13" t="n">
        <v>223.88</v>
      </c>
      <c r="G2" s="13" t="n">
        <v>302.82758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500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46177</v>
      </c>
      <c r="Q2" s="18" t="n">
        <v>46260</v>
      </c>
      <c r="R2" s="16" t="n">
        <v>6.52</v>
      </c>
      <c r="S2" s="19">
        <f>IF(AND(ISNUMBER(F2),ISNUMBER(R2),R2&gt;0),F2/R2,"")</f>
        <v/>
      </c>
      <c r="T2" s="18" t="n">
        <v>46246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4405.91</v>
      </c>
      <c r="F3" s="22" t="n">
        <v>301.89</v>
      </c>
      <c r="G3" s="22" t="n">
        <v>322.2844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41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8.720000000000001</v>
      </c>
      <c r="S3" s="28">
        <f>IF(AND(ISNUMBER(F3),ISNUMBER(R3),R3&gt;0),F3/R3,"")</f>
        <v/>
      </c>
      <c r="T3" s="27" t="n">
        <v>46246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4183.38</v>
      </c>
      <c r="F4" s="13" t="n">
        <v>342.06</v>
      </c>
      <c r="G4" s="13" t="n">
        <v>428.04056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55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19.94</v>
      </c>
      <c r="S4" s="19">
        <f>IF(AND(ISNUMBER(F4),ISNUMBER(R4),R4&gt;0),F4/R4,"")</f>
        <v/>
      </c>
      <c r="T4" s="18" t="n">
        <v>46246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3663.99</v>
      </c>
      <c r="F5" s="22" t="n">
        <v>493.43</v>
      </c>
      <c r="G5" s="22" t="n">
        <v>567.1998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17.94</v>
      </c>
      <c r="S5" s="28">
        <f>IF(AND(ISNUMBER(F5),ISNUMBER(R5),R5&gt;0),F5/R5,"")</f>
        <v/>
      </c>
      <c r="T5" s="27" t="n">
        <v>46246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2897.1</v>
      </c>
      <c r="F6" s="13" t="n">
        <v>268.59</v>
      </c>
      <c r="G6" s="13" t="n">
        <v>325.19492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400</v>
      </c>
      <c r="L6" s="14">
        <f>IF(AND(ISNUMBER(F6),ISNUMBER(K6),F6&gt;0),K6/F6-1,"")</f>
        <v/>
      </c>
      <c r="M6" s="15" t="n">
        <v>59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12.44</v>
      </c>
      <c r="S6" s="19">
        <f>IF(AND(ISNUMBER(F6),ISNUMBER(R6),R6&gt;0),F6/R6,"")</f>
        <v/>
      </c>
      <c r="T6" s="18" t="n">
        <v>46246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2229.48</v>
      </c>
      <c r="F7" s="22" t="n">
        <v>429.87</v>
      </c>
      <c r="G7" s="22" t="n">
        <v>547.09375</v>
      </c>
      <c r="H7" s="23">
        <f>IF(AND(ISNUMBER(F7),ISNUMBER(G7),F7&gt;0),G7/F7-1,"")</f>
        <v/>
      </c>
      <c r="I7" s="22" t="n">
        <v>431.5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18</v>
      </c>
      <c r="N7" s="25" t="n">
        <v>3.79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13.25</v>
      </c>
      <c r="S7" s="28">
        <f>IF(AND(ISNUMBER(F7),ISNUMBER(R7),R7&gt;0),F7/R7,"")</f>
        <v/>
      </c>
      <c r="T7" s="27" t="n">
        <v>46246</v>
      </c>
    </row>
    <row r="8">
      <c r="A8" s="11" t="inlineStr">
        <is>
          <t>AVGO</t>
        </is>
      </c>
      <c r="B8" s="11" t="inlineStr">
        <is>
          <t>Broadcom Inc.</t>
        </is>
      </c>
      <c r="C8" s="11" t="inlineStr">
        <is>
          <t>Semiconductors</t>
        </is>
      </c>
      <c r="D8" s="11" t="inlineStr">
        <is>
          <t>United States</t>
        </is>
      </c>
      <c r="E8" s="12" t="n">
        <v>1993.83</v>
      </c>
      <c r="F8" s="13" t="n">
        <v>419.08</v>
      </c>
      <c r="G8" s="13" t="n">
        <v>527.88446</v>
      </c>
      <c r="H8" s="14">
        <f>IF(AND(ISNUMBER(F8),ISNUMBER(G8),F8&gt;0),G8/F8-1,"")</f>
        <v/>
      </c>
      <c r="I8" s="13" t="n">
        <v>215.88</v>
      </c>
      <c r="J8" s="14">
        <f>IF(AND(ISNUMBER(F8),ISNUMBER(I8),F8&gt;0),I8/F8-1,"")</f>
        <v/>
      </c>
      <c r="K8" s="13" t="n">
        <v>675</v>
      </c>
      <c r="L8" s="14">
        <f>IF(AND(ISNUMBER(F8),ISNUMBER(K8),F8&gt;0),K8/F8-1,"")</f>
        <v/>
      </c>
      <c r="M8" s="15" t="n">
        <v>45</v>
      </c>
      <c r="N8" s="16" t="n">
        <v>2.6</v>
      </c>
      <c r="O8" s="17">
        <f>IF(AND(ISNUMBER(F8),ISNUMBER(N8),F8&gt;0),N8/F8,"")</f>
        <v/>
      </c>
      <c r="P8" s="18" t="n">
        <v>46195</v>
      </c>
      <c r="Q8" s="18" t="n">
        <v>46267</v>
      </c>
      <c r="R8" s="16" t="n">
        <v>5.99</v>
      </c>
      <c r="S8" s="19">
        <f>IF(AND(ISNUMBER(F8),ISNUMBER(R8),R8&gt;0),F8/R8,"")</f>
        <v/>
      </c>
      <c r="T8" s="18" t="n">
        <v>46246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1476.13</v>
      </c>
      <c r="F9" s="22" t="n">
        <v>579.4400000000001</v>
      </c>
      <c r="G9" s="22" t="n">
        <v>754.14246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1000</v>
      </c>
      <c r="L9" s="23">
        <f>IF(AND(ISNUMBER(F9),ISNUMBER(K9),F9&gt;0),K9/F9-1,"")</f>
        <v/>
      </c>
      <c r="M9" s="24" t="n">
        <v>57</v>
      </c>
      <c r="N9" s="25" t="n">
        <v>2.1</v>
      </c>
      <c r="O9" s="26">
        <f>IF(AND(ISNUMBER(F9),ISNUMBER(N9),F9&gt;0),N9/F9,"")</f>
        <v/>
      </c>
      <c r="P9" s="27" t="n">
        <v>46188</v>
      </c>
      <c r="Q9" s="27" t="n">
        <v>46323</v>
      </c>
      <c r="R9" s="25" t="n">
        <v>26.54</v>
      </c>
      <c r="S9" s="28">
        <f>IF(AND(ISNUMBER(F9),ISNUMBER(R9),R9&gt;0),F9/R9,"")</f>
        <v/>
      </c>
      <c r="T9" s="27" t="n">
        <v>46246</v>
      </c>
    </row>
    <row r="10">
      <c r="A10" s="11" t="inlineStr">
        <is>
          <t>TSLA</t>
        </is>
      </c>
      <c r="B10" s="11" t="inlineStr">
        <is>
          <t>Tesla, Inc.</t>
        </is>
      </c>
      <c r="C10" s="11" t="inlineStr">
        <is>
          <t>Auto Manufacturers</t>
        </is>
      </c>
      <c r="D10" s="11" t="inlineStr">
        <is>
          <t>United States</t>
        </is>
      </c>
      <c r="E10" s="12" t="n">
        <v>1287.08</v>
      </c>
      <c r="F10" s="13" t="n">
        <v>325.84</v>
      </c>
      <c r="G10" s="13" t="n">
        <v>396.62274</v>
      </c>
      <c r="H10" s="14">
        <f>IF(AND(ISNUMBER(F10),ISNUMBER(G10),F10&gt;0),G10/F10-1,"")</f>
        <v/>
      </c>
      <c r="I10" s="13" t="n">
        <v>125</v>
      </c>
      <c r="J10" s="14">
        <f>IF(AND(ISNUMBER(F10),ISNUMBER(I10),F10&gt;0),I10/F10-1,"")</f>
        <v/>
      </c>
      <c r="K10" s="13" t="n">
        <v>600</v>
      </c>
      <c r="L10" s="14">
        <f>IF(AND(ISNUMBER(F10),ISNUMBER(K10),F10&gt;0),K10/F10-1,"")</f>
        <v/>
      </c>
      <c r="M10" s="15" t="n">
        <v>40</v>
      </c>
      <c r="N10" s="16" t="n"/>
      <c r="O10" s="17">
        <f>IF(AND(ISNUMBER(F10),ISNUMBER(N10),F10&gt;0),N10/F10,"")</f>
        <v/>
      </c>
      <c r="P10" s="18" t="n"/>
      <c r="Q10" s="18" t="n">
        <v>46316</v>
      </c>
      <c r="R10" s="16" t="n">
        <v>1.06</v>
      </c>
      <c r="S10" s="19">
        <f>IF(AND(ISNUMBER(F10),ISNUMBER(R10),R10&gt;0),F10/R10,"")</f>
        <v/>
      </c>
      <c r="T10" s="18" t="n">
        <v>46246</v>
      </c>
    </row>
    <row r="11">
      <c r="A11" s="20" t="inlineStr">
        <is>
          <t>BRK.B</t>
        </is>
      </c>
      <c r="B11" s="20" t="inlineStr">
        <is>
          <t>Berkshire Hathaway Inc. New</t>
        </is>
      </c>
      <c r="C11" s="20" t="inlineStr">
        <is>
          <t>Insurance - Diversified</t>
        </is>
      </c>
      <c r="D11" s="20" t="inlineStr">
        <is>
          <t>United States</t>
        </is>
      </c>
      <c r="E11" s="21" t="n">
        <v>1088.14</v>
      </c>
      <c r="F11" s="22" t="n">
        <v>508.31</v>
      </c>
      <c r="G11" s="22" t="n">
        <v>531.6667</v>
      </c>
      <c r="H11" s="23">
        <f>IF(AND(ISNUMBER(F11),ISNUMBER(G11),F11&gt;0),G11/F11-1,"")</f>
        <v/>
      </c>
      <c r="I11" s="22" t="n">
        <v>481</v>
      </c>
      <c r="J11" s="23">
        <f>IF(AND(ISNUMBER(F11),ISNUMBER(I11),F11&gt;0),I11/F11-1,"")</f>
        <v/>
      </c>
      <c r="K11" s="22" t="n">
        <v>604</v>
      </c>
      <c r="L11" s="23">
        <f>IF(AND(ISNUMBER(F11),ISNUMBER(K11),F11&gt;0),K11/F11-1,"")</f>
        <v/>
      </c>
      <c r="M11" s="24" t="n">
        <v>3</v>
      </c>
      <c r="N11" s="25" t="n"/>
      <c r="O11" s="26">
        <f>IF(AND(ISNUMBER(F11),ISNUMBER(N11),F11&gt;0),N11/F11,"")</f>
        <v/>
      </c>
      <c r="P11" s="27" t="n"/>
      <c r="Q11" s="27" t="n">
        <v>46333</v>
      </c>
      <c r="R11" s="25" t="n">
        <v>39.76</v>
      </c>
      <c r="S11" s="28">
        <f>IF(AND(ISNUMBER(F11),ISNUMBER(R11),R11&gt;0),F11/R11,"")</f>
        <v/>
      </c>
      <c r="T11" s="27" t="n">
        <v>46246</v>
      </c>
    </row>
    <row r="12">
      <c r="A12" s="11" t="inlineStr">
        <is>
          <t>LLY</t>
        </is>
      </c>
      <c r="B12" s="11" t="inlineStr">
        <is>
          <t>Eli Lilly and Company</t>
        </is>
      </c>
      <c r="C12" s="11" t="inlineStr">
        <is>
          <t>Drug Manufacturers - General</t>
        </is>
      </c>
      <c r="D12" s="11" t="inlineStr">
        <is>
          <t>United States</t>
        </is>
      </c>
      <c r="E12" s="12" t="n">
        <v>1083.9</v>
      </c>
      <c r="F12" s="13" t="n">
        <v>1215.49</v>
      </c>
      <c r="G12" s="13" t="n">
        <v>1299.0067</v>
      </c>
      <c r="H12" s="14">
        <f>IF(AND(ISNUMBER(F12),ISNUMBER(G12),F12&gt;0),G12/F12-1,"")</f>
        <v/>
      </c>
      <c r="I12" s="13" t="n">
        <v>850</v>
      </c>
      <c r="J12" s="14">
        <f>IF(AND(ISNUMBER(F12),ISNUMBER(I12),F12&gt;0),I12/F12-1,"")</f>
        <v/>
      </c>
      <c r="K12" s="13" t="n">
        <v>1600</v>
      </c>
      <c r="L12" s="14">
        <f>IF(AND(ISNUMBER(F12),ISNUMBER(K12),F12&gt;0),K12/F12-1,"")</f>
        <v/>
      </c>
      <c r="M12" s="15" t="n">
        <v>27</v>
      </c>
      <c r="N12" s="16" t="n">
        <v>6.92</v>
      </c>
      <c r="O12" s="17">
        <f>IF(AND(ISNUMBER(F12),ISNUMBER(N12),F12&gt;0),N12/F12,"")</f>
        <v/>
      </c>
      <c r="P12" s="18" t="n">
        <v>46248</v>
      </c>
      <c r="Q12" s="18" t="n">
        <v>46324</v>
      </c>
      <c r="R12" s="16" t="n">
        <v>29.77</v>
      </c>
      <c r="S12" s="19">
        <f>IF(AND(ISNUMBER(F12),ISNUMBER(R12),R12&gt;0),F12/R12,"")</f>
        <v/>
      </c>
      <c r="T12" s="18" t="n">
        <v>46246</v>
      </c>
    </row>
    <row r="13">
      <c r="A13" s="20" t="inlineStr">
        <is>
          <t>JPM</t>
        </is>
      </c>
      <c r="B13" s="20" t="inlineStr">
        <is>
          <t>JP Morgan Chase &amp; Co.</t>
        </is>
      </c>
      <c r="C13" s="20" t="inlineStr">
        <is>
          <t>Banks - Diversified</t>
        </is>
      </c>
      <c r="D13" s="20" t="inlineStr">
        <is>
          <t>United States</t>
        </is>
      </c>
      <c r="E13" s="21" t="n">
        <v>969.33</v>
      </c>
      <c r="F13" s="22" t="n">
        <v>364.66</v>
      </c>
      <c r="G13" s="22" t="n">
        <v>373.85715</v>
      </c>
      <c r="H13" s="23">
        <f>IF(AND(ISNUMBER(F13),ISNUMBER(G13),F13&gt;0),G13/F13-1,"")</f>
        <v/>
      </c>
      <c r="I13" s="22" t="n">
        <v>305</v>
      </c>
      <c r="J13" s="23">
        <f>IF(AND(ISNUMBER(F13),ISNUMBER(I13),F13&gt;0),I13/F13-1,"")</f>
        <v/>
      </c>
      <c r="K13" s="22" t="n">
        <v>420</v>
      </c>
      <c r="L13" s="23">
        <f>IF(AND(ISNUMBER(F13),ISNUMBER(K13),F13&gt;0),K13/F13-1,"")</f>
        <v/>
      </c>
      <c r="M13" s="24" t="n">
        <v>21</v>
      </c>
      <c r="N13" s="25" t="n">
        <v>6</v>
      </c>
      <c r="O13" s="26">
        <f>IF(AND(ISNUMBER(F13),ISNUMBER(N13),F13&gt;0),N13/F13,"")</f>
        <v/>
      </c>
      <c r="P13" s="27" t="n">
        <v>46209</v>
      </c>
      <c r="Q13" s="27" t="n">
        <v>46308</v>
      </c>
      <c r="R13" s="25" t="n">
        <v>23.35</v>
      </c>
      <c r="S13" s="28">
        <f>IF(AND(ISNUMBER(F13),ISNUMBER(R13),R13&gt;0),F13/R13,"")</f>
        <v/>
      </c>
      <c r="T13" s="27" t="n">
        <v>46246</v>
      </c>
    </row>
    <row r="14">
      <c r="A14" s="11" t="inlineStr">
        <is>
          <t>WMT</t>
        </is>
      </c>
      <c r="B14" s="11" t="inlineStr">
        <is>
          <t>Walmart Inc.</t>
        </is>
      </c>
      <c r="C14" s="11" t="inlineStr">
        <is>
          <t>Discount Stores</t>
        </is>
      </c>
      <c r="D14" s="11" t="inlineStr">
        <is>
          <t>United States</t>
        </is>
      </c>
      <c r="E14" s="12" t="n">
        <v>916.65</v>
      </c>
      <c r="F14" s="13" t="n">
        <v>115.19</v>
      </c>
      <c r="G14" s="13" t="n">
        <v>137.975</v>
      </c>
      <c r="H14" s="14">
        <f>IF(AND(ISNUMBER(F14),ISNUMBER(G14),F14&gt;0),G14/F14-1,"")</f>
        <v/>
      </c>
      <c r="I14" s="13" t="n">
        <v>81</v>
      </c>
      <c r="J14" s="14">
        <f>IF(AND(ISNUMBER(F14),ISNUMBER(I14),F14&gt;0),I14/F14-1,"")</f>
        <v/>
      </c>
      <c r="K14" s="13" t="n">
        <v>155</v>
      </c>
      <c r="L14" s="14">
        <f>IF(AND(ISNUMBER(F14),ISNUMBER(K14),F14&gt;0),K14/F14-1,"")</f>
        <v/>
      </c>
      <c r="M14" s="15" t="n">
        <v>40</v>
      </c>
      <c r="N14" s="16" t="n">
        <v>0.99</v>
      </c>
      <c r="O14" s="17">
        <f>IF(AND(ISNUMBER(F14),ISNUMBER(N14),F14&gt;0),N14/F14,"")</f>
        <v/>
      </c>
      <c r="P14" s="18" t="n">
        <v>46255</v>
      </c>
      <c r="Q14" s="18" t="n">
        <v>46254</v>
      </c>
      <c r="R14" s="16" t="n">
        <v>2.85</v>
      </c>
      <c r="S14" s="19">
        <f>IF(AND(ISNUMBER(F14),ISNUMBER(R14),R14&gt;0),F14/R14,"")</f>
        <v/>
      </c>
      <c r="T14" s="18" t="n">
        <v>46246</v>
      </c>
    </row>
    <row r="15">
      <c r="A15" s="20" t="inlineStr">
        <is>
          <t>AMD</t>
        </is>
      </c>
      <c r="B15" s="20" t="inlineStr">
        <is>
          <t>Advanced Micro Devices, Inc.</t>
        </is>
      </c>
      <c r="C15" s="20" t="inlineStr">
        <is>
          <t>Semiconductors</t>
        </is>
      </c>
      <c r="D15" s="20" t="inlineStr">
        <is>
          <t>United States</t>
        </is>
      </c>
      <c r="E15" s="21" t="n">
        <v>796.0700000000001</v>
      </c>
      <c r="F15" s="22" t="n">
        <v>487.64</v>
      </c>
      <c r="G15" s="22" t="n">
        <v>613.3348</v>
      </c>
      <c r="H15" s="23">
        <f>IF(AND(ISNUMBER(F15),ISNUMBER(G15),F15&gt;0),G15/F15-1,"")</f>
        <v/>
      </c>
      <c r="I15" s="22" t="n">
        <v>365</v>
      </c>
      <c r="J15" s="23">
        <f>IF(AND(ISNUMBER(F15),ISNUMBER(I15),F15&gt;0),I15/F15-1,"")</f>
        <v/>
      </c>
      <c r="K15" s="22" t="n">
        <v>1250</v>
      </c>
      <c r="L15" s="23">
        <f>IF(AND(ISNUMBER(F15),ISNUMBER(K15),F15&gt;0),K15/F15-1,"")</f>
        <v/>
      </c>
      <c r="M15" s="24" t="n">
        <v>46</v>
      </c>
      <c r="N15" s="25" t="n"/>
      <c r="O15" s="26">
        <f>IF(AND(ISNUMBER(F15),ISNUMBER(N15),F15&gt;0),N15/F15,"")</f>
        <v/>
      </c>
      <c r="P15" s="27" t="n"/>
      <c r="Q15" s="27" t="n">
        <v>46329</v>
      </c>
      <c r="R15" s="25" t="n">
        <v>3.94</v>
      </c>
      <c r="S15" s="28">
        <f>IF(AND(ISNUMBER(F15),ISNUMBER(R15),R15&gt;0),F15/R15,"")</f>
        <v/>
      </c>
      <c r="T15" s="27" t="n">
        <v>46246</v>
      </c>
    </row>
    <row r="16">
      <c r="A16" s="11" t="inlineStr">
        <is>
          <t>ASML</t>
        </is>
      </c>
      <c r="B16" s="11" t="inlineStr">
        <is>
          <t>ASML Holding N.V. - New York Re</t>
        </is>
      </c>
      <c r="C16" s="11" t="inlineStr">
        <is>
          <t>Semiconductor Equipment &amp; Materials</t>
        </is>
      </c>
      <c r="D16" s="11" t="inlineStr">
        <is>
          <t>Netherlands</t>
        </is>
      </c>
      <c r="E16" s="12" t="n">
        <v>700.72</v>
      </c>
      <c r="F16" s="13" t="n">
        <v>1824.31</v>
      </c>
      <c r="G16" s="13" t="n">
        <v>2170.0632</v>
      </c>
      <c r="H16" s="14">
        <f>IF(AND(ISNUMBER(F16),ISNUMBER(G16),F16&gt;0),G16/F16-1,"")</f>
        <v/>
      </c>
      <c r="I16" s="13" t="n">
        <v>892.0097</v>
      </c>
      <c r="J16" s="14">
        <f>IF(AND(ISNUMBER(F16),ISNUMBER(I16),F16&gt;0),I16/F16-1,"")</f>
        <v/>
      </c>
      <c r="K16" s="13" t="n">
        <v>2863.285</v>
      </c>
      <c r="L16" s="14">
        <f>IF(AND(ISNUMBER(F16),ISNUMBER(K16),F16&gt;0),K16/F16-1,"")</f>
        <v/>
      </c>
      <c r="M16" s="15" t="n">
        <v>15</v>
      </c>
      <c r="N16" s="16" t="n">
        <v>9.08</v>
      </c>
      <c r="O16" s="17">
        <f>IF(AND(ISNUMBER(F16),ISNUMBER(N16),F16&gt;0),N16/F16,"")</f>
        <v/>
      </c>
      <c r="P16" s="18" t="n">
        <v>46231</v>
      </c>
      <c r="Q16" s="18" t="n">
        <v>46309</v>
      </c>
      <c r="R16" s="16" t="n">
        <v>29.33</v>
      </c>
      <c r="S16" s="19">
        <f>IF(AND(ISNUMBER(F16),ISNUMBER(R16),R16&gt;0),F16/R16,"")</f>
        <v/>
      </c>
      <c r="T16" s="18" t="n">
        <v>46246</v>
      </c>
    </row>
    <row r="17">
      <c r="A17" s="20" t="inlineStr">
        <is>
          <t>V</t>
        </is>
      </c>
      <c r="B17" s="20" t="inlineStr">
        <is>
          <t>Visa Inc.</t>
        </is>
      </c>
      <c r="C17" s="20" t="inlineStr">
        <is>
          <t>Credit Services</t>
        </is>
      </c>
      <c r="D17" s="20" t="inlineStr">
        <is>
          <t>United States</t>
        </is>
      </c>
      <c r="E17" s="21" t="n">
        <v>670.2</v>
      </c>
      <c r="F17" s="22" t="n">
        <v>358.96</v>
      </c>
      <c r="G17" s="22" t="n">
        <v>416.20026</v>
      </c>
      <c r="H17" s="23">
        <f>IF(AND(ISNUMBER(F17),ISNUMBER(G17),F17&gt;0),G17/F17-1,"")</f>
        <v/>
      </c>
      <c r="I17" s="22" t="n">
        <v>330</v>
      </c>
      <c r="J17" s="23">
        <f>IF(AND(ISNUMBER(F17),ISNUMBER(I17),F17&gt;0),I17/F17-1,"")</f>
        <v/>
      </c>
      <c r="K17" s="22" t="n">
        <v>450</v>
      </c>
      <c r="L17" s="23">
        <f>IF(AND(ISNUMBER(F17),ISNUMBER(K17),F17&gt;0),K17/F17-1,"")</f>
        <v/>
      </c>
      <c r="M17" s="24" t="n">
        <v>37</v>
      </c>
      <c r="N17" s="25" t="n">
        <v>2.68</v>
      </c>
      <c r="O17" s="26">
        <f>IF(AND(ISNUMBER(F17),ISNUMBER(N17),F17&gt;0),N17/F17,"")</f>
        <v/>
      </c>
      <c r="P17" s="27" t="n">
        <v>46245</v>
      </c>
      <c r="Q17" s="27" t="n">
        <v>46322</v>
      </c>
      <c r="R17" s="25" t="n">
        <v>11.76</v>
      </c>
      <c r="S17" s="28">
        <f>IF(AND(ISNUMBER(F17),ISNUMBER(R17),R17&gt;0),F17/R17,"")</f>
        <v/>
      </c>
      <c r="T17" s="27" t="n">
        <v>46246</v>
      </c>
    </row>
    <row r="18">
      <c r="A18" s="11" t="inlineStr">
        <is>
          <t>XOM</t>
        </is>
      </c>
      <c r="B18" s="11" t="inlineStr">
        <is>
          <t>ExxonMobil Holdings Corporation</t>
        </is>
      </c>
      <c r="C18" s="11" t="inlineStr">
        <is>
          <t>Oil &amp; Gas Integrated</t>
        </is>
      </c>
      <c r="D18" s="11" t="inlineStr">
        <is>
          <t>United States</t>
        </is>
      </c>
      <c r="E18" s="12" t="n">
        <v>655.48</v>
      </c>
      <c r="F18" s="13" t="n">
        <v>159.41</v>
      </c>
      <c r="G18" s="13" t="n">
        <v>168.31818</v>
      </c>
      <c r="H18" s="14">
        <f>IF(AND(ISNUMBER(F18),ISNUMBER(G18),F18&gt;0),G18/F18-1,"")</f>
        <v/>
      </c>
      <c r="I18" s="13" t="n">
        <v>142</v>
      </c>
      <c r="J18" s="14">
        <f>IF(AND(ISNUMBER(F18),ISNUMBER(I18),F18&gt;0),I18/F18-1,"")</f>
        <v/>
      </c>
      <c r="K18" s="13" t="n">
        <v>185</v>
      </c>
      <c r="L18" s="14">
        <f>IF(AND(ISNUMBER(F18),ISNUMBER(K18),F18&gt;0),K18/F18-1,"")</f>
        <v/>
      </c>
      <c r="M18" s="15" t="n">
        <v>22</v>
      </c>
      <c r="N18" s="16" t="n">
        <v>4.12</v>
      </c>
      <c r="O18" s="17">
        <f>IF(AND(ISNUMBER(F18),ISNUMBER(N18),F18&gt;0),N18/F18,"")</f>
        <v/>
      </c>
      <c r="P18" s="18" t="n">
        <v>46251</v>
      </c>
      <c r="Q18" s="18" t="n">
        <v>46325</v>
      </c>
      <c r="R18" s="16" t="n">
        <v>7.77</v>
      </c>
      <c r="S18" s="19">
        <f>IF(AND(ISNUMBER(F18),ISNUMBER(R18),R18&gt;0),F18/R18,"")</f>
        <v/>
      </c>
      <c r="T18" s="18" t="n">
        <v>46246</v>
      </c>
    </row>
    <row r="19">
      <c r="A19" s="20" t="inlineStr">
        <is>
          <t>JNJ</t>
        </is>
      </c>
      <c r="B19" s="20" t="inlineStr">
        <is>
          <t>Johnson &amp; Johnson</t>
        </is>
      </c>
      <c r="C19" s="20" t="inlineStr">
        <is>
          <t>Drug Manufacturers - General</t>
        </is>
      </c>
      <c r="D19" s="20" t="inlineStr">
        <is>
          <t>United States</t>
        </is>
      </c>
      <c r="E19" s="21" t="n">
        <v>627.49</v>
      </c>
      <c r="F19" s="22" t="n">
        <v>260.38</v>
      </c>
      <c r="G19" s="22" t="n">
        <v>272.5</v>
      </c>
      <c r="H19" s="23">
        <f>IF(AND(ISNUMBER(F19),ISNUMBER(G19),F19&gt;0),G19/F19-1,"")</f>
        <v/>
      </c>
      <c r="I19" s="22" t="n">
        <v>190</v>
      </c>
      <c r="J19" s="23">
        <f>IF(AND(ISNUMBER(F19),ISNUMBER(I19),F19&gt;0),I19/F19-1,"")</f>
        <v/>
      </c>
      <c r="K19" s="22" t="n">
        <v>305</v>
      </c>
      <c r="L19" s="23">
        <f>IF(AND(ISNUMBER(F19),ISNUMBER(K19),F19&gt;0),K19/F19-1,"")</f>
        <v/>
      </c>
      <c r="M19" s="24" t="n">
        <v>22</v>
      </c>
      <c r="N19" s="25" t="n">
        <v>5.36</v>
      </c>
      <c r="O19" s="26">
        <f>IF(AND(ISNUMBER(F19),ISNUMBER(N19),F19&gt;0),N19/F19,"")</f>
        <v/>
      </c>
      <c r="P19" s="27" t="n">
        <v>46259</v>
      </c>
      <c r="Q19" s="27" t="n">
        <v>46308</v>
      </c>
      <c r="R19" s="25" t="n">
        <v>8.630000000000001</v>
      </c>
      <c r="S19" s="28">
        <f>IF(AND(ISNUMBER(F19),ISNUMBER(R19),R19&gt;0),F19/R19,"")</f>
        <v/>
      </c>
      <c r="T19" s="27" t="n">
        <v>46246</v>
      </c>
    </row>
    <row r="20">
      <c r="A20" s="11" t="inlineStr">
        <is>
          <t>INTC</t>
        </is>
      </c>
      <c r="B20" s="11" t="inlineStr">
        <is>
          <t>Intel Corporation</t>
        </is>
      </c>
      <c r="C20" s="11" t="inlineStr">
        <is>
          <t>Semiconductors</t>
        </is>
      </c>
      <c r="D20" s="11" t="inlineStr">
        <is>
          <t>United States</t>
        </is>
      </c>
      <c r="E20" s="12" t="n">
        <v>515.04</v>
      </c>
      <c r="F20" s="13" t="n">
        <v>102.11</v>
      </c>
      <c r="G20" s="13" t="n">
        <v>114.05</v>
      </c>
      <c r="H20" s="14">
        <f>IF(AND(ISNUMBER(F20),ISNUMBER(G20),F20&gt;0),G20/F20-1,"")</f>
        <v/>
      </c>
      <c r="I20" s="13" t="n">
        <v>74</v>
      </c>
      <c r="J20" s="14">
        <f>IF(AND(ISNUMBER(F20),ISNUMBER(I20),F20&gt;0),I20/F20-1,"")</f>
        <v/>
      </c>
      <c r="K20" s="13" t="n">
        <v>200</v>
      </c>
      <c r="L20" s="14">
        <f>IF(AND(ISNUMBER(F20),ISNUMBER(K20),F20&gt;0),K20/F20-1,"")</f>
        <v/>
      </c>
      <c r="M20" s="15" t="n">
        <v>40</v>
      </c>
      <c r="N20" s="16" t="n"/>
      <c r="O20" s="17">
        <f>IF(AND(ISNUMBER(F20),ISNUMBER(N20),F20&gt;0),N20/F20,"")</f>
        <v/>
      </c>
      <c r="P20" s="18" t="n"/>
      <c r="Q20" s="18" t="n">
        <v>46317</v>
      </c>
      <c r="R20" s="16" t="n">
        <v>-2.09</v>
      </c>
      <c r="S20" s="19">
        <f>IF(AND(ISNUMBER(F20),ISNUMBER(R20),R20&gt;0),F20/R20,"")</f>
        <v/>
      </c>
      <c r="T20" s="18" t="n">
        <v>46246</v>
      </c>
    </row>
    <row r="21">
      <c r="A21" s="20" t="inlineStr">
        <is>
          <t>TCEHY</t>
        </is>
      </c>
      <c r="B21" s="20" t="inlineStr">
        <is>
          <t>Tencent Holding Ltd.</t>
        </is>
      </c>
      <c r="C21" s="20" t="inlineStr">
        <is>
          <t>Internet Content &amp; Information</t>
        </is>
      </c>
      <c r="D21" s="20" t="inlineStr">
        <is>
          <t>China</t>
        </is>
      </c>
      <c r="E21" s="21" t="n">
        <v>506.07</v>
      </c>
      <c r="F21" s="22" t="n">
        <v>56.22</v>
      </c>
      <c r="G21" s="22" t="n">
        <v>97.85936</v>
      </c>
      <c r="H21" s="23">
        <f>IF(AND(ISNUMBER(F21),ISNUMBER(G21),F21&gt;0),G21/F21-1,"")</f>
        <v/>
      </c>
      <c r="I21" s="22" t="n">
        <v>84.73115</v>
      </c>
      <c r="J21" s="23">
        <f>IF(AND(ISNUMBER(F21),ISNUMBER(I21),F21&gt;0),I21/F21-1,"")</f>
        <v/>
      </c>
      <c r="K21" s="22" t="n">
        <v>106.60152</v>
      </c>
      <c r="L21" s="23">
        <f>IF(AND(ISNUMBER(F21),ISNUMBER(K21),F21&gt;0),K21/F21-1,"")</f>
        <v/>
      </c>
      <c r="M21" s="24" t="n">
        <v>3</v>
      </c>
      <c r="N21" s="25" t="n">
        <v>0.67</v>
      </c>
      <c r="O21" s="26">
        <f>IF(AND(ISNUMBER(F21),ISNUMBER(N21),F21&gt;0),N21/F21,"")</f>
        <v/>
      </c>
      <c r="P21" s="27" t="n">
        <v>46160</v>
      </c>
      <c r="Q21" s="27" t="n">
        <v>46246</v>
      </c>
      <c r="R21" s="25" t="n">
        <v>3.58</v>
      </c>
      <c r="S21" s="28">
        <f>IF(AND(ISNUMBER(F21),ISNUMBER(R21),R21&gt;0),F21/R21,"")</f>
        <v/>
      </c>
      <c r="T21" s="27" t="n">
        <v>46246</v>
      </c>
    </row>
    <row r="22">
      <c r="A22" s="11" t="inlineStr">
        <is>
          <t>MA</t>
        </is>
      </c>
      <c r="B22" s="11" t="inlineStr">
        <is>
          <t>Mastercard Incorporated</t>
        </is>
      </c>
      <c r="C22" s="11" t="inlineStr">
        <is>
          <t>Credit Services</t>
        </is>
      </c>
      <c r="D22" s="11" t="inlineStr">
        <is>
          <t>United States</t>
        </is>
      </c>
      <c r="E22" s="12" t="n">
        <v>488.94</v>
      </c>
      <c r="F22" s="13" t="n">
        <v>558.14</v>
      </c>
      <c r="G22" s="13" t="n">
        <v>665.2632</v>
      </c>
      <c r="H22" s="14">
        <f>IF(AND(ISNUMBER(F22),ISNUMBER(G22),F22&gt;0),G22/F22-1,"")</f>
        <v/>
      </c>
      <c r="I22" s="13" t="n">
        <v>550</v>
      </c>
      <c r="J22" s="14">
        <f>IF(AND(ISNUMBER(F22),ISNUMBER(I22),F22&gt;0),I22/F22-1,"")</f>
        <v/>
      </c>
      <c r="K22" s="13" t="n">
        <v>735</v>
      </c>
      <c r="L22" s="14">
        <f>IF(AND(ISNUMBER(F22),ISNUMBER(K22),F22&gt;0),K22/F22-1,"")</f>
        <v/>
      </c>
      <c r="M22" s="15" t="n">
        <v>38</v>
      </c>
      <c r="N22" s="16" t="n">
        <v>3.48</v>
      </c>
      <c r="O22" s="17">
        <f>IF(AND(ISNUMBER(F22),ISNUMBER(N22),F22&gt;0),N22/F22,"")</f>
        <v/>
      </c>
      <c r="P22" s="18" t="n">
        <v>46212</v>
      </c>
      <c r="Q22" s="18" t="n">
        <v>46324</v>
      </c>
      <c r="R22" s="16" t="n">
        <v>18.19</v>
      </c>
      <c r="S22" s="19">
        <f>IF(AND(ISNUMBER(F22),ISNUMBER(R22),R22&gt;0),F22/R22,"")</f>
        <v/>
      </c>
      <c r="T22" s="18" t="n">
        <v>46246</v>
      </c>
    </row>
    <row r="23">
      <c r="A23" s="20" t="inlineStr">
        <is>
          <t>CSCO</t>
        </is>
      </c>
      <c r="B23" s="20" t="inlineStr">
        <is>
          <t>Cisco Systems, Inc.</t>
        </is>
      </c>
      <c r="C23" s="20" t="inlineStr">
        <is>
          <t>Communication Equipment</t>
        </is>
      </c>
      <c r="D23" s="20" t="inlineStr">
        <is>
          <t>United States</t>
        </is>
      </c>
      <c r="E23" s="21" t="n">
        <v>485.19</v>
      </c>
      <c r="F23" s="22" t="n">
        <v>123.1</v>
      </c>
      <c r="G23" s="22" t="n">
        <v>132.59091</v>
      </c>
      <c r="H23" s="23">
        <f>IF(AND(ISNUMBER(F23),ISNUMBER(G23),F23&gt;0),G23/F23-1,"")</f>
        <v/>
      </c>
      <c r="I23" s="22" t="n">
        <v>115</v>
      </c>
      <c r="J23" s="23">
        <f>IF(AND(ISNUMBER(F23),ISNUMBER(I23),F23&gt;0),I23/F23-1,"")</f>
        <v/>
      </c>
      <c r="K23" s="22" t="n">
        <v>150</v>
      </c>
      <c r="L23" s="23">
        <f>IF(AND(ISNUMBER(F23),ISNUMBER(K23),F23&gt;0),K23/F23-1,"")</f>
        <v/>
      </c>
      <c r="M23" s="24" t="n">
        <v>22</v>
      </c>
      <c r="N23" s="25" t="n">
        <v>1.68</v>
      </c>
      <c r="O23" s="26">
        <f>IF(AND(ISNUMBER(F23),ISNUMBER(N23),F23&gt;0),N23/F23,"")</f>
        <v/>
      </c>
      <c r="P23" s="27" t="n">
        <v>46209</v>
      </c>
      <c r="Q23" s="27" t="n">
        <v>46246</v>
      </c>
      <c r="R23" s="25" t="n">
        <v>3</v>
      </c>
      <c r="S23" s="28">
        <f>IF(AND(ISNUMBER(F23),ISNUMBER(R23),R23&gt;0),F23/R23,"")</f>
        <v/>
      </c>
      <c r="T23" s="27" t="n">
        <v>46246</v>
      </c>
    </row>
    <row r="24">
      <c r="A24" s="11" t="inlineStr">
        <is>
          <t>BAC</t>
        </is>
      </c>
      <c r="B24" s="11" t="inlineStr">
        <is>
          <t>Bank of America Corporation</t>
        </is>
      </c>
      <c r="C24" s="11" t="inlineStr">
        <is>
          <t>Banks - Diversified</t>
        </is>
      </c>
      <c r="D24" s="11" t="inlineStr">
        <is>
          <t>United States</t>
        </is>
      </c>
      <c r="E24" s="12" t="n">
        <v>451.42</v>
      </c>
      <c r="F24" s="13" t="n">
        <v>64.56</v>
      </c>
      <c r="G24" s="13" t="n">
        <v>68.77273</v>
      </c>
      <c r="H24" s="14">
        <f>IF(AND(ISNUMBER(F24),ISNUMBER(G24),F24&gt;0),G24/F24-1,"")</f>
        <v/>
      </c>
      <c r="I24" s="13" t="n">
        <v>62</v>
      </c>
      <c r="J24" s="14">
        <f>IF(AND(ISNUMBER(F24),ISNUMBER(I24),F24&gt;0),I24/F24-1,"")</f>
        <v/>
      </c>
      <c r="K24" s="13" t="n">
        <v>75</v>
      </c>
      <c r="L24" s="14">
        <f>IF(AND(ISNUMBER(F24),ISNUMBER(K24),F24&gt;0),K24/F24-1,"")</f>
        <v/>
      </c>
      <c r="M24" s="15" t="n">
        <v>22</v>
      </c>
      <c r="N24" s="16" t="n">
        <v>1.28</v>
      </c>
      <c r="O24" s="17">
        <f>IF(AND(ISNUMBER(F24),ISNUMBER(N24),F24&gt;0),N24/F24,"")</f>
        <v/>
      </c>
      <c r="P24" s="18" t="n">
        <v>46269</v>
      </c>
      <c r="Q24" s="18" t="n">
        <v>46309</v>
      </c>
      <c r="R24" s="16" t="n">
        <v>4.33</v>
      </c>
      <c r="S24" s="19">
        <f>IF(AND(ISNUMBER(F24),ISNUMBER(R24),R24&gt;0),F24/R24,"")</f>
        <v/>
      </c>
      <c r="T24" s="18" t="n">
        <v>46246</v>
      </c>
    </row>
    <row r="25">
      <c r="A25" s="20" t="inlineStr">
        <is>
          <t>ORCL</t>
        </is>
      </c>
      <c r="B25" s="20" t="inlineStr">
        <is>
          <t>Oracle Corporation</t>
        </is>
      </c>
      <c r="C25" s="20" t="inlineStr">
        <is>
          <t>Software - Infrastructure</t>
        </is>
      </c>
      <c r="D25" s="20" t="inlineStr">
        <is>
          <t>United States</t>
        </is>
      </c>
      <c r="E25" s="21" t="n">
        <v>441.12</v>
      </c>
      <c r="F25" s="22" t="n">
        <v>153.14</v>
      </c>
      <c r="G25" s="22" t="n">
        <v>247.17024</v>
      </c>
      <c r="H25" s="23">
        <f>IF(AND(ISNUMBER(F25),ISNUMBER(G25),F25&gt;0),G25/F25-1,"")</f>
        <v/>
      </c>
      <c r="I25" s="22" t="n">
        <v>110</v>
      </c>
      <c r="J25" s="23">
        <f>IF(AND(ISNUMBER(F25),ISNUMBER(I25),F25&gt;0),I25/F25-1,"")</f>
        <v/>
      </c>
      <c r="K25" s="22" t="n">
        <v>400</v>
      </c>
      <c r="L25" s="23">
        <f>IF(AND(ISNUMBER(F25),ISNUMBER(K25),F25&gt;0),K25/F25-1,"")</f>
        <v/>
      </c>
      <c r="M25" s="24" t="n">
        <v>41</v>
      </c>
      <c r="N25" s="25" t="n">
        <v>2</v>
      </c>
      <c r="O25" s="26">
        <f>IF(AND(ISNUMBER(F25),ISNUMBER(N25),F25&gt;0),N25/F25,"")</f>
        <v/>
      </c>
      <c r="P25" s="27" t="n">
        <v>46213</v>
      </c>
      <c r="Q25" s="27" t="n">
        <v>46275</v>
      </c>
      <c r="R25" s="25" t="n">
        <v>5.83</v>
      </c>
      <c r="S25" s="28">
        <f>IF(AND(ISNUMBER(F25),ISNUMBER(R25),R25&gt;0),F25/R25,"")</f>
        <v/>
      </c>
      <c r="T25" s="27" t="n">
        <v>46246</v>
      </c>
    </row>
    <row r="26">
      <c r="A26" s="11" t="inlineStr">
        <is>
          <t>ABBV</t>
        </is>
      </c>
      <c r="B26" s="11" t="inlineStr">
        <is>
          <t>AbbVie Inc.</t>
        </is>
      </c>
      <c r="C26" s="11" t="inlineStr">
        <is>
          <t>Drug Manufacturers - General</t>
        </is>
      </c>
      <c r="D26" s="11" t="inlineStr">
        <is>
          <t>United States</t>
        </is>
      </c>
      <c r="E26" s="12" t="n">
        <v>437.06</v>
      </c>
      <c r="F26" s="13" t="n">
        <v>247.33</v>
      </c>
      <c r="G26" s="13" t="n">
        <v>275.39285</v>
      </c>
      <c r="H26" s="14">
        <f>IF(AND(ISNUMBER(F26),ISNUMBER(G26),F26&gt;0),G26/F26-1,"")</f>
        <v/>
      </c>
      <c r="I26" s="13" t="n">
        <v>200</v>
      </c>
      <c r="J26" s="14">
        <f>IF(AND(ISNUMBER(F26),ISNUMBER(I26),F26&gt;0),I26/F26-1,"")</f>
        <v/>
      </c>
      <c r="K26" s="13" t="n">
        <v>328</v>
      </c>
      <c r="L26" s="14">
        <f>IF(AND(ISNUMBER(F26),ISNUMBER(K26),F26&gt;0),K26/F26-1,"")</f>
        <v/>
      </c>
      <c r="M26" s="15" t="n">
        <v>28</v>
      </c>
      <c r="N26" s="16" t="n">
        <v>6.92</v>
      </c>
      <c r="O26" s="17">
        <f>IF(AND(ISNUMBER(F26),ISNUMBER(N26),F26&gt;0),N26/F26,"")</f>
        <v/>
      </c>
      <c r="P26" s="18" t="n">
        <v>46218</v>
      </c>
      <c r="Q26" s="18" t="n">
        <v>46324</v>
      </c>
      <c r="R26" s="16" t="n">
        <v>3.55</v>
      </c>
      <c r="S26" s="19">
        <f>IF(AND(ISNUMBER(F26),ISNUMBER(R26),R26&gt;0),F26/R26,"")</f>
        <v/>
      </c>
      <c r="T26" s="18" t="n">
        <v>46246</v>
      </c>
    </row>
    <row r="27">
      <c r="A27" s="20" t="inlineStr">
        <is>
          <t>COST</t>
        </is>
      </c>
      <c r="B27" s="20" t="inlineStr">
        <is>
          <t>Costco Wholesale Corporation</t>
        </is>
      </c>
      <c r="C27" s="20" t="inlineStr">
        <is>
          <t>Discount Stores</t>
        </is>
      </c>
      <c r="D27" s="20" t="inlineStr">
        <is>
          <t>United States</t>
        </is>
      </c>
      <c r="E27" s="21" t="n">
        <v>420.99</v>
      </c>
      <c r="F27" s="22" t="n">
        <v>949.28</v>
      </c>
      <c r="G27" s="22" t="n">
        <v>1077.3143</v>
      </c>
      <c r="H27" s="23">
        <f>IF(AND(ISNUMBER(F27),ISNUMBER(G27),F27&gt;0),G27/F27-1,"")</f>
        <v/>
      </c>
      <c r="I27" s="22" t="n">
        <v>740</v>
      </c>
      <c r="J27" s="23">
        <f>IF(AND(ISNUMBER(F27),ISNUMBER(I27),F27&gt;0),I27/F27-1,"")</f>
        <v/>
      </c>
      <c r="K27" s="22" t="n">
        <v>1315</v>
      </c>
      <c r="L27" s="23">
        <f>IF(AND(ISNUMBER(F27),ISNUMBER(K27),F27&gt;0),K27/F27-1,"")</f>
        <v/>
      </c>
      <c r="M27" s="24" t="n">
        <v>35</v>
      </c>
      <c r="N27" s="25" t="n">
        <v>5.88</v>
      </c>
      <c r="O27" s="26">
        <f>IF(AND(ISNUMBER(F27),ISNUMBER(N27),F27&gt;0),N27/F27,"")</f>
        <v/>
      </c>
      <c r="P27" s="27" t="n">
        <v>46227</v>
      </c>
      <c r="Q27" s="27" t="n">
        <v>46289</v>
      </c>
      <c r="R27" s="25" t="n">
        <v>19.93</v>
      </c>
      <c r="S27" s="28">
        <f>IF(AND(ISNUMBER(F27),ISNUMBER(R27),R27&gt;0),F27/R27,"")</f>
        <v/>
      </c>
      <c r="T27" s="27" t="n">
        <v>46246</v>
      </c>
    </row>
    <row r="28">
      <c r="A28" s="11" t="inlineStr">
        <is>
          <t>PLTR</t>
        </is>
      </c>
      <c r="B28" s="11" t="inlineStr">
        <is>
          <t>Palantir Technologies Inc.</t>
        </is>
      </c>
      <c r="C28" s="11" t="inlineStr">
        <is>
          <t>Software - Infrastructure</t>
        </is>
      </c>
      <c r="D28" s="11" t="inlineStr">
        <is>
          <t>United States</t>
        </is>
      </c>
      <c r="E28" s="12" t="n">
        <v>414.65</v>
      </c>
      <c r="F28" s="13" t="n">
        <v>172.55</v>
      </c>
      <c r="G28" s="13" t="n">
        <v>191.68</v>
      </c>
      <c r="H28" s="14">
        <f>IF(AND(ISNUMBER(F28),ISNUMBER(G28),F28&gt;0),G28/F28-1,"")</f>
        <v/>
      </c>
      <c r="I28" s="13" t="n">
        <v>80</v>
      </c>
      <c r="J28" s="14">
        <f>IF(AND(ISNUMBER(F28),ISNUMBER(I28),F28&gt;0),I28/F28-1,"")</f>
        <v/>
      </c>
      <c r="K28" s="13" t="n">
        <v>255</v>
      </c>
      <c r="L28" s="14">
        <f>IF(AND(ISNUMBER(F28),ISNUMBER(K28),F28&gt;0),K28/F28-1,"")</f>
        <v/>
      </c>
      <c r="M28" s="15" t="n">
        <v>27</v>
      </c>
      <c r="N28" s="16" t="n"/>
      <c r="O28" s="17">
        <f>IF(AND(ISNUMBER(F28),ISNUMBER(N28),F28&gt;0),N28/F28,"")</f>
        <v/>
      </c>
      <c r="P28" s="18" t="n"/>
      <c r="Q28" s="18" t="n">
        <v>46328</v>
      </c>
      <c r="R28" s="16" t="n">
        <v>1.17</v>
      </c>
      <c r="S28" s="19">
        <f>IF(AND(ISNUMBER(F28),ISNUMBER(R28),R28&gt;0),F28/R28,"")</f>
        <v/>
      </c>
      <c r="T28" s="18" t="n">
        <v>46246</v>
      </c>
    </row>
    <row r="29">
      <c r="A29" s="20" t="inlineStr">
        <is>
          <t>CAT</t>
        </is>
      </c>
      <c r="B29" s="20" t="inlineStr">
        <is>
          <t>Caterpillar, Inc.</t>
        </is>
      </c>
      <c r="C29" s="20" t="inlineStr">
        <is>
          <t>Farm &amp; Heavy Construction Machinery</t>
        </is>
      </c>
      <c r="D29" s="20" t="inlineStr">
        <is>
          <t>United States</t>
        </is>
      </c>
      <c r="E29" s="21" t="n">
        <v>399.27</v>
      </c>
      <c r="F29" s="22" t="n">
        <v>868.6</v>
      </c>
      <c r="G29" s="22" t="n">
        <v>970.70734</v>
      </c>
      <c r="H29" s="23">
        <f>IF(AND(ISNUMBER(F29),ISNUMBER(G29),F29&gt;0),G29/F29-1,"")</f>
        <v/>
      </c>
      <c r="I29" s="22" t="n">
        <v>575</v>
      </c>
      <c r="J29" s="23">
        <f>IF(AND(ISNUMBER(F29),ISNUMBER(I29),F29&gt;0),I29/F29-1,"")</f>
        <v/>
      </c>
      <c r="K29" s="22" t="n">
        <v>1225</v>
      </c>
      <c r="L29" s="23">
        <f>IF(AND(ISNUMBER(F29),ISNUMBER(K29),F29&gt;0),K29/F29-1,"")</f>
        <v/>
      </c>
      <c r="M29" s="24" t="n">
        <v>26</v>
      </c>
      <c r="N29" s="25" t="n">
        <v>6.52</v>
      </c>
      <c r="O29" s="26">
        <f>IF(AND(ISNUMBER(F29),ISNUMBER(N29),F29&gt;0),N29/F29,"")</f>
        <v/>
      </c>
      <c r="P29" s="27" t="n">
        <v>46223</v>
      </c>
      <c r="Q29" s="27" t="n">
        <v>46324</v>
      </c>
      <c r="R29" s="25" t="n">
        <v>23.19</v>
      </c>
      <c r="S29" s="28">
        <f>IF(AND(ISNUMBER(F29),ISNUMBER(R29),R29&gt;0),F29/R29,"")</f>
        <v/>
      </c>
      <c r="T29" s="27" t="n">
        <v>46246</v>
      </c>
    </row>
    <row r="30">
      <c r="A30" s="11" t="inlineStr">
        <is>
          <t>CVX</t>
        </is>
      </c>
      <c r="B30" s="11" t="inlineStr">
        <is>
          <t>Chevron Corporation</t>
        </is>
      </c>
      <c r="C30" s="11" t="inlineStr">
        <is>
          <t>Oil &amp; Gas Integrated</t>
        </is>
      </c>
      <c r="D30" s="11" t="inlineStr">
        <is>
          <t>United States</t>
        </is>
      </c>
      <c r="E30" s="12" t="n">
        <v>385.65</v>
      </c>
      <c r="F30" s="13" t="n">
        <v>196.6</v>
      </c>
      <c r="G30" s="13" t="n">
        <v>216.95833</v>
      </c>
      <c r="H30" s="14">
        <f>IF(AND(ISNUMBER(F30),ISNUMBER(G30),F30&gt;0),G30/F30-1,"")</f>
        <v/>
      </c>
      <c r="I30" s="13" t="n">
        <v>175</v>
      </c>
      <c r="J30" s="14">
        <f>IF(AND(ISNUMBER(F30),ISNUMBER(I30),F30&gt;0),I30/F30-1,"")</f>
        <v/>
      </c>
      <c r="K30" s="13" t="n">
        <v>236</v>
      </c>
      <c r="L30" s="14">
        <f>IF(AND(ISNUMBER(F30),ISNUMBER(K30),F30&gt;0),K30/F30-1,"")</f>
        <v/>
      </c>
      <c r="M30" s="15" t="n">
        <v>24</v>
      </c>
      <c r="N30" s="16" t="n">
        <v>7.12</v>
      </c>
      <c r="O30" s="17">
        <f>IF(AND(ISNUMBER(F30),ISNUMBER(N30),F30&gt;0),N30/F30,"")</f>
        <v/>
      </c>
      <c r="P30" s="18" t="n">
        <v>46253</v>
      </c>
      <c r="Q30" s="18" t="n">
        <v>46325</v>
      </c>
      <c r="R30" s="16" t="n">
        <v>10.38</v>
      </c>
      <c r="S30" s="19">
        <f>IF(AND(ISNUMBER(F30),ISNUMBER(R30),R30&gt;0),F30/R30,"")</f>
        <v/>
      </c>
      <c r="T30" s="18" t="n">
        <v>46246</v>
      </c>
    </row>
    <row r="31">
      <c r="A31" s="20" t="inlineStr">
        <is>
          <t>GE</t>
        </is>
      </c>
      <c r="B31" s="20" t="inlineStr">
        <is>
          <t>GE Aerospace</t>
        </is>
      </c>
      <c r="C31" s="20" t="inlineStr">
        <is>
          <t>Aerospace &amp; Defense</t>
        </is>
      </c>
      <c r="D31" s="20" t="inlineStr">
        <is>
          <t>United States</t>
        </is>
      </c>
      <c r="E31" s="21" t="n">
        <v>380.56</v>
      </c>
      <c r="F31" s="22" t="n">
        <v>366.78</v>
      </c>
      <c r="G31" s="22" t="n">
        <v>404.90475</v>
      </c>
      <c r="H31" s="23">
        <f>IF(AND(ISNUMBER(F31),ISNUMBER(G31),F31&gt;0),G31/F31-1,"")</f>
        <v/>
      </c>
      <c r="I31" s="22" t="n">
        <v>347</v>
      </c>
      <c r="J31" s="23">
        <f>IF(AND(ISNUMBER(F31),ISNUMBER(I31),F31&gt;0),I31/F31-1,"")</f>
        <v/>
      </c>
      <c r="K31" s="22" t="n">
        <v>455</v>
      </c>
      <c r="L31" s="23">
        <f>IF(AND(ISNUMBER(F31),ISNUMBER(K31),F31&gt;0),K31/F31-1,"")</f>
        <v/>
      </c>
      <c r="M31" s="24" t="n">
        <v>21</v>
      </c>
      <c r="N31" s="25" t="n">
        <v>1.88</v>
      </c>
      <c r="O31" s="26">
        <f>IF(AND(ISNUMBER(F31),ISNUMBER(N31),F31&gt;0),N31/F31,"")</f>
        <v/>
      </c>
      <c r="P31" s="27" t="n">
        <v>46209</v>
      </c>
      <c r="Q31" s="27" t="n">
        <v>46315</v>
      </c>
      <c r="R31" s="25" t="n">
        <v>8.470000000000001</v>
      </c>
      <c r="S31" s="28">
        <f>IF(AND(ISNUMBER(F31),ISNUMBER(R31),R31&gt;0),F31/R31,"")</f>
        <v/>
      </c>
      <c r="T31" s="27" t="n">
        <v>46246</v>
      </c>
    </row>
    <row r="32">
      <c r="A32" s="11" t="inlineStr">
        <is>
          <t>KO</t>
        </is>
      </c>
      <c r="B32" s="11" t="inlineStr">
        <is>
          <t>Coca-Cola Company (The)</t>
        </is>
      </c>
      <c r="C32" s="11" t="inlineStr">
        <is>
          <t>Beverages - Non-Alcoholic</t>
        </is>
      </c>
      <c r="D32" s="11" t="inlineStr">
        <is>
          <t>United States</t>
        </is>
      </c>
      <c r="E32" s="12" t="n">
        <v>374.92</v>
      </c>
      <c r="F32" s="13" t="n">
        <v>87.14</v>
      </c>
      <c r="G32" s="13" t="n">
        <v>94.69565</v>
      </c>
      <c r="H32" s="14">
        <f>IF(AND(ISNUMBER(F32),ISNUMBER(G32),F32&gt;0),G32/F32-1,"")</f>
        <v/>
      </c>
      <c r="I32" s="13" t="n">
        <v>75</v>
      </c>
      <c r="J32" s="14">
        <f>IF(AND(ISNUMBER(F32),ISNUMBER(I32),F32&gt;0),I32/F32-1,"")</f>
        <v/>
      </c>
      <c r="K32" s="13" t="n">
        <v>104</v>
      </c>
      <c r="L32" s="14">
        <f>IF(AND(ISNUMBER(F32),ISNUMBER(K32),F32&gt;0),K32/F32-1,"")</f>
        <v/>
      </c>
      <c r="M32" s="15" t="n">
        <v>23</v>
      </c>
      <c r="N32" s="16" t="n">
        <v>2.12</v>
      </c>
      <c r="O32" s="17">
        <f>IF(AND(ISNUMBER(F32),ISNUMBER(N32),F32&gt;0),N32/F32,"")</f>
        <v/>
      </c>
      <c r="P32" s="18" t="n">
        <v>46280</v>
      </c>
      <c r="Q32" s="18" t="n">
        <v>46315</v>
      </c>
      <c r="R32" s="16" t="n">
        <v>3.33</v>
      </c>
      <c r="S32" s="19">
        <f>IF(AND(ISNUMBER(F32),ISNUMBER(R32),R32&gt;0),F32/R32,"")</f>
        <v/>
      </c>
      <c r="T32" s="18" t="n">
        <v>46246</v>
      </c>
    </row>
    <row r="33">
      <c r="A33" s="20" t="inlineStr">
        <is>
          <t>UNH</t>
        </is>
      </c>
      <c r="B33" s="20" t="inlineStr">
        <is>
          <t>UnitedHealth Group Incorporated</t>
        </is>
      </c>
      <c r="C33" s="20" t="inlineStr">
        <is>
          <t>Healthcare Plans</t>
        </is>
      </c>
      <c r="D33" s="20" t="inlineStr">
        <is>
          <t>United States</t>
        </is>
      </c>
      <c r="E33" s="21" t="n">
        <v>363.17</v>
      </c>
      <c r="F33" s="22" t="n">
        <v>404.6</v>
      </c>
      <c r="G33" s="22" t="n">
        <v>475.23077</v>
      </c>
      <c r="H33" s="23">
        <f>IF(AND(ISNUMBER(F33),ISNUMBER(G33),F33&gt;0),G33/F33-1,"")</f>
        <v/>
      </c>
      <c r="I33" s="22" t="n">
        <v>313</v>
      </c>
      <c r="J33" s="23">
        <f>IF(AND(ISNUMBER(F33),ISNUMBER(I33),F33&gt;0),I33/F33-1,"")</f>
        <v/>
      </c>
      <c r="K33" s="22" t="n">
        <v>529</v>
      </c>
      <c r="L33" s="23">
        <f>IF(AND(ISNUMBER(F33),ISNUMBER(K33),F33&gt;0),K33/F33-1,"")</f>
        <v/>
      </c>
      <c r="M33" s="24" t="n">
        <v>26</v>
      </c>
      <c r="N33" s="25" t="n">
        <v>9.279999999999999</v>
      </c>
      <c r="O33" s="26">
        <f>IF(AND(ISNUMBER(F33),ISNUMBER(N33),F33&gt;0),N33/F33,"")</f>
        <v/>
      </c>
      <c r="P33" s="27" t="n">
        <v>46188</v>
      </c>
      <c r="Q33" s="27" t="n">
        <v>46322</v>
      </c>
      <c r="R33" s="25" t="n">
        <v>15.56</v>
      </c>
      <c r="S33" s="28">
        <f>IF(AND(ISNUMBER(F33),ISNUMBER(R33),R33&gt;0),F33/R33,"")</f>
        <v/>
      </c>
      <c r="T33" s="27" t="n">
        <v>46246</v>
      </c>
    </row>
    <row r="34">
      <c r="A34" s="11" t="inlineStr">
        <is>
          <t>RHHBY</t>
        </is>
      </c>
      <c r="B34" s="11" t="inlineStr">
        <is>
          <t>Roche Holding Ltd</t>
        </is>
      </c>
      <c r="C34" s="11" t="inlineStr">
        <is>
          <t>Drug Manufacturers - General</t>
        </is>
      </c>
      <c r="D34" s="11" t="inlineStr">
        <is>
          <t>Switzerland</t>
        </is>
      </c>
      <c r="E34" s="12" t="n">
        <v>359.31</v>
      </c>
      <c r="F34" s="13" t="n">
        <v>56.37</v>
      </c>
      <c r="G34" s="13" t="n">
        <v>59.65714</v>
      </c>
      <c r="H34" s="14">
        <f>IF(AND(ISNUMBER(F34),ISNUMBER(G34),F34&gt;0),G34/F34-1,"")</f>
        <v/>
      </c>
      <c r="I34" s="13" t="n">
        <v>53</v>
      </c>
      <c r="J34" s="14">
        <f>IF(AND(ISNUMBER(F34),ISNUMBER(I34),F34&gt;0),I34/F34-1,"")</f>
        <v/>
      </c>
      <c r="K34" s="13" t="n">
        <v>67</v>
      </c>
      <c r="L34" s="14">
        <f>IF(AND(ISNUMBER(F34),ISNUMBER(K34),F34&gt;0),K34/F34-1,"")</f>
        <v/>
      </c>
      <c r="M34" s="15" t="n">
        <v>7</v>
      </c>
      <c r="N34" s="16" t="n">
        <v>1.55</v>
      </c>
      <c r="O34" s="17">
        <f>IF(AND(ISNUMBER(F34),ISNUMBER(N34),F34&gt;0),N34/F34,"")</f>
        <v/>
      </c>
      <c r="P34" s="18" t="n">
        <v>46094</v>
      </c>
      <c r="Q34" s="18" t="n">
        <v>46051</v>
      </c>
      <c r="R34" s="16" t="n">
        <v>2.37</v>
      </c>
      <c r="S34" s="19">
        <f>IF(AND(ISNUMBER(F34),ISNUMBER(R34),R34&gt;0),F34/R34,"")</f>
        <v/>
      </c>
      <c r="T34" s="18" t="n">
        <v>46246</v>
      </c>
    </row>
    <row r="35">
      <c r="A35" s="20" t="inlineStr">
        <is>
          <t>HSBC</t>
        </is>
      </c>
      <c r="B35" s="20" t="inlineStr">
        <is>
          <t>HSBC Holdings, plc.</t>
        </is>
      </c>
      <c r="C35" s="20" t="inlineStr">
        <is>
          <t>Banks - Diversified</t>
        </is>
      </c>
      <c r="D35" s="20" t="inlineStr">
        <is>
          <t>United Kingdom</t>
        </is>
      </c>
      <c r="E35" s="21" t="n">
        <v>357.52</v>
      </c>
      <c r="F35" s="22" t="n">
        <v>104.03</v>
      </c>
      <c r="G35" s="22" t="n">
        <v>106.08</v>
      </c>
      <c r="H35" s="23">
        <f>IF(AND(ISNUMBER(F35),ISNUMBER(G35),F35&gt;0),G35/F35-1,"")</f>
        <v/>
      </c>
      <c r="I35" s="22" t="n">
        <v>101</v>
      </c>
      <c r="J35" s="23">
        <f>IF(AND(ISNUMBER(F35),ISNUMBER(I35),F35&gt;0),I35/F35-1,"")</f>
        <v/>
      </c>
      <c r="K35" s="22" t="n">
        <v>115.24</v>
      </c>
      <c r="L35" s="23">
        <f>IF(AND(ISNUMBER(F35),ISNUMBER(K35),F35&gt;0),K35/F35-1,"")</f>
        <v/>
      </c>
      <c r="M35" s="24" t="n">
        <v>3</v>
      </c>
      <c r="N35" s="25" t="n">
        <v>3.75</v>
      </c>
      <c r="O35" s="26">
        <f>IF(AND(ISNUMBER(F35),ISNUMBER(N35),F35&gt;0),N35/F35,"")</f>
        <v/>
      </c>
      <c r="P35" s="27" t="n">
        <v>46248</v>
      </c>
      <c r="Q35" s="27" t="n">
        <v>46322</v>
      </c>
      <c r="R35" s="25" t="n">
        <v>7</v>
      </c>
      <c r="S35" s="28">
        <f>IF(AND(ISNUMBER(F35),ISNUMBER(R35),R35&gt;0),F35/R35,"")</f>
        <v/>
      </c>
      <c r="T35" s="27" t="n">
        <v>46246</v>
      </c>
    </row>
    <row r="36">
      <c r="A36" s="11" t="inlineStr">
        <is>
          <t>MS</t>
        </is>
      </c>
      <c r="B36" s="11" t="inlineStr">
        <is>
          <t>Morgan Stanley</t>
        </is>
      </c>
      <c r="C36" s="11" t="inlineStr">
        <is>
          <t>Capital Markets</t>
        </is>
      </c>
      <c r="D36" s="11" t="inlineStr">
        <is>
          <t>United States</t>
        </is>
      </c>
      <c r="E36" s="12" t="n">
        <v>342.49</v>
      </c>
      <c r="F36" s="13" t="n">
        <v>217.87</v>
      </c>
      <c r="G36" s="13" t="n">
        <v>236.61905</v>
      </c>
      <c r="H36" s="14">
        <f>IF(AND(ISNUMBER(F36),ISNUMBER(G36),F36&gt;0),G36/F36-1,"")</f>
        <v/>
      </c>
      <c r="I36" s="13" t="n">
        <v>184</v>
      </c>
      <c r="J36" s="14">
        <f>IF(AND(ISNUMBER(F36),ISNUMBER(I36),F36&gt;0),I36/F36-1,"")</f>
        <v/>
      </c>
      <c r="K36" s="13" t="n">
        <v>262</v>
      </c>
      <c r="L36" s="14">
        <f>IF(AND(ISNUMBER(F36),ISNUMBER(K36),F36&gt;0),K36/F36-1,"")</f>
        <v/>
      </c>
      <c r="M36" s="15" t="n">
        <v>21</v>
      </c>
      <c r="N36" s="16" t="n">
        <v>4.6</v>
      </c>
      <c r="O36" s="17">
        <f>IF(AND(ISNUMBER(F36),ISNUMBER(N36),F36&gt;0),N36/F36,"")</f>
        <v/>
      </c>
      <c r="P36" s="18" t="n">
        <v>46234</v>
      </c>
      <c r="Q36" s="18" t="n">
        <v>46309</v>
      </c>
      <c r="R36" s="16" t="n">
        <v>12.39</v>
      </c>
      <c r="S36" s="19">
        <f>IF(AND(ISNUMBER(F36),ISNUMBER(R36),R36&gt;0),F36/R36,"")</f>
        <v/>
      </c>
      <c r="T36" s="18" t="n">
        <v>46246</v>
      </c>
    </row>
    <row r="37">
      <c r="A37" s="20" t="inlineStr">
        <is>
          <t>PG</t>
        </is>
      </c>
      <c r="B37" s="20" t="inlineStr">
        <is>
          <t>Procter &amp; Gamble Company (The)</t>
        </is>
      </c>
      <c r="C37" s="20" t="inlineStr">
        <is>
          <t>Household &amp; Personal Products</t>
        </is>
      </c>
      <c r="D37" s="20" t="inlineStr">
        <is>
          <t>United States</t>
        </is>
      </c>
      <c r="E37" s="21" t="n">
        <v>335.62</v>
      </c>
      <c r="F37" s="22" t="n">
        <v>144.39</v>
      </c>
      <c r="G37" s="22" t="n">
        <v>160.56522</v>
      </c>
      <c r="H37" s="23">
        <f>IF(AND(ISNUMBER(F37),ISNUMBER(G37),F37&gt;0),G37/F37-1,"")</f>
        <v/>
      </c>
      <c r="I37" s="22" t="n">
        <v>143</v>
      </c>
      <c r="J37" s="23">
        <f>IF(AND(ISNUMBER(F37),ISNUMBER(I37),F37&gt;0),I37/F37-1,"")</f>
        <v/>
      </c>
      <c r="K37" s="22" t="n">
        <v>186</v>
      </c>
      <c r="L37" s="23">
        <f>IF(AND(ISNUMBER(F37),ISNUMBER(K37),F37&gt;0),K37/F37-1,"")</f>
        <v/>
      </c>
      <c r="M37" s="24" t="n">
        <v>23</v>
      </c>
      <c r="N37" s="25" t="n">
        <v>4.35</v>
      </c>
      <c r="O37" s="26">
        <f>IF(AND(ISNUMBER(F37),ISNUMBER(N37),F37&gt;0),N37/F37,"")</f>
        <v/>
      </c>
      <c r="P37" s="27" t="n">
        <v>46227</v>
      </c>
      <c r="Q37" s="27" t="n">
        <v>46317</v>
      </c>
      <c r="R37" s="25" t="n">
        <v>6.62</v>
      </c>
      <c r="S37" s="28">
        <f>IF(AND(ISNUMBER(F37),ISNUMBER(R37),R37&gt;0),F37/R37,"")</f>
        <v/>
      </c>
      <c r="T37" s="27" t="n">
        <v>46246</v>
      </c>
    </row>
    <row r="38">
      <c r="A38" s="11" t="inlineStr">
        <is>
          <t>MRK</t>
        </is>
      </c>
      <c r="B38" s="11" t="inlineStr">
        <is>
          <t>Merck &amp; Company, Inc.</t>
        </is>
      </c>
      <c r="C38" s="11" t="inlineStr">
        <is>
          <t>Drug Manufacturers - General</t>
        </is>
      </c>
      <c r="D38" s="11" t="inlineStr">
        <is>
          <t>United States</t>
        </is>
      </c>
      <c r="E38" s="12" t="n">
        <v>327.71</v>
      </c>
      <c r="F38" s="13" t="n">
        <v>132.83</v>
      </c>
      <c r="G38" s="13" t="n">
        <v>136.84615</v>
      </c>
      <c r="H38" s="14">
        <f>IF(AND(ISNUMBER(F38),ISNUMBER(G38),F38&gt;0),G38/F38-1,"")</f>
        <v/>
      </c>
      <c r="I38" s="13" t="n">
        <v>105</v>
      </c>
      <c r="J38" s="14">
        <f>IF(AND(ISNUMBER(F38),ISNUMBER(I38),F38&gt;0),I38/F38-1,"")</f>
        <v/>
      </c>
      <c r="K38" s="13" t="n">
        <v>155</v>
      </c>
      <c r="L38" s="14">
        <f>IF(AND(ISNUMBER(F38),ISNUMBER(K38),F38&gt;0),K38/F38-1,"")</f>
        <v/>
      </c>
      <c r="M38" s="15" t="n">
        <v>26</v>
      </c>
      <c r="N38" s="16" t="n">
        <v>3.4</v>
      </c>
      <c r="O38" s="17">
        <f>IF(AND(ISNUMBER(F38),ISNUMBER(N38),F38&gt;0),N38/F38,"")</f>
        <v/>
      </c>
      <c r="P38" s="18" t="n">
        <v>46280</v>
      </c>
      <c r="Q38" s="18" t="n">
        <v>46324</v>
      </c>
      <c r="R38" s="16" t="n">
        <v>1.25</v>
      </c>
      <c r="S38" s="19">
        <f>IF(AND(ISNUMBER(F38),ISNUMBER(R38),R38&gt;0),F38/R38,"")</f>
        <v/>
      </c>
      <c r="T38" s="18" t="n">
        <v>46246</v>
      </c>
    </row>
    <row r="39">
      <c r="A39" s="20" t="inlineStr">
        <is>
          <t>NFLX</t>
        </is>
      </c>
      <c r="B39" s="20" t="inlineStr">
        <is>
          <t>Netflix, Inc.</t>
        </is>
      </c>
      <c r="C39" s="20" t="inlineStr">
        <is>
          <t>Entertainment</t>
        </is>
      </c>
      <c r="D39" s="20" t="inlineStr">
        <is>
          <t>United States</t>
        </is>
      </c>
      <c r="E39" s="21" t="n">
        <v>308.4</v>
      </c>
      <c r="F39" s="22" t="n">
        <v>74.06</v>
      </c>
      <c r="G39" s="22" t="n">
        <v>94.03667</v>
      </c>
      <c r="H39" s="23">
        <f>IF(AND(ISNUMBER(F39),ISNUMBER(G39),F39&gt;0),G39/F39-1,"")</f>
        <v/>
      </c>
      <c r="I39" s="22" t="n">
        <v>70</v>
      </c>
      <c r="J39" s="23">
        <f>IF(AND(ISNUMBER(F39),ISNUMBER(I39),F39&gt;0),I39/F39-1,"")</f>
        <v/>
      </c>
      <c r="K39" s="22" t="n">
        <v>135</v>
      </c>
      <c r="L39" s="23">
        <f>IF(AND(ISNUMBER(F39),ISNUMBER(K39),F39&gt;0),K39/F39-1,"")</f>
        <v/>
      </c>
      <c r="M39" s="24" t="n">
        <v>45</v>
      </c>
      <c r="N39" s="25" t="n"/>
      <c r="O39" s="26">
        <f>IF(AND(ISNUMBER(F39),ISNUMBER(N39),F39&gt;0),N39/F39,"")</f>
        <v/>
      </c>
      <c r="P39" s="27" t="n"/>
      <c r="Q39" s="27" t="n">
        <v>46315</v>
      </c>
      <c r="R39" s="25" t="n">
        <v>3.18</v>
      </c>
      <c r="S39" s="28">
        <f>IF(AND(ISNUMBER(F39),ISNUMBER(R39),R39&gt;0),F39/R39,"")</f>
        <v/>
      </c>
      <c r="T39" s="27" t="n">
        <v>46246</v>
      </c>
    </row>
    <row r="40">
      <c r="A40" s="11" t="inlineStr">
        <is>
          <t>GS</t>
        </is>
      </c>
      <c r="B40" s="11" t="inlineStr">
        <is>
          <t>Goldman Sachs Group, Inc. (The)</t>
        </is>
      </c>
      <c r="C40" s="11" t="inlineStr">
        <is>
          <t>Capital Markets</t>
        </is>
      </c>
      <c r="D40" s="11" t="inlineStr">
        <is>
          <t>United States</t>
        </is>
      </c>
      <c r="E40" s="12" t="n">
        <v>302.18</v>
      </c>
      <c r="F40" s="13" t="n">
        <v>1037.83</v>
      </c>
      <c r="G40" s="13" t="n">
        <v>1141.65</v>
      </c>
      <c r="H40" s="14">
        <f>IF(AND(ISNUMBER(F40),ISNUMBER(G40),F40&gt;0),G40/F40-1,"")</f>
        <v/>
      </c>
      <c r="I40" s="13" t="n">
        <v>730</v>
      </c>
      <c r="J40" s="14">
        <f>IF(AND(ISNUMBER(F40),ISNUMBER(I40),F40&gt;0),I40/F40-1,"")</f>
        <v/>
      </c>
      <c r="K40" s="13" t="n">
        <v>1325</v>
      </c>
      <c r="L40" s="14">
        <f>IF(AND(ISNUMBER(F40),ISNUMBER(K40),F40&gt;0),K40/F40-1,"")</f>
        <v/>
      </c>
      <c r="M40" s="15" t="n">
        <v>20</v>
      </c>
      <c r="N40" s="16" t="n">
        <v>20</v>
      </c>
      <c r="O40" s="17">
        <f>IF(AND(ISNUMBER(F40),ISNUMBER(N40),F40&gt;0),N40/F40,"")</f>
        <v/>
      </c>
      <c r="P40" s="18" t="n">
        <v>46266</v>
      </c>
      <c r="Q40" s="18" t="n">
        <v>46308</v>
      </c>
      <c r="R40" s="16" t="n">
        <v>64.75</v>
      </c>
      <c r="S40" s="19">
        <f>IF(AND(ISNUMBER(F40),ISNUMBER(R40),R40&gt;0),F40/R40,"")</f>
        <v/>
      </c>
      <c r="T40" s="18" t="n">
        <v>46246</v>
      </c>
    </row>
    <row r="41">
      <c r="A41" s="20" t="inlineStr">
        <is>
          <t>RTX</t>
        </is>
      </c>
      <c r="B41" s="20" t="inlineStr">
        <is>
          <t>RTX Corporation</t>
        </is>
      </c>
      <c r="C41" s="20" t="inlineStr">
        <is>
          <t>Aerospace &amp; Defense</t>
        </is>
      </c>
      <c r="D41" s="20" t="inlineStr">
        <is>
          <t>United States</t>
        </is>
      </c>
      <c r="E41" s="21" t="n">
        <v>300.37</v>
      </c>
      <c r="F41" s="22" t="n">
        <v>222.87</v>
      </c>
      <c r="G41" s="22" t="n">
        <v>232.27182</v>
      </c>
      <c r="H41" s="23">
        <f>IF(AND(ISNUMBER(F41),ISNUMBER(G41),F41&gt;0),G41/F41-1,"")</f>
        <v/>
      </c>
      <c r="I41" s="22" t="n">
        <v>183.98</v>
      </c>
      <c r="J41" s="23">
        <f>IF(AND(ISNUMBER(F41),ISNUMBER(I41),F41&gt;0),I41/F41-1,"")</f>
        <v/>
      </c>
      <c r="K41" s="22" t="n">
        <v>265</v>
      </c>
      <c r="L41" s="23">
        <f>IF(AND(ISNUMBER(F41),ISNUMBER(K41),F41&gt;0),K41/F41-1,"")</f>
        <v/>
      </c>
      <c r="M41" s="24" t="n">
        <v>22</v>
      </c>
      <c r="N41" s="25" t="n">
        <v>2.92</v>
      </c>
      <c r="O41" s="26">
        <f>IF(AND(ISNUMBER(F41),ISNUMBER(N41),F41&gt;0),N41/F41,"")</f>
        <v/>
      </c>
      <c r="P41" s="27" t="n">
        <v>46248</v>
      </c>
      <c r="Q41" s="27" t="n">
        <v>46315</v>
      </c>
      <c r="R41" s="25" t="n">
        <v>5.69</v>
      </c>
      <c r="S41" s="28">
        <f>IF(AND(ISNUMBER(F41),ISNUMBER(R41),R41&gt;0),F41/R41,"")</f>
        <v/>
      </c>
      <c r="T41" s="27" t="n">
        <v>46246</v>
      </c>
    </row>
    <row r="42">
      <c r="A42" s="11" t="inlineStr">
        <is>
          <t>BABA</t>
        </is>
      </c>
      <c r="B42" s="11" t="inlineStr">
        <is>
          <t>Alibaba Group Holding Limited</t>
        </is>
      </c>
      <c r="C42" s="11" t="inlineStr">
        <is>
          <t>Internet Retail</t>
        </is>
      </c>
      <c r="D42" s="11" t="inlineStr">
        <is>
          <t>China</t>
        </is>
      </c>
      <c r="E42" s="12" t="n">
        <v>299.44</v>
      </c>
      <c r="F42" s="13" t="n">
        <v>124.93</v>
      </c>
      <c r="G42" s="13" t="n">
        <v>189.87439</v>
      </c>
      <c r="H42" s="14">
        <f>IF(AND(ISNUMBER(F42),ISNUMBER(G42),F42&gt;0),G42/F42-1,"")</f>
        <v/>
      </c>
      <c r="I42" s="13" t="n">
        <v>92.58347999999999</v>
      </c>
      <c r="J42" s="14">
        <f>IF(AND(ISNUMBER(F42),ISNUMBER(I42),F42&gt;0),I42/F42-1,"")</f>
        <v/>
      </c>
      <c r="K42" s="13" t="n">
        <v>242.97964</v>
      </c>
      <c r="L42" s="14">
        <f>IF(AND(ISNUMBER(F42),ISNUMBER(K42),F42&gt;0),K42/F42-1,"")</f>
        <v/>
      </c>
      <c r="M42" s="15" t="n">
        <v>39</v>
      </c>
      <c r="N42" s="16" t="n">
        <v>1.05</v>
      </c>
      <c r="O42" s="17">
        <f>IF(AND(ISNUMBER(F42),ISNUMBER(N42),F42&gt;0),N42/F42,"")</f>
        <v/>
      </c>
      <c r="P42" s="18" t="n">
        <v>46184</v>
      </c>
      <c r="Q42" s="18" t="n">
        <v>46254</v>
      </c>
      <c r="R42" s="16" t="n">
        <v>6.52</v>
      </c>
      <c r="S42" s="19">
        <f>IF(AND(ISNUMBER(F42),ISNUMBER(R42),R42&gt;0),F42/R42,"")</f>
        <v/>
      </c>
      <c r="T42" s="18" t="n">
        <v>46246</v>
      </c>
    </row>
    <row r="43">
      <c r="A43" s="20" t="inlineStr">
        <is>
          <t>PM</t>
        </is>
      </c>
      <c r="B43" s="20" t="inlineStr">
        <is>
          <t>Philip Morris International Inc</t>
        </is>
      </c>
      <c r="C43" s="20" t="inlineStr">
        <is>
          <t>Tobacco</t>
        </is>
      </c>
      <c r="D43" s="20" t="inlineStr">
        <is>
          <t>United States</t>
        </is>
      </c>
      <c r="E43" s="21" t="n">
        <v>290.79</v>
      </c>
      <c r="F43" s="22" t="n">
        <v>186.57</v>
      </c>
      <c r="G43" s="22" t="n">
        <v>203.8</v>
      </c>
      <c r="H43" s="23">
        <f>IF(AND(ISNUMBER(F43),ISNUMBER(G43),F43&gt;0),G43/F43-1,"")</f>
        <v/>
      </c>
      <c r="I43" s="22" t="n">
        <v>175</v>
      </c>
      <c r="J43" s="23">
        <f>IF(AND(ISNUMBER(F43),ISNUMBER(I43),F43&gt;0),I43/F43-1,"")</f>
        <v/>
      </c>
      <c r="K43" s="22" t="n">
        <v>225</v>
      </c>
      <c r="L43" s="23">
        <f>IF(AND(ISNUMBER(F43),ISNUMBER(K43),F43&gt;0),K43/F43-1,"")</f>
        <v/>
      </c>
      <c r="M43" s="24" t="n">
        <v>15</v>
      </c>
      <c r="N43" s="25" t="n">
        <v>5.88</v>
      </c>
      <c r="O43" s="26">
        <f>IF(AND(ISNUMBER(F43),ISNUMBER(N43),F43&gt;0),N43/F43,"")</f>
        <v/>
      </c>
      <c r="P43" s="27" t="n">
        <v>46198</v>
      </c>
      <c r="Q43" s="27" t="n">
        <v>46316</v>
      </c>
      <c r="R43" s="25" t="n">
        <v>7.28</v>
      </c>
      <c r="S43" s="28">
        <f>IF(AND(ISNUMBER(F43),ISNUMBER(R43),R43&gt;0),F43/R43,"")</f>
        <v/>
      </c>
      <c r="T43" s="27" t="n">
        <v>46246</v>
      </c>
    </row>
    <row r="44">
      <c r="A44" s="11" t="inlineStr">
        <is>
          <t>NVS</t>
        </is>
      </c>
      <c r="B44" s="11" t="inlineStr">
        <is>
          <t>Novartis AG</t>
        </is>
      </c>
      <c r="C44" s="11" t="inlineStr">
        <is>
          <t>Drug Manufacturers - General</t>
        </is>
      </c>
      <c r="D44" s="11" t="inlineStr">
        <is>
          <t>Switzerland</t>
        </is>
      </c>
      <c r="E44" s="12" t="n">
        <v>289.9</v>
      </c>
      <c r="F44" s="13" t="n">
        <v>152.52</v>
      </c>
      <c r="G44" s="13" t="n">
        <v>155.365</v>
      </c>
      <c r="H44" s="14">
        <f>IF(AND(ISNUMBER(F44),ISNUMBER(G44),F44&gt;0),G44/F44-1,"")</f>
        <v/>
      </c>
      <c r="I44" s="13" t="n">
        <v>123</v>
      </c>
      <c r="J44" s="14">
        <f>IF(AND(ISNUMBER(F44),ISNUMBER(I44),F44&gt;0),I44/F44-1,"")</f>
        <v/>
      </c>
      <c r="K44" s="13" t="n">
        <v>180</v>
      </c>
      <c r="L44" s="14">
        <f>IF(AND(ISNUMBER(F44),ISNUMBER(K44),F44&gt;0),K44/F44-1,"")</f>
        <v/>
      </c>
      <c r="M44" s="15" t="n">
        <v>10</v>
      </c>
      <c r="N44" s="16" t="n">
        <v>4.74</v>
      </c>
      <c r="O44" s="17">
        <f>IF(AND(ISNUMBER(F44),ISNUMBER(N44),F44&gt;0),N44/F44,"")</f>
        <v/>
      </c>
      <c r="P44" s="18" t="n">
        <v>46092</v>
      </c>
      <c r="Q44" s="18" t="n">
        <v>46322</v>
      </c>
      <c r="R44" s="16" t="n">
        <v>6.62</v>
      </c>
      <c r="S44" s="19">
        <f>IF(AND(ISNUMBER(F44),ISNUMBER(R44),R44&gt;0),F44/R44,"")</f>
        <v/>
      </c>
      <c r="T44" s="18" t="n">
        <v>46246</v>
      </c>
    </row>
    <row r="45">
      <c r="A45" s="20" t="inlineStr">
        <is>
          <t>WFC</t>
        </is>
      </c>
      <c r="B45" s="20" t="inlineStr">
        <is>
          <t>Wells Fargo &amp; Company</t>
        </is>
      </c>
      <c r="C45" s="20" t="inlineStr">
        <is>
          <t>Banks - Diversified</t>
        </is>
      </c>
      <c r="D45" s="20" t="inlineStr">
        <is>
          <t>United States</t>
        </is>
      </c>
      <c r="E45" s="21" t="n">
        <v>267.81</v>
      </c>
      <c r="F45" s="22" t="n">
        <v>88.56</v>
      </c>
      <c r="G45" s="22" t="n">
        <v>100.02174</v>
      </c>
      <c r="H45" s="23">
        <f>IF(AND(ISNUMBER(F45),ISNUMBER(G45),F45&gt;0),G45/F45-1,"")</f>
        <v/>
      </c>
      <c r="I45" s="22" t="n">
        <v>90</v>
      </c>
      <c r="J45" s="23">
        <f>IF(AND(ISNUMBER(F45),ISNUMBER(I45),F45&gt;0),I45/F45-1,"")</f>
        <v/>
      </c>
      <c r="K45" s="22" t="n">
        <v>115</v>
      </c>
      <c r="L45" s="23">
        <f>IF(AND(ISNUMBER(F45),ISNUMBER(K45),F45&gt;0),K45/F45-1,"")</f>
        <v/>
      </c>
      <c r="M45" s="24" t="n">
        <v>23</v>
      </c>
      <c r="N45" s="25" t="n">
        <v>2</v>
      </c>
      <c r="O45" s="26">
        <f>IF(AND(ISNUMBER(F45),ISNUMBER(N45),F45&gt;0),N45/F45,"")</f>
        <v/>
      </c>
      <c r="P45" s="27" t="n">
        <v>46241</v>
      </c>
      <c r="Q45" s="27" t="n">
        <v>46308</v>
      </c>
      <c r="R45" s="25" t="n">
        <v>6.88</v>
      </c>
      <c r="S45" s="28">
        <f>IF(AND(ISNUMBER(F45),ISNUMBER(R45),R45&gt;0),F45/R45,"")</f>
        <v/>
      </c>
      <c r="T45" s="27" t="n">
        <v>46246</v>
      </c>
    </row>
    <row r="46">
      <c r="A46" s="11" t="inlineStr">
        <is>
          <t>LVMUY</t>
        </is>
      </c>
      <c r="B46" s="11" t="inlineStr">
        <is>
          <t>LVMH-Moet Hennessy Louis Vuitto</t>
        </is>
      </c>
      <c r="C46" s="11" t="inlineStr">
        <is>
          <t>Luxury Goods</t>
        </is>
      </c>
      <c r="D46" s="11" t="inlineStr">
        <is>
          <t>France</t>
        </is>
      </c>
      <c r="E46" s="12" t="n">
        <v>263.91</v>
      </c>
      <c r="F46" s="13" t="n">
        <v>107.07</v>
      </c>
      <c r="G46" s="13" t="n">
        <v>125.5</v>
      </c>
      <c r="H46" s="14">
        <f>IF(AND(ISNUMBER(F46),ISNUMBER(G46),F46&gt;0),G46/F46-1,"")</f>
        <v/>
      </c>
      <c r="I46" s="13" t="n">
        <v>95.5</v>
      </c>
      <c r="J46" s="14">
        <f>IF(AND(ISNUMBER(F46),ISNUMBER(I46),F46&gt;0),I46/F46-1,"")</f>
        <v/>
      </c>
      <c r="K46" s="13" t="n">
        <v>155</v>
      </c>
      <c r="L46" s="14">
        <f>IF(AND(ISNUMBER(F46),ISNUMBER(K46),F46&gt;0),K46/F46-1,"")</f>
        <v/>
      </c>
      <c r="M46" s="15" t="n">
        <v>3</v>
      </c>
      <c r="N46" s="16" t="n">
        <v>3.04</v>
      </c>
      <c r="O46" s="17">
        <f>IF(AND(ISNUMBER(F46),ISNUMBER(N46),F46&gt;0),N46/F46,"")</f>
        <v/>
      </c>
      <c r="P46" s="18" t="n">
        <v>46139</v>
      </c>
      <c r="Q46" s="18" t="n">
        <v>46230</v>
      </c>
      <c r="R46" s="16" t="n">
        <v>5.07</v>
      </c>
      <c r="S46" s="19">
        <f>IF(AND(ISNUMBER(F46),ISNUMBER(R46),R46&gt;0),F46/R46,"")</f>
        <v/>
      </c>
      <c r="T46" s="18" t="n">
        <v>46246</v>
      </c>
    </row>
    <row r="47">
      <c r="A47" s="20" t="inlineStr">
        <is>
          <t>TXN</t>
        </is>
      </c>
      <c r="B47" s="20" t="inlineStr">
        <is>
          <t>Texas Instruments Incorporated</t>
        </is>
      </c>
      <c r="C47" s="20" t="inlineStr">
        <is>
          <t>Semiconductors</t>
        </is>
      </c>
      <c r="D47" s="20" t="inlineStr">
        <is>
          <t>United States</t>
        </is>
      </c>
      <c r="E47" s="21" t="n">
        <v>254.73</v>
      </c>
      <c r="F47" s="22" t="n">
        <v>278.93</v>
      </c>
      <c r="G47" s="22" t="n">
        <v>324.4516</v>
      </c>
      <c r="H47" s="23">
        <f>IF(AND(ISNUMBER(F47),ISNUMBER(G47),F47&gt;0),G47/F47-1,"")</f>
        <v/>
      </c>
      <c r="I47" s="22" t="n">
        <v>225</v>
      </c>
      <c r="J47" s="23">
        <f>IF(AND(ISNUMBER(F47),ISNUMBER(I47),F47&gt;0),I47/F47-1,"")</f>
        <v/>
      </c>
      <c r="K47" s="22" t="n">
        <v>405</v>
      </c>
      <c r="L47" s="23">
        <f>IF(AND(ISNUMBER(F47),ISNUMBER(K47),F47&gt;0),K47/F47-1,"")</f>
        <v/>
      </c>
      <c r="M47" s="24" t="n">
        <v>31</v>
      </c>
      <c r="N47" s="25" t="n">
        <v>5.68</v>
      </c>
      <c r="O47" s="26">
        <f>IF(AND(ISNUMBER(F47),ISNUMBER(N47),F47&gt;0),N47/F47,"")</f>
        <v/>
      </c>
      <c r="P47" s="27" t="n">
        <v>46234</v>
      </c>
      <c r="Q47" s="27" t="n">
        <v>46322</v>
      </c>
      <c r="R47" s="25" t="n">
        <v>6.58</v>
      </c>
      <c r="S47" s="28">
        <f>IF(AND(ISNUMBER(F47),ISNUMBER(R47),R47&gt;0),F47/R47,"")</f>
        <v/>
      </c>
      <c r="T47" s="27" t="n">
        <v>46246</v>
      </c>
    </row>
    <row r="48">
      <c r="A48" s="11" t="inlineStr">
        <is>
          <t>NSRGY</t>
        </is>
      </c>
      <c r="B48" s="11" t="inlineStr">
        <is>
          <t>Nestle S.A.</t>
        </is>
      </c>
      <c r="C48" s="11" t="inlineStr">
        <is>
          <t>Packaged Foods</t>
        </is>
      </c>
      <c r="D48" s="11" t="inlineStr">
        <is>
          <t>Switzerland</t>
        </is>
      </c>
      <c r="E48" s="12" t="n">
        <v>250.74</v>
      </c>
      <c r="F48" s="13" t="n">
        <v>97.48</v>
      </c>
      <c r="G48" s="13" t="n">
        <v>110.8</v>
      </c>
      <c r="H48" s="14">
        <f>IF(AND(ISNUMBER(F48),ISNUMBER(G48),F48&gt;0),G48/F48-1,"")</f>
        <v/>
      </c>
      <c r="I48" s="13" t="n">
        <v>93</v>
      </c>
      <c r="J48" s="14">
        <f>IF(AND(ISNUMBER(F48),ISNUMBER(I48),F48&gt;0),I48/F48-1,"")</f>
        <v/>
      </c>
      <c r="K48" s="13" t="n">
        <v>128</v>
      </c>
      <c r="L48" s="14">
        <f>IF(AND(ISNUMBER(F48),ISNUMBER(K48),F48&gt;0),K48/F48-1,"")</f>
        <v/>
      </c>
      <c r="M48" s="15" t="n">
        <v>5</v>
      </c>
      <c r="N48" s="16" t="n">
        <v>3.94</v>
      </c>
      <c r="O48" s="17">
        <f>IF(AND(ISNUMBER(F48),ISNUMBER(N48),F48&gt;0),N48/F48,"")</f>
        <v/>
      </c>
      <c r="P48" s="18" t="n">
        <v>46133</v>
      </c>
      <c r="Q48" s="18" t="n">
        <v>46072</v>
      </c>
      <c r="R48" s="16" t="n">
        <v>3.58</v>
      </c>
      <c r="S48" s="19">
        <f>IF(AND(ISNUMBER(F48),ISNUMBER(R48),R48&gt;0),F48/R48,"")</f>
        <v/>
      </c>
      <c r="T48" s="18" t="n">
        <v>46246</v>
      </c>
    </row>
    <row r="49">
      <c r="A49" s="20" t="inlineStr">
        <is>
          <t>SHEL</t>
        </is>
      </c>
      <c r="B49" s="20" t="inlineStr">
        <is>
          <t>Shell PLC</t>
        </is>
      </c>
      <c r="C49" s="20" t="inlineStr">
        <is>
          <t>Oil &amp; Gas Integrated</t>
        </is>
      </c>
      <c r="D49" s="20" t="inlineStr">
        <is>
          <t>United Kingdom</t>
        </is>
      </c>
      <c r="E49" s="21" t="n">
        <v>249</v>
      </c>
      <c r="F49" s="22" t="n">
        <v>90.15000000000001</v>
      </c>
      <c r="G49" s="22" t="n">
        <v>98.03333000000001</v>
      </c>
      <c r="H49" s="23">
        <f>IF(AND(ISNUMBER(F49),ISNUMBER(G49),F49&gt;0),G49/F49-1,"")</f>
        <v/>
      </c>
      <c r="I49" s="22" t="n">
        <v>81.59999999999999</v>
      </c>
      <c r="J49" s="23">
        <f>IF(AND(ISNUMBER(F49),ISNUMBER(I49),F49&gt;0),I49/F49-1,"")</f>
        <v/>
      </c>
      <c r="K49" s="22" t="n">
        <v>120.6</v>
      </c>
      <c r="L49" s="23">
        <f>IF(AND(ISNUMBER(F49),ISNUMBER(K49),F49&gt;0),K49/F49-1,"")</f>
        <v/>
      </c>
      <c r="M49" s="24" t="n">
        <v>15</v>
      </c>
      <c r="N49" s="25" t="n">
        <v>3.12</v>
      </c>
      <c r="O49" s="26">
        <f>IF(AND(ISNUMBER(F49),ISNUMBER(N49),F49&gt;0),N49/F49,"")</f>
        <v/>
      </c>
      <c r="P49" s="27" t="n">
        <v>46248</v>
      </c>
      <c r="Q49" s="27" t="n">
        <v>46324</v>
      </c>
      <c r="R49" s="25" t="n">
        <v>9.039999999999999</v>
      </c>
      <c r="S49" s="28">
        <f>IF(AND(ISNUMBER(F49),ISNUMBER(R49),R49&gt;0),F49/R49,"")</f>
        <v/>
      </c>
      <c r="T49" s="27" t="n">
        <v>46246</v>
      </c>
    </row>
    <row r="50">
      <c r="A50" s="11" t="inlineStr">
        <is>
          <t>AZN</t>
        </is>
      </c>
      <c r="B50" s="11" t="inlineStr">
        <is>
          <t>AstraZeneca PLC</t>
        </is>
      </c>
      <c r="C50" s="11" t="inlineStr">
        <is>
          <t>Drug Manufacturers - General</t>
        </is>
      </c>
      <c r="D50" s="11" t="inlineStr">
        <is>
          <t>United Kingdom</t>
        </is>
      </c>
      <c r="E50" s="12" t="n">
        <v>245.48</v>
      </c>
      <c r="F50" s="13" t="n">
        <v>158.28</v>
      </c>
      <c r="G50" s="13" t="n">
        <v>213.69</v>
      </c>
      <c r="H50" s="14">
        <f>IF(AND(ISNUMBER(F50),ISNUMBER(G50),F50&gt;0),G50/F50-1,"")</f>
        <v/>
      </c>
      <c r="I50" s="13" t="n">
        <v>184</v>
      </c>
      <c r="J50" s="14">
        <f>IF(AND(ISNUMBER(F50),ISNUMBER(I50),F50&gt;0),I50/F50-1,"")</f>
        <v/>
      </c>
      <c r="K50" s="13" t="n">
        <v>240</v>
      </c>
      <c r="L50" s="14">
        <f>IF(AND(ISNUMBER(F50),ISNUMBER(K50),F50&gt;0),K50/F50-1,"")</f>
        <v/>
      </c>
      <c r="M50" s="15" t="n">
        <v>10</v>
      </c>
      <c r="N50" s="16" t="n">
        <v>3.2</v>
      </c>
      <c r="O50" s="17">
        <f>IF(AND(ISNUMBER(F50),ISNUMBER(N50),F50&gt;0),N50/F50,"")</f>
        <v/>
      </c>
      <c r="P50" s="18" t="n">
        <v>46241</v>
      </c>
      <c r="Q50" s="18" t="n">
        <v>46325</v>
      </c>
      <c r="R50" s="16" t="n">
        <v>6.68</v>
      </c>
      <c r="S50" s="19">
        <f>IF(AND(ISNUMBER(F50),ISNUMBER(R50),R50&gt;0),F50/R50,"")</f>
        <v/>
      </c>
      <c r="T50" s="18" t="n">
        <v>46246</v>
      </c>
    </row>
    <row r="51">
      <c r="A51" s="20" t="inlineStr">
        <is>
          <t>SAP</t>
        </is>
      </c>
      <c r="B51" s="20" t="inlineStr">
        <is>
          <t>SAP  SE</t>
        </is>
      </c>
      <c r="C51" s="20" t="inlineStr">
        <is>
          <t>Software - Application</t>
        </is>
      </c>
      <c r="D51" s="20" t="inlineStr">
        <is>
          <t>Germany</t>
        </is>
      </c>
      <c r="E51" s="21" t="n">
        <v>234.36</v>
      </c>
      <c r="F51" s="22" t="n">
        <v>203.05</v>
      </c>
      <c r="G51" s="22" t="n">
        <v>242.91667</v>
      </c>
      <c r="H51" s="23">
        <f>IF(AND(ISNUMBER(F51),ISNUMBER(G51),F51&gt;0),G51/F51-1,"")</f>
        <v/>
      </c>
      <c r="I51" s="22" t="n">
        <v>177</v>
      </c>
      <c r="J51" s="23">
        <f>IF(AND(ISNUMBER(F51),ISNUMBER(I51),F51&gt;0),I51/F51-1,"")</f>
        <v/>
      </c>
      <c r="K51" s="22" t="n">
        <v>319</v>
      </c>
      <c r="L51" s="23">
        <f>IF(AND(ISNUMBER(F51),ISNUMBER(K51),F51&gt;0),K51/F51-1,"")</f>
        <v/>
      </c>
      <c r="M51" s="24" t="n">
        <v>12</v>
      </c>
      <c r="N51" s="25" t="n">
        <v>2.93</v>
      </c>
      <c r="O51" s="26">
        <f>IF(AND(ISNUMBER(F51),ISNUMBER(N51),F51&gt;0),N51/F51,"")</f>
        <v/>
      </c>
      <c r="P51" s="27" t="n">
        <v>46148</v>
      </c>
      <c r="Q51" s="27" t="n">
        <v>46316</v>
      </c>
      <c r="R51" s="25" t="n">
        <v>7.72</v>
      </c>
      <c r="S51" s="28">
        <f>IF(AND(ISNUMBER(F51),ISNUMBER(R51),R51&gt;0),F51/R51,"")</f>
        <v/>
      </c>
      <c r="T51" s="27" t="n">
        <v>46246</v>
      </c>
    </row>
    <row r="52">
      <c r="A52" s="11" t="inlineStr">
        <is>
          <t>C</t>
        </is>
      </c>
      <c r="B52" s="11" t="inlineStr">
        <is>
          <t>Citigroup, Inc.</t>
        </is>
      </c>
      <c r="C52" s="11" t="inlineStr">
        <is>
          <t>Banks - Diversified</t>
        </is>
      </c>
      <c r="D52" s="11" t="inlineStr">
        <is>
          <t>United States</t>
        </is>
      </c>
      <c r="E52" s="12" t="n">
        <v>230.65</v>
      </c>
      <c r="F52" s="13" t="n">
        <v>137.5</v>
      </c>
      <c r="G52" s="13" t="n">
        <v>154.5</v>
      </c>
      <c r="H52" s="14">
        <f>IF(AND(ISNUMBER(F52),ISNUMBER(G52),F52&gt;0),G52/F52-1,"")</f>
        <v/>
      </c>
      <c r="I52" s="13" t="n">
        <v>129</v>
      </c>
      <c r="J52" s="14">
        <f>IF(AND(ISNUMBER(F52),ISNUMBER(I52),F52&gt;0),I52/F52-1,"")</f>
        <v/>
      </c>
      <c r="K52" s="13" t="n">
        <v>176</v>
      </c>
      <c r="L52" s="14">
        <f>IF(AND(ISNUMBER(F52),ISNUMBER(K52),F52&gt;0),K52/F52-1,"")</f>
        <v/>
      </c>
      <c r="M52" s="15" t="n">
        <v>20</v>
      </c>
      <c r="N52" s="16" t="n">
        <v>2.68</v>
      </c>
      <c r="O52" s="17">
        <f>IF(AND(ISNUMBER(F52),ISNUMBER(N52),F52&gt;0),N52/F52,"")</f>
        <v/>
      </c>
      <c r="P52" s="18" t="n">
        <v>46237</v>
      </c>
      <c r="Q52" s="18" t="n">
        <v>46308</v>
      </c>
      <c r="R52" s="16" t="n">
        <v>9.289999999999999</v>
      </c>
      <c r="S52" s="19">
        <f>IF(AND(ISNUMBER(F52),ISNUMBER(R52),R52&gt;0),F52/R52,"")</f>
        <v/>
      </c>
      <c r="T52" s="18" t="n">
        <v>46246</v>
      </c>
    </row>
    <row r="53">
      <c r="A53" s="20" t="inlineStr">
        <is>
          <t>AXP</t>
        </is>
      </c>
      <c r="B53" s="20" t="inlineStr">
        <is>
          <t>American Express Company</t>
        </is>
      </c>
      <c r="C53" s="20" t="inlineStr">
        <is>
          <t>Credit Services</t>
        </is>
      </c>
      <c r="D53" s="20" t="inlineStr">
        <is>
          <t>United States</t>
        </is>
      </c>
      <c r="E53" s="21" t="n">
        <v>230.46</v>
      </c>
      <c r="F53" s="22" t="n">
        <v>341.31</v>
      </c>
      <c r="G53" s="22" t="n">
        <v>375.5028</v>
      </c>
      <c r="H53" s="23">
        <f>IF(AND(ISNUMBER(F53),ISNUMBER(G53),F53&gt;0),G53/F53-1,"")</f>
        <v/>
      </c>
      <c r="I53" s="22" t="n">
        <v>315</v>
      </c>
      <c r="J53" s="23">
        <f>IF(AND(ISNUMBER(F53),ISNUMBER(I53),F53&gt;0),I53/F53-1,"")</f>
        <v/>
      </c>
      <c r="K53" s="22" t="n">
        <v>450</v>
      </c>
      <c r="L53" s="23">
        <f>IF(AND(ISNUMBER(F53),ISNUMBER(K53),F53&gt;0),K53/F53-1,"")</f>
        <v/>
      </c>
      <c r="M53" s="24" t="n">
        <v>25</v>
      </c>
      <c r="N53" s="25" t="n">
        <v>3.8</v>
      </c>
      <c r="O53" s="26">
        <f>IF(AND(ISNUMBER(F53),ISNUMBER(N53),F53&gt;0),N53/F53,"")</f>
        <v/>
      </c>
      <c r="P53" s="27" t="n">
        <v>46205</v>
      </c>
      <c r="Q53" s="27" t="n">
        <v>46318</v>
      </c>
      <c r="R53" s="25" t="n">
        <v>16.5</v>
      </c>
      <c r="S53" s="28">
        <f>IF(AND(ISNUMBER(F53),ISNUMBER(R53),R53&gt;0),F53/R53,"")</f>
        <v/>
      </c>
      <c r="T53" s="27" t="n">
        <v>46246</v>
      </c>
    </row>
    <row r="54">
      <c r="A54" s="11" t="inlineStr">
        <is>
          <t>BHP</t>
        </is>
      </c>
      <c r="B54" s="11" t="inlineStr">
        <is>
          <t>BHP Group Limited</t>
        </is>
      </c>
      <c r="C54" s="11" t="inlineStr">
        <is>
          <t>Other Industrial Metals &amp; Mining</t>
        </is>
      </c>
      <c r="D54" s="11" t="inlineStr">
        <is>
          <t>Australia</t>
        </is>
      </c>
      <c r="E54" s="12" t="n">
        <v>228.94</v>
      </c>
      <c r="F54" s="13" t="n">
        <v>90.12</v>
      </c>
      <c r="G54" s="13" t="n">
        <v>73.64286</v>
      </c>
      <c r="H54" s="14">
        <f>IF(AND(ISNUMBER(F54),ISNUMBER(G54),F54&gt;0),G54/F54-1,"")</f>
        <v/>
      </c>
      <c r="I54" s="13" t="n">
        <v>60</v>
      </c>
      <c r="J54" s="14">
        <f>IF(AND(ISNUMBER(F54),ISNUMBER(I54),F54&gt;0),I54/F54-1,"")</f>
        <v/>
      </c>
      <c r="K54" s="13" t="n">
        <v>91</v>
      </c>
      <c r="L54" s="14">
        <f>IF(AND(ISNUMBER(F54),ISNUMBER(K54),F54&gt;0),K54/F54-1,"")</f>
        <v/>
      </c>
      <c r="M54" s="15" t="n">
        <v>7</v>
      </c>
      <c r="N54" s="16" t="n">
        <v>2.66</v>
      </c>
      <c r="O54" s="17">
        <f>IF(AND(ISNUMBER(F54),ISNUMBER(N54),F54&gt;0),N54/F54,"")</f>
        <v/>
      </c>
      <c r="P54" s="18" t="n">
        <v>46087</v>
      </c>
      <c r="Q54" s="18" t="n">
        <v>46251</v>
      </c>
      <c r="R54" s="16" t="n">
        <v>4.02</v>
      </c>
      <c r="S54" s="19">
        <f>IF(AND(ISNUMBER(F54),ISNUMBER(R54),R54&gt;0),F54/R54,"")</f>
        <v/>
      </c>
      <c r="T54" s="18" t="n">
        <v>46246</v>
      </c>
    </row>
    <row r="55">
      <c r="A55" s="20" t="inlineStr">
        <is>
          <t>AMGN</t>
        </is>
      </c>
      <c r="B55" s="20" t="inlineStr">
        <is>
          <t>Amgen Inc.</t>
        </is>
      </c>
      <c r="C55" s="20" t="inlineStr">
        <is>
          <t>Drug Manufacturers - General</t>
        </is>
      </c>
      <c r="D55" s="20" t="inlineStr">
        <is>
          <t>United States</t>
        </is>
      </c>
      <c r="E55" s="21" t="n">
        <v>224.77</v>
      </c>
      <c r="F55" s="22" t="n">
        <v>415.46</v>
      </c>
      <c r="G55" s="22" t="n">
        <v>381.5862</v>
      </c>
      <c r="H55" s="23">
        <f>IF(AND(ISNUMBER(F55),ISNUMBER(G55),F55&gt;0),G55/F55-1,"")</f>
        <v/>
      </c>
      <c r="I55" s="22" t="n">
        <v>230</v>
      </c>
      <c r="J55" s="23">
        <f>IF(AND(ISNUMBER(F55),ISNUMBER(I55),F55&gt;0),I55/F55-1,"")</f>
        <v/>
      </c>
      <c r="K55" s="22" t="n">
        <v>452</v>
      </c>
      <c r="L55" s="23">
        <f>IF(AND(ISNUMBER(F55),ISNUMBER(K55),F55&gt;0),K55/F55-1,"")</f>
        <v/>
      </c>
      <c r="M55" s="24" t="n">
        <v>29</v>
      </c>
      <c r="N55" s="25" t="n">
        <v>10.08</v>
      </c>
      <c r="O55" s="26">
        <f>IF(AND(ISNUMBER(F55),ISNUMBER(N55),F55&gt;0),N55/F55,"")</f>
        <v/>
      </c>
      <c r="P55" s="27" t="n">
        <v>46255</v>
      </c>
      <c r="Q55" s="27" t="n">
        <v>46329</v>
      </c>
      <c r="R55" s="25" t="n">
        <v>16.12</v>
      </c>
      <c r="S55" s="28">
        <f>IF(AND(ISNUMBER(F55),ISNUMBER(R55),R55&gt;0),F55/R55,"")</f>
        <v/>
      </c>
      <c r="T55" s="27" t="n">
        <v>46246</v>
      </c>
    </row>
    <row r="56">
      <c r="A56" s="11" t="inlineStr">
        <is>
          <t>TM</t>
        </is>
      </c>
      <c r="B56" s="11" t="inlineStr">
        <is>
          <t>Toyota Motor Corporation</t>
        </is>
      </c>
      <c r="C56" s="11" t="inlineStr">
        <is>
          <t>Auto Manufacturers</t>
        </is>
      </c>
      <c r="D56" s="11" t="inlineStr">
        <is>
          <t>Japan</t>
        </is>
      </c>
      <c r="E56" s="12" t="n">
        <v>223.27</v>
      </c>
      <c r="F56" s="13" t="n">
        <v>188.56</v>
      </c>
      <c r="G56" s="13" t="n">
        <v>231.57802</v>
      </c>
      <c r="H56" s="14">
        <f>IF(AND(ISNUMBER(F56),ISNUMBER(G56),F56&gt;0),G56/F56-1,"")</f>
        <v/>
      </c>
      <c r="I56" s="13" t="n">
        <v>220</v>
      </c>
      <c r="J56" s="14">
        <f>IF(AND(ISNUMBER(F56),ISNUMBER(I56),F56&gt;0),I56/F56-1,"")</f>
        <v/>
      </c>
      <c r="K56" s="13" t="n">
        <v>239.31209</v>
      </c>
      <c r="L56" s="14">
        <f>IF(AND(ISNUMBER(F56),ISNUMBER(K56),F56&gt;0),K56/F56-1,"")</f>
        <v/>
      </c>
      <c r="M56" s="15" t="n">
        <v>4</v>
      </c>
      <c r="N56" s="16" t="n">
        <v>6.27</v>
      </c>
      <c r="O56" s="17">
        <f>IF(AND(ISNUMBER(F56),ISNUMBER(N56),F56&gt;0),N56/F56,"")</f>
        <v/>
      </c>
      <c r="P56" s="18" t="n">
        <v>46112</v>
      </c>
      <c r="Q56" s="18" t="n">
        <v>46331</v>
      </c>
      <c r="R56" s="16" t="n">
        <v>22.25</v>
      </c>
      <c r="S56" s="19">
        <f>IF(AND(ISNUMBER(F56),ISNUMBER(R56),R56&gt;0),F56/R56,"")</f>
        <v/>
      </c>
      <c r="T56" s="18" t="n">
        <v>46246</v>
      </c>
    </row>
    <row r="57">
      <c r="A57" s="20" t="inlineStr">
        <is>
          <t>LIN</t>
        </is>
      </c>
      <c r="B57" s="20" t="inlineStr">
        <is>
          <t>Linde plc</t>
        </is>
      </c>
      <c r="C57" s="20" t="inlineStr">
        <is>
          <t>Specialty Chemicals</t>
        </is>
      </c>
      <c r="D57" s="20" t="inlineStr">
        <is>
          <t>United Kingdom</t>
        </is>
      </c>
      <c r="E57" s="21" t="n">
        <v>222.19</v>
      </c>
      <c r="F57" s="22" t="n">
        <v>482</v>
      </c>
      <c r="G57" s="22" t="n">
        <v>547.24</v>
      </c>
      <c r="H57" s="23">
        <f>IF(AND(ISNUMBER(F57),ISNUMBER(G57),F57&gt;0),G57/F57-1,"")</f>
        <v/>
      </c>
      <c r="I57" s="22" t="n">
        <v>400</v>
      </c>
      <c r="J57" s="23">
        <f>IF(AND(ISNUMBER(F57),ISNUMBER(I57),F57&gt;0),I57/F57-1,"")</f>
        <v/>
      </c>
      <c r="K57" s="22" t="n">
        <v>612</v>
      </c>
      <c r="L57" s="23">
        <f>IF(AND(ISNUMBER(F57),ISNUMBER(K57),F57&gt;0),K57/F57-1,"")</f>
        <v/>
      </c>
      <c r="M57" s="24" t="n">
        <v>25</v>
      </c>
      <c r="N57" s="25" t="n">
        <v>6.4</v>
      </c>
      <c r="O57" s="26">
        <f>IF(AND(ISNUMBER(F57),ISNUMBER(N57),F57&gt;0),N57/F57,"")</f>
        <v/>
      </c>
      <c r="P57" s="27" t="n">
        <v>46268</v>
      </c>
      <c r="Q57" s="27" t="n">
        <v>46325</v>
      </c>
      <c r="R57" s="25" t="n">
        <v>15.5</v>
      </c>
      <c r="S57" s="28">
        <f>IF(AND(ISNUMBER(F57),ISNUMBER(R57),R57&gt;0),F57/R57,"")</f>
        <v/>
      </c>
      <c r="T57" s="27" t="n">
        <v>46246</v>
      </c>
    </row>
    <row r="58">
      <c r="A58" s="11" t="inlineStr">
        <is>
          <t>TMO</t>
        </is>
      </c>
      <c r="B58" s="11" t="inlineStr">
        <is>
          <t>Thermo Fisher Scientific Inc</t>
        </is>
      </c>
      <c r="C58" s="11" t="inlineStr">
        <is>
          <t>Diagnostics &amp; Research</t>
        </is>
      </c>
      <c r="D58" s="11" t="inlineStr">
        <is>
          <t>United States</t>
        </is>
      </c>
      <c r="E58" s="12" t="n">
        <v>221.71</v>
      </c>
      <c r="F58" s="13" t="n">
        <v>599.62</v>
      </c>
      <c r="G58" s="13" t="n">
        <v>631.4231</v>
      </c>
      <c r="H58" s="14">
        <f>IF(AND(ISNUMBER(F58),ISNUMBER(G58),F58&gt;0),G58/F58-1,"")</f>
        <v/>
      </c>
      <c r="I58" s="13" t="n">
        <v>520</v>
      </c>
      <c r="J58" s="14">
        <f>IF(AND(ISNUMBER(F58),ISNUMBER(I58),F58&gt;0),I58/F58-1,"")</f>
        <v/>
      </c>
      <c r="K58" s="13" t="n">
        <v>750</v>
      </c>
      <c r="L58" s="14">
        <f>IF(AND(ISNUMBER(F58),ISNUMBER(K58),F58&gt;0),K58/F58-1,"")</f>
        <v/>
      </c>
      <c r="M58" s="15" t="n">
        <v>26</v>
      </c>
      <c r="N58" s="16" t="n">
        <v>1.88</v>
      </c>
      <c r="O58" s="17">
        <f>IF(AND(ISNUMBER(F58),ISNUMBER(N58),F58&gt;0),N58/F58,"")</f>
        <v/>
      </c>
      <c r="P58" s="18" t="n">
        <v>46280</v>
      </c>
      <c r="Q58" s="18" t="n">
        <v>46316</v>
      </c>
      <c r="R58" s="16" t="n">
        <v>18.57</v>
      </c>
      <c r="S58" s="19">
        <f>IF(AND(ISNUMBER(F58),ISNUMBER(R58),R58&gt;0),F58/R58,"")</f>
        <v/>
      </c>
      <c r="T58" s="18" t="n">
        <v>46246</v>
      </c>
    </row>
    <row r="59">
      <c r="A59" s="20" t="inlineStr">
        <is>
          <t>IBM</t>
        </is>
      </c>
      <c r="B59" s="20" t="inlineStr">
        <is>
          <t>International Business Machines</t>
        </is>
      </c>
      <c r="C59" s="20" t="inlineStr">
        <is>
          <t>Information Technology Services</t>
        </is>
      </c>
      <c r="D59" s="20" t="inlineStr">
        <is>
          <t>United States</t>
        </is>
      </c>
      <c r="E59" s="21" t="n">
        <v>220.97</v>
      </c>
      <c r="F59" s="22" t="n">
        <v>234.54</v>
      </c>
      <c r="G59" s="22" t="n">
        <v>244.15652</v>
      </c>
      <c r="H59" s="23">
        <f>IF(AND(ISNUMBER(F59),ISNUMBER(G59),F59&gt;0),G59/F59-1,"")</f>
        <v/>
      </c>
      <c r="I59" s="22" t="n">
        <v>174</v>
      </c>
      <c r="J59" s="23">
        <f>IF(AND(ISNUMBER(F59),ISNUMBER(I59),F59&gt;0),I59/F59-1,"")</f>
        <v/>
      </c>
      <c r="K59" s="22" t="n">
        <v>350</v>
      </c>
      <c r="L59" s="23">
        <f>IF(AND(ISNUMBER(F59),ISNUMBER(K59),F59&gt;0),K59/F59-1,"")</f>
        <v/>
      </c>
      <c r="M59" s="24" t="n">
        <v>23</v>
      </c>
      <c r="N59" s="25" t="n">
        <v>6.76</v>
      </c>
      <c r="O59" s="26">
        <f>IF(AND(ISNUMBER(F59),ISNUMBER(N59),F59&gt;0),N59/F59,"")</f>
        <v/>
      </c>
      <c r="P59" s="27" t="n">
        <v>46244</v>
      </c>
      <c r="Q59" s="27" t="n">
        <v>46316</v>
      </c>
      <c r="R59" s="25" t="n">
        <v>11.25</v>
      </c>
      <c r="S59" s="28">
        <f>IF(AND(ISNUMBER(F59),ISNUMBER(R59),R59&gt;0),F59/R59,"")</f>
        <v/>
      </c>
      <c r="T59" s="27" t="n">
        <v>46246</v>
      </c>
    </row>
    <row r="60">
      <c r="A60" s="11" t="inlineStr">
        <is>
          <t>NVO</t>
        </is>
      </c>
      <c r="B60" s="11" t="inlineStr">
        <is>
          <t>Novo Nordisk A/S</t>
        </is>
      </c>
      <c r="C60" s="11" t="inlineStr">
        <is>
          <t>Drug Manufacturers - General</t>
        </is>
      </c>
      <c r="D60" s="11" t="inlineStr">
        <is>
          <t>Denmark</t>
        </is>
      </c>
      <c r="E60" s="12" t="n">
        <v>202.37</v>
      </c>
      <c r="F60" s="13" t="n">
        <v>46.19</v>
      </c>
      <c r="G60" s="13" t="n">
        <v>47.1501</v>
      </c>
      <c r="H60" s="14">
        <f>IF(AND(ISNUMBER(F60),ISNUMBER(G60),F60&gt;0),G60/F60-1,"")</f>
        <v/>
      </c>
      <c r="I60" s="13" t="n">
        <v>39.9262</v>
      </c>
      <c r="J60" s="14">
        <f>IF(AND(ISNUMBER(F60),ISNUMBER(I60),F60&gt;0),I60/F60-1,"")</f>
        <v/>
      </c>
      <c r="K60" s="13" t="n">
        <v>63.62299</v>
      </c>
      <c r="L60" s="14">
        <f>IF(AND(ISNUMBER(F60),ISNUMBER(K60),F60&gt;0),K60/F60-1,"")</f>
        <v/>
      </c>
      <c r="M60" s="15" t="n">
        <v>12</v>
      </c>
      <c r="N60" s="16" t="n">
        <v>1.8</v>
      </c>
      <c r="O60" s="17">
        <f>IF(AND(ISNUMBER(F60),ISNUMBER(N60),F60&gt;0),N60/F60,"")</f>
        <v/>
      </c>
      <c r="P60" s="18" t="n">
        <v>46251</v>
      </c>
      <c r="Q60" s="18" t="n">
        <v>46330</v>
      </c>
      <c r="R60" s="16" t="n">
        <v>4.06</v>
      </c>
      <c r="S60" s="19">
        <f>IF(AND(ISNUMBER(F60),ISNUMBER(R60),R60&gt;0),F60/R60,"")</f>
        <v/>
      </c>
      <c r="T60" s="18" t="n">
        <v>46246</v>
      </c>
    </row>
    <row r="61">
      <c r="A61" s="20" t="inlineStr">
        <is>
          <t>MCD</t>
        </is>
      </c>
      <c r="B61" s="20" t="inlineStr">
        <is>
          <t>McDonald's Corporation</t>
        </is>
      </c>
      <c r="C61" s="20" t="inlineStr">
        <is>
          <t>Restaurants</t>
        </is>
      </c>
      <c r="D61" s="20" t="inlineStr">
        <is>
          <t>United States</t>
        </is>
      </c>
      <c r="E61" s="21" t="n">
        <v>195.3</v>
      </c>
      <c r="F61" s="22" t="n">
        <v>275.99</v>
      </c>
      <c r="G61" s="22" t="n">
        <v>316.0645</v>
      </c>
      <c r="H61" s="23">
        <f>IF(AND(ISNUMBER(F61),ISNUMBER(G61),F61&gt;0),G61/F61-1,"")</f>
        <v/>
      </c>
      <c r="I61" s="22" t="n">
        <v>250</v>
      </c>
      <c r="J61" s="23">
        <f>IF(AND(ISNUMBER(F61),ISNUMBER(I61),F61&gt;0),I61/F61-1,"")</f>
        <v/>
      </c>
      <c r="K61" s="22" t="n">
        <v>407</v>
      </c>
      <c r="L61" s="23">
        <f>IF(AND(ISNUMBER(F61),ISNUMBER(K61),F61&gt;0),K61/F61-1,"")</f>
        <v/>
      </c>
      <c r="M61" s="24" t="n">
        <v>31</v>
      </c>
      <c r="N61" s="25" t="n">
        <v>7.44</v>
      </c>
      <c r="O61" s="26">
        <f>IF(AND(ISNUMBER(F61),ISNUMBER(N61),F61&gt;0),N61/F61,"")</f>
        <v/>
      </c>
      <c r="P61" s="27" t="n">
        <v>46266</v>
      </c>
      <c r="Q61" s="27" t="n">
        <v>46331</v>
      </c>
      <c r="R61" s="25" t="n">
        <v>12.31</v>
      </c>
      <c r="S61" s="28">
        <f>IF(AND(ISNUMBER(F61),ISNUMBER(R61),R61&gt;0),F61/R61,"")</f>
        <v/>
      </c>
      <c r="T61" s="27" t="n">
        <v>46246</v>
      </c>
    </row>
    <row r="62">
      <c r="A62" s="11" t="inlineStr">
        <is>
          <t>TTE</t>
        </is>
      </c>
      <c r="B62" s="11" t="inlineStr">
        <is>
          <t>TotalEnergies SE</t>
        </is>
      </c>
      <c r="C62" s="11" t="inlineStr">
        <is>
          <t>Oil &amp; Gas Integrated</t>
        </is>
      </c>
      <c r="D62" s="11" t="inlineStr">
        <is>
          <t>France</t>
        </is>
      </c>
      <c r="E62" s="12" t="n">
        <v>194.47</v>
      </c>
      <c r="F62" s="13" t="n">
        <v>87.70999999999999</v>
      </c>
      <c r="G62" s="13" t="n">
        <v>95</v>
      </c>
      <c r="H62" s="14">
        <f>IF(AND(ISNUMBER(F62),ISNUMBER(G62),F62&gt;0),G62/F62-1,"")</f>
        <v/>
      </c>
      <c r="I62" s="13" t="n">
        <v>81</v>
      </c>
      <c r="J62" s="14">
        <f>IF(AND(ISNUMBER(F62),ISNUMBER(I62),F62&gt;0),I62/F62-1,"")</f>
        <v/>
      </c>
      <c r="K62" s="13" t="n">
        <v>107</v>
      </c>
      <c r="L62" s="14">
        <f>IF(AND(ISNUMBER(F62),ISNUMBER(K62),F62&gt;0),K62/F62-1,"")</f>
        <v/>
      </c>
      <c r="M62" s="15" t="n">
        <v>10</v>
      </c>
      <c r="N62" s="16" t="n">
        <v>4.24</v>
      </c>
      <c r="O62" s="17">
        <f>IF(AND(ISNUMBER(F62),ISNUMBER(N62),F62&gt;0),N62/F62,"")</f>
        <v/>
      </c>
      <c r="P62" s="18" t="n">
        <v>46295</v>
      </c>
      <c r="Q62" s="18" t="n">
        <v>46324</v>
      </c>
      <c r="R62" s="16" t="n">
        <v>7.99</v>
      </c>
      <c r="S62" s="19">
        <f>IF(AND(ISNUMBER(F62),ISNUMBER(R62),R62&gt;0),F62/R62,"")</f>
        <v/>
      </c>
      <c r="T62" s="18" t="n">
        <v>46246</v>
      </c>
    </row>
    <row r="63">
      <c r="A63" s="20" t="inlineStr">
        <is>
          <t>VZ</t>
        </is>
      </c>
      <c r="B63" s="20" t="inlineStr">
        <is>
          <t>Verizon Communications Inc.</t>
        </is>
      </c>
      <c r="C63" s="20" t="inlineStr">
        <is>
          <t>Telecom Services</t>
        </is>
      </c>
      <c r="D63" s="20" t="inlineStr">
        <is>
          <t>United States</t>
        </is>
      </c>
      <c r="E63" s="21" t="n">
        <v>194.34</v>
      </c>
      <c r="F63" s="22" t="n">
        <v>46.77</v>
      </c>
      <c r="G63" s="22" t="n">
        <v>51.55652</v>
      </c>
      <c r="H63" s="23">
        <f>IF(AND(ISNUMBER(F63),ISNUMBER(G63),F63&gt;0),G63/F63-1,"")</f>
        <v/>
      </c>
      <c r="I63" s="22" t="n">
        <v>44</v>
      </c>
      <c r="J63" s="23">
        <f>IF(AND(ISNUMBER(F63),ISNUMBER(I63),F63&gt;0),I63/F63-1,"")</f>
        <v/>
      </c>
      <c r="K63" s="22" t="n">
        <v>71</v>
      </c>
      <c r="L63" s="23">
        <f>IF(AND(ISNUMBER(F63),ISNUMBER(K63),F63&gt;0),K63/F63-1,"")</f>
        <v/>
      </c>
      <c r="M63" s="24" t="n">
        <v>23</v>
      </c>
      <c r="N63" s="25" t="n">
        <v>2.83</v>
      </c>
      <c r="O63" s="26">
        <f>IF(AND(ISNUMBER(F63),ISNUMBER(N63),F63&gt;0),N63/F63,"")</f>
        <v/>
      </c>
      <c r="P63" s="27" t="n">
        <v>46213</v>
      </c>
      <c r="Q63" s="27" t="n">
        <v>46315</v>
      </c>
      <c r="R63" s="25" t="n">
        <v>3.84</v>
      </c>
      <c r="S63" s="28">
        <f>IF(AND(ISNUMBER(F63),ISNUMBER(R63),R63&gt;0),F63/R63,"")</f>
        <v/>
      </c>
      <c r="T63" s="27" t="n">
        <v>46246</v>
      </c>
    </row>
    <row r="64">
      <c r="A64" s="11" t="inlineStr">
        <is>
          <t>ABT</t>
        </is>
      </c>
      <c r="B64" s="11" t="inlineStr">
        <is>
          <t>Abbott Laboratories</t>
        </is>
      </c>
      <c r="C64" s="11" t="inlineStr">
        <is>
          <t>Medical Devices</t>
        </is>
      </c>
      <c r="D64" s="11" t="inlineStr">
        <is>
          <t>United States</t>
        </is>
      </c>
      <c r="E64" s="12" t="n">
        <v>191.69</v>
      </c>
      <c r="F64" s="13" t="n">
        <v>110.78</v>
      </c>
      <c r="G64" s="13" t="n">
        <v>118.41667</v>
      </c>
      <c r="H64" s="14">
        <f>IF(AND(ISNUMBER(F64),ISNUMBER(G64),F64&gt;0),G64/F64-1,"")</f>
        <v/>
      </c>
      <c r="I64" s="13" t="n">
        <v>103</v>
      </c>
      <c r="J64" s="14">
        <f>IF(AND(ISNUMBER(F64),ISNUMBER(I64),F64&gt;0),I64/F64-1,"")</f>
        <v/>
      </c>
      <c r="K64" s="13" t="n">
        <v>135</v>
      </c>
      <c r="L64" s="14">
        <f>IF(AND(ISNUMBER(F64),ISNUMBER(K64),F64&gt;0),K64/F64-1,"")</f>
        <v/>
      </c>
      <c r="M64" s="15" t="n">
        <v>24</v>
      </c>
      <c r="N64" s="16" t="n">
        <v>2.52</v>
      </c>
      <c r="O64" s="17">
        <f>IF(AND(ISNUMBER(F64),ISNUMBER(N64),F64&gt;0),N64/F64,"")</f>
        <v/>
      </c>
      <c r="P64" s="18" t="n">
        <v>46218</v>
      </c>
      <c r="Q64" s="18" t="n">
        <v>46309</v>
      </c>
      <c r="R64" s="16" t="n">
        <v>3.09</v>
      </c>
      <c r="S64" s="19">
        <f>IF(AND(ISNUMBER(F64),ISNUMBER(R64),R64&gt;0),F64/R64,"")</f>
        <v/>
      </c>
      <c r="T64" s="18" t="n">
        <v>46246</v>
      </c>
    </row>
    <row r="65">
      <c r="A65" s="20" t="inlineStr">
        <is>
          <t>TMUS</t>
        </is>
      </c>
      <c r="B65" s="20" t="inlineStr">
        <is>
          <t>T-Mobile US, Inc.</t>
        </is>
      </c>
      <c r="C65" s="20" t="inlineStr">
        <is>
          <t>Telecom Services</t>
        </is>
      </c>
      <c r="D65" s="20" t="inlineStr">
        <is>
          <t>United States</t>
        </is>
      </c>
      <c r="E65" s="21" t="n">
        <v>189.41</v>
      </c>
      <c r="F65" s="22" t="n">
        <v>176.58</v>
      </c>
      <c r="G65" s="22" t="n">
        <v>243.08</v>
      </c>
      <c r="H65" s="23">
        <f>IF(AND(ISNUMBER(F65),ISNUMBER(G65),F65&gt;0),G65/F65-1,"")</f>
        <v/>
      </c>
      <c r="I65" s="22" t="n">
        <v>169</v>
      </c>
      <c r="J65" s="23">
        <f>IF(AND(ISNUMBER(F65),ISNUMBER(I65),F65&gt;0),I65/F65-1,"")</f>
        <v/>
      </c>
      <c r="K65" s="22" t="n">
        <v>300</v>
      </c>
      <c r="L65" s="23">
        <f>IF(AND(ISNUMBER(F65),ISNUMBER(K65),F65&gt;0),K65/F65-1,"")</f>
        <v/>
      </c>
      <c r="M65" s="24" t="n">
        <v>25</v>
      </c>
      <c r="N65" s="25" t="n">
        <v>4.08</v>
      </c>
      <c r="O65" s="26">
        <f>IF(AND(ISNUMBER(F65),ISNUMBER(N65),F65&gt;0),N65/F65,"")</f>
        <v/>
      </c>
      <c r="P65" s="27" t="n">
        <v>46262</v>
      </c>
      <c r="Q65" s="27" t="n">
        <v>46317</v>
      </c>
      <c r="R65" s="25" t="n">
        <v>9.550000000000001</v>
      </c>
      <c r="S65" s="28">
        <f>IF(AND(ISNUMBER(F65),ISNUMBER(R65),R65&gt;0),F65/R65,"")</f>
        <v/>
      </c>
      <c r="T65" s="27" t="n">
        <v>46246</v>
      </c>
    </row>
    <row r="66">
      <c r="A66" s="11" t="inlineStr">
        <is>
          <t>PEP</t>
        </is>
      </c>
      <c r="B66" s="11" t="inlineStr">
        <is>
          <t>Pepsico, Inc.</t>
        </is>
      </c>
      <c r="C66" s="11" t="inlineStr">
        <is>
          <t>Beverages - Non-Alcoholic</t>
        </is>
      </c>
      <c r="D66" s="11" t="inlineStr">
        <is>
          <t>United States</t>
        </is>
      </c>
      <c r="E66" s="12" t="n">
        <v>188.83</v>
      </c>
      <c r="F66" s="13" t="n">
        <v>138.24</v>
      </c>
      <c r="G66" s="13" t="n">
        <v>155</v>
      </c>
      <c r="H66" s="14">
        <f>IF(AND(ISNUMBER(F66),ISNUMBER(G66),F66&gt;0),G66/F66-1,"")</f>
        <v/>
      </c>
      <c r="I66" s="13" t="n">
        <v>124</v>
      </c>
      <c r="J66" s="14">
        <f>IF(AND(ISNUMBER(F66),ISNUMBER(I66),F66&gt;0),I66/F66-1,"")</f>
        <v/>
      </c>
      <c r="K66" s="13" t="n">
        <v>183</v>
      </c>
      <c r="L66" s="14">
        <f>IF(AND(ISNUMBER(F66),ISNUMBER(K66),F66&gt;0),K66/F66-1,"")</f>
        <v/>
      </c>
      <c r="M66" s="15" t="n">
        <v>22</v>
      </c>
      <c r="N66" s="16" t="n">
        <v>5.92</v>
      </c>
      <c r="O66" s="17">
        <f>IF(AND(ISNUMBER(F66),ISNUMBER(N66),F66&gt;0),N66/F66,"")</f>
        <v/>
      </c>
      <c r="P66" s="18" t="n">
        <v>46269</v>
      </c>
      <c r="Q66" s="18" t="n">
        <v>46303</v>
      </c>
      <c r="R66" s="16" t="n">
        <v>7.63</v>
      </c>
      <c r="S66" s="19">
        <f>IF(AND(ISNUMBER(F66),ISNUMBER(R66),R66&gt;0),F66/R66,"")</f>
        <v/>
      </c>
      <c r="T66" s="18" t="n">
        <v>46246</v>
      </c>
    </row>
    <row r="67">
      <c r="A67" s="20" t="inlineStr">
        <is>
          <t>SCHW</t>
        </is>
      </c>
      <c r="B67" s="20" t="inlineStr">
        <is>
          <t>Charles Schwab Corporation (The</t>
        </is>
      </c>
      <c r="C67" s="20" t="inlineStr">
        <is>
          <t>Capital Markets</t>
        </is>
      </c>
      <c r="D67" s="20" t="inlineStr">
        <is>
          <t>United States</t>
        </is>
      </c>
      <c r="E67" s="21" t="n">
        <v>187.82</v>
      </c>
      <c r="F67" s="22" t="n">
        <v>108.61</v>
      </c>
      <c r="G67" s="22" t="n">
        <v>125</v>
      </c>
      <c r="H67" s="23">
        <f>IF(AND(ISNUMBER(F67),ISNUMBER(G67),F67&gt;0),G67/F67-1,"")</f>
        <v/>
      </c>
      <c r="I67" s="22" t="n">
        <v>91</v>
      </c>
      <c r="J67" s="23">
        <f>IF(AND(ISNUMBER(F67),ISNUMBER(I67),F67&gt;0),I67/F67-1,"")</f>
        <v/>
      </c>
      <c r="K67" s="22" t="n">
        <v>145</v>
      </c>
      <c r="L67" s="23">
        <f>IF(AND(ISNUMBER(F67),ISNUMBER(K67),F67&gt;0),K67/F67-1,"")</f>
        <v/>
      </c>
      <c r="M67" s="24" t="n">
        <v>20</v>
      </c>
      <c r="N67" s="25" t="n">
        <v>1.28</v>
      </c>
      <c r="O67" s="26">
        <f>IF(AND(ISNUMBER(F67),ISNUMBER(N67),F67&gt;0),N67/F67,"")</f>
        <v/>
      </c>
      <c r="P67" s="27" t="n">
        <v>46248</v>
      </c>
      <c r="Q67" s="27" t="n">
        <v>46310</v>
      </c>
      <c r="R67" s="25" t="n">
        <v>5.49</v>
      </c>
      <c r="S67" s="28">
        <f>IF(AND(ISNUMBER(F67),ISNUMBER(R67),R67&gt;0),F67/R67,"")</f>
        <v/>
      </c>
      <c r="T67" s="27" t="n">
        <v>46246</v>
      </c>
    </row>
    <row r="68">
      <c r="A68" s="11" t="inlineStr">
        <is>
          <t>BLK</t>
        </is>
      </c>
      <c r="B68" s="11" t="inlineStr">
        <is>
          <t>BlackRock, Inc.</t>
        </is>
      </c>
      <c r="C68" s="11" t="inlineStr">
        <is>
          <t>Asset Management</t>
        </is>
      </c>
      <c r="D68" s="11" t="inlineStr">
        <is>
          <t>United States</t>
        </is>
      </c>
      <c r="E68" s="12" t="n">
        <v>187.4</v>
      </c>
      <c r="F68" s="13" t="n">
        <v>1153.39</v>
      </c>
      <c r="G68" s="13" t="n">
        <v>1314.4375</v>
      </c>
      <c r="H68" s="14">
        <f>IF(AND(ISNUMBER(F68),ISNUMBER(G68),F68&gt;0),G68/F68-1,"")</f>
        <v/>
      </c>
      <c r="I68" s="13" t="n">
        <v>1190</v>
      </c>
      <c r="J68" s="14">
        <f>IF(AND(ISNUMBER(F68),ISNUMBER(I68),F68&gt;0),I68/F68-1,"")</f>
        <v/>
      </c>
      <c r="K68" s="13" t="n">
        <v>1488</v>
      </c>
      <c r="L68" s="14">
        <f>IF(AND(ISNUMBER(F68),ISNUMBER(K68),F68&gt;0),K68/F68-1,"")</f>
        <v/>
      </c>
      <c r="M68" s="15" t="n">
        <v>16</v>
      </c>
      <c r="N68" s="16" t="n">
        <v>22.92</v>
      </c>
      <c r="O68" s="17">
        <f>IF(AND(ISNUMBER(F68),ISNUMBER(N68),F68&gt;0),N68/F68,"")</f>
        <v/>
      </c>
      <c r="P68" s="18" t="n">
        <v>46273</v>
      </c>
      <c r="Q68" s="18" t="n">
        <v>46309</v>
      </c>
      <c r="R68" s="16" t="n">
        <v>41.7</v>
      </c>
      <c r="S68" s="19">
        <f>IF(AND(ISNUMBER(F68),ISNUMBER(R68),R68&gt;0),F68/R68,"")</f>
        <v/>
      </c>
      <c r="T68" s="18" t="n">
        <v>46246</v>
      </c>
    </row>
    <row r="69">
      <c r="A69" s="20" t="inlineStr">
        <is>
          <t>BA</t>
        </is>
      </c>
      <c r="B69" s="20" t="inlineStr">
        <is>
          <t>Boeing Company (The)</t>
        </is>
      </c>
      <c r="C69" s="20" t="inlineStr">
        <is>
          <t>Aerospace &amp; Defense</t>
        </is>
      </c>
      <c r="D69" s="20" t="inlineStr">
        <is>
          <t>United States</t>
        </is>
      </c>
      <c r="E69" s="21" t="n">
        <v>183.44</v>
      </c>
      <c r="F69" s="22" t="n">
        <v>232.09</v>
      </c>
      <c r="G69" s="22" t="n">
        <v>274.69232</v>
      </c>
      <c r="H69" s="23">
        <f>IF(AND(ISNUMBER(F69),ISNUMBER(G69),F69&gt;0),G69/F69-1,"")</f>
        <v/>
      </c>
      <c r="I69" s="22" t="n">
        <v>246</v>
      </c>
      <c r="J69" s="23">
        <f>IF(AND(ISNUMBER(F69),ISNUMBER(I69),F69&gt;0),I69/F69-1,"")</f>
        <v/>
      </c>
      <c r="K69" s="22" t="n">
        <v>305</v>
      </c>
      <c r="L69" s="23">
        <f>IF(AND(ISNUMBER(F69),ISNUMBER(K69),F69&gt;0),K69/F69-1,"")</f>
        <v/>
      </c>
      <c r="M69" s="24" t="n">
        <v>26</v>
      </c>
      <c r="N69" s="25" t="n"/>
      <c r="O69" s="26">
        <f>IF(AND(ISNUMBER(F69),ISNUMBER(N69),F69&gt;0),N69/F69,"")</f>
        <v/>
      </c>
      <c r="P69" s="27" t="n"/>
      <c r="Q69" s="27" t="n">
        <v>46323</v>
      </c>
      <c r="R69" s="25" t="n">
        <v>2.78</v>
      </c>
      <c r="S69" s="28">
        <f>IF(AND(ISNUMBER(F69),ISNUMBER(R69),R69&gt;0),F69/R69,"")</f>
        <v/>
      </c>
      <c r="T69" s="27" t="n">
        <v>46246</v>
      </c>
    </row>
    <row r="70">
      <c r="A70" s="11" t="inlineStr">
        <is>
          <t>NEE</t>
        </is>
      </c>
      <c r="B70" s="11" t="inlineStr">
        <is>
          <t>NextEra Energy, Inc.</t>
        </is>
      </c>
      <c r="C70" s="11" t="inlineStr">
        <is>
          <t>Utilities - Regulated Electric</t>
        </is>
      </c>
      <c r="D70" s="11" t="inlineStr">
        <is>
          <t>United States</t>
        </is>
      </c>
      <c r="E70" s="12" t="n">
        <v>178.14</v>
      </c>
      <c r="F70" s="13" t="n">
        <v>85.40000000000001</v>
      </c>
      <c r="G70" s="13" t="n">
        <v>98.52632</v>
      </c>
      <c r="H70" s="14">
        <f>IF(AND(ISNUMBER(F70),ISNUMBER(G70),F70&gt;0),G70/F70-1,"")</f>
        <v/>
      </c>
      <c r="I70" s="13" t="n">
        <v>55</v>
      </c>
      <c r="J70" s="14">
        <f>IF(AND(ISNUMBER(F70),ISNUMBER(I70),F70&gt;0),I70/F70-1,"")</f>
        <v/>
      </c>
      <c r="K70" s="13" t="n">
        <v>116</v>
      </c>
      <c r="L70" s="14">
        <f>IF(AND(ISNUMBER(F70),ISNUMBER(K70),F70&gt;0),K70/F70-1,"")</f>
        <v/>
      </c>
      <c r="M70" s="15" t="n">
        <v>19</v>
      </c>
      <c r="N70" s="16" t="n">
        <v>2.49</v>
      </c>
      <c r="O70" s="17">
        <f>IF(AND(ISNUMBER(F70),ISNUMBER(N70),F70&gt;0),N70/F70,"")</f>
        <v/>
      </c>
      <c r="P70" s="18" t="n">
        <v>46262</v>
      </c>
      <c r="Q70" s="18" t="n">
        <v>46322</v>
      </c>
      <c r="R70" s="16" t="n">
        <v>4.45</v>
      </c>
      <c r="S70" s="19">
        <f>IF(AND(ISNUMBER(F70),ISNUMBER(R70),R70&gt;0),F70/R70,"")</f>
        <v/>
      </c>
      <c r="T70" s="18" t="n">
        <v>46246</v>
      </c>
    </row>
    <row r="71">
      <c r="A71" s="20" t="inlineStr">
        <is>
          <t>DIS</t>
        </is>
      </c>
      <c r="B71" s="20" t="inlineStr">
        <is>
          <t>Walt Disney Company (The)</t>
        </is>
      </c>
      <c r="C71" s="20" t="inlineStr">
        <is>
          <t>Entertainment</t>
        </is>
      </c>
      <c r="D71" s="20" t="inlineStr">
        <is>
          <t>United States</t>
        </is>
      </c>
      <c r="E71" s="21" t="n">
        <v>178</v>
      </c>
      <c r="F71" s="22" t="n">
        <v>103.09</v>
      </c>
      <c r="G71" s="22" t="n">
        <v>127.71935</v>
      </c>
      <c r="H71" s="23">
        <f>IF(AND(ISNUMBER(F71),ISNUMBER(G71),F71&gt;0),G71/F71-1,"")</f>
        <v/>
      </c>
      <c r="I71" s="22" t="n">
        <v>88</v>
      </c>
      <c r="J71" s="23">
        <f>IF(AND(ISNUMBER(F71),ISNUMBER(I71),F71&gt;0),I71/F71-1,"")</f>
        <v/>
      </c>
      <c r="K71" s="22" t="n">
        <v>160</v>
      </c>
      <c r="L71" s="23">
        <f>IF(AND(ISNUMBER(F71),ISNUMBER(K71),F71&gt;0),K71/F71-1,"")</f>
        <v/>
      </c>
      <c r="M71" s="24" t="n">
        <v>31</v>
      </c>
      <c r="N71" s="25" t="n">
        <v>1.5</v>
      </c>
      <c r="O71" s="26">
        <f>IF(AND(ISNUMBER(F71),ISNUMBER(N71),F71&gt;0),N71/F71,"")</f>
        <v/>
      </c>
      <c r="P71" s="27" t="n">
        <v>46203</v>
      </c>
      <c r="Q71" s="27" t="n">
        <v>46338</v>
      </c>
      <c r="R71" s="25" t="n">
        <v>4.85</v>
      </c>
      <c r="S71" s="28">
        <f>IF(AND(ISNUMBER(F71),ISNUMBER(R71),R71&gt;0),F71/R71,"")</f>
        <v/>
      </c>
      <c r="T71" s="27" t="n">
        <v>46246</v>
      </c>
    </row>
    <row r="72">
      <c r="A72" s="11" t="inlineStr">
        <is>
          <t>UNP</t>
        </is>
      </c>
      <c r="B72" s="11" t="inlineStr">
        <is>
          <t>Union Pacific Corporation</t>
        </is>
      </c>
      <c r="C72" s="11" t="inlineStr">
        <is>
          <t>Railroads</t>
        </is>
      </c>
      <c r="D72" s="11" t="inlineStr">
        <is>
          <t>United States</t>
        </is>
      </c>
      <c r="E72" s="12" t="n">
        <v>174.16</v>
      </c>
      <c r="F72" s="13" t="n">
        <v>293.16</v>
      </c>
      <c r="G72" s="13" t="n">
        <v>329.25</v>
      </c>
      <c r="H72" s="14">
        <f>IF(AND(ISNUMBER(F72),ISNUMBER(G72),F72&gt;0),G72/F72-1,"")</f>
        <v/>
      </c>
      <c r="I72" s="13" t="n">
        <v>245</v>
      </c>
      <c r="J72" s="14">
        <f>IF(AND(ISNUMBER(F72),ISNUMBER(I72),F72&gt;0),I72/F72-1,"")</f>
        <v/>
      </c>
      <c r="K72" s="13" t="n">
        <v>375</v>
      </c>
      <c r="L72" s="14">
        <f>IF(AND(ISNUMBER(F72),ISNUMBER(K72),F72&gt;0),K72/F72-1,"")</f>
        <v/>
      </c>
      <c r="M72" s="15" t="n">
        <v>24</v>
      </c>
      <c r="N72" s="16" t="n">
        <v>5.68</v>
      </c>
      <c r="O72" s="17">
        <f>IF(AND(ISNUMBER(F72),ISNUMBER(N72),F72&gt;0),N72/F72,"")</f>
        <v/>
      </c>
      <c r="P72" s="18" t="n">
        <v>46265</v>
      </c>
      <c r="Q72" s="18" t="n">
        <v>46317</v>
      </c>
      <c r="R72" s="16" t="n">
        <v>12.36</v>
      </c>
      <c r="S72" s="19">
        <f>IF(AND(ISNUMBER(F72),ISNUMBER(R72),R72&gt;0),F72/R72,"")</f>
        <v/>
      </c>
      <c r="T72" s="18" t="n">
        <v>46246</v>
      </c>
    </row>
    <row r="73">
      <c r="A73" s="20" t="inlineStr">
        <is>
          <t>QCOM</t>
        </is>
      </c>
      <c r="B73" s="20" t="inlineStr">
        <is>
          <t>QUALCOMM Incorporated</t>
        </is>
      </c>
      <c r="C73" s="20" t="inlineStr">
        <is>
          <t>Semiconductors</t>
        </is>
      </c>
      <c r="D73" s="20" t="inlineStr">
        <is>
          <t>United States</t>
        </is>
      </c>
      <c r="E73" s="21" t="n">
        <v>171.61</v>
      </c>
      <c r="F73" s="22" t="n">
        <v>163.44</v>
      </c>
      <c r="G73" s="22" t="n">
        <v>194.76666</v>
      </c>
      <c r="H73" s="23">
        <f>IF(AND(ISNUMBER(F73),ISNUMBER(G73),F73&gt;0),G73/F73-1,"")</f>
        <v/>
      </c>
      <c r="I73" s="22" t="n">
        <v>100</v>
      </c>
      <c r="J73" s="23">
        <f>IF(AND(ISNUMBER(F73),ISNUMBER(I73),F73&gt;0),I73/F73-1,"")</f>
        <v/>
      </c>
      <c r="K73" s="22" t="n">
        <v>400</v>
      </c>
      <c r="L73" s="23">
        <f>IF(AND(ISNUMBER(F73),ISNUMBER(K73),F73&gt;0),K73/F73-1,"")</f>
        <v/>
      </c>
      <c r="M73" s="24" t="n">
        <v>30</v>
      </c>
      <c r="N73" s="25" t="n">
        <v>3.68</v>
      </c>
      <c r="O73" s="26">
        <f>IF(AND(ISNUMBER(F73),ISNUMBER(N73),F73&gt;0),N73/F73,"")</f>
        <v/>
      </c>
      <c r="P73" s="27" t="n">
        <v>46268</v>
      </c>
      <c r="Q73" s="27" t="n">
        <v>46324</v>
      </c>
      <c r="R73" s="25" t="n">
        <v>8.75</v>
      </c>
      <c r="S73" s="28">
        <f>IF(AND(ISNUMBER(F73),ISNUMBER(R73),R73&gt;0),F73/R73,"")</f>
        <v/>
      </c>
      <c r="T73" s="27" t="n">
        <v>46246</v>
      </c>
    </row>
    <row r="74">
      <c r="A74" s="11" t="inlineStr">
        <is>
          <t>GILD</t>
        </is>
      </c>
      <c r="B74" s="11" t="inlineStr">
        <is>
          <t>Gilead Sciences, Inc.</t>
        </is>
      </c>
      <c r="C74" s="11" t="inlineStr">
        <is>
          <t>Drug Manufacturers - General</t>
        </is>
      </c>
      <c r="D74" s="11" t="inlineStr">
        <is>
          <t>United States</t>
        </is>
      </c>
      <c r="E74" s="12" t="n">
        <v>168.47</v>
      </c>
      <c r="F74" s="13" t="n">
        <v>135.87</v>
      </c>
      <c r="G74" s="13" t="n">
        <v>157.40741</v>
      </c>
      <c r="H74" s="14">
        <f>IF(AND(ISNUMBER(F74),ISNUMBER(G74),F74&gt;0),G74/F74-1,"")</f>
        <v/>
      </c>
      <c r="I74" s="13" t="n">
        <v>123</v>
      </c>
      <c r="J74" s="14">
        <f>IF(AND(ISNUMBER(F74),ISNUMBER(I74),F74&gt;0),I74/F74-1,"")</f>
        <v/>
      </c>
      <c r="K74" s="13" t="n">
        <v>180</v>
      </c>
      <c r="L74" s="14">
        <f>IF(AND(ISNUMBER(F74),ISNUMBER(K74),F74&gt;0),K74/F74-1,"")</f>
        <v/>
      </c>
      <c r="M74" s="15" t="n">
        <v>27</v>
      </c>
      <c r="N74" s="16" t="n">
        <v>3.28</v>
      </c>
      <c r="O74" s="17">
        <f>IF(AND(ISNUMBER(F74),ISNUMBER(N74),F74&gt;0),N74/F74,"")</f>
        <v/>
      </c>
      <c r="P74" s="18" t="n">
        <v>46280</v>
      </c>
      <c r="Q74" s="18" t="n">
        <v>46324</v>
      </c>
      <c r="R74" s="16" t="n">
        <v>-2.65</v>
      </c>
      <c r="S74" s="19">
        <f>IF(AND(ISNUMBER(F74),ISNUMBER(R74),R74&gt;0),F74/R74,"")</f>
        <v/>
      </c>
      <c r="T74" s="18" t="n">
        <v>46246</v>
      </c>
    </row>
    <row r="75">
      <c r="A75" s="20" t="inlineStr">
        <is>
          <t>DE</t>
        </is>
      </c>
      <c r="B75" s="20" t="inlineStr">
        <is>
          <t>Deere &amp; Company</t>
        </is>
      </c>
      <c r="C75" s="20" t="inlineStr">
        <is>
          <t>Farm &amp; Heavy Construction Machinery</t>
        </is>
      </c>
      <c r="D75" s="20" t="inlineStr">
        <is>
          <t>United States</t>
        </is>
      </c>
      <c r="E75" s="21" t="n">
        <v>167.85</v>
      </c>
      <c r="F75" s="22" t="n">
        <v>621.8099999999999</v>
      </c>
      <c r="G75" s="22" t="n">
        <v>647.61523</v>
      </c>
      <c r="H75" s="23">
        <f>IF(AND(ISNUMBER(F75),ISNUMBER(G75),F75&gt;0),G75/F75-1,"")</f>
        <v/>
      </c>
      <c r="I75" s="22" t="n">
        <v>500</v>
      </c>
      <c r="J75" s="23">
        <f>IF(AND(ISNUMBER(F75),ISNUMBER(I75),F75&gt;0),I75/F75-1,"")</f>
        <v/>
      </c>
      <c r="K75" s="22" t="n">
        <v>812</v>
      </c>
      <c r="L75" s="23">
        <f>IF(AND(ISNUMBER(F75),ISNUMBER(K75),F75&gt;0),K75/F75-1,"")</f>
        <v/>
      </c>
      <c r="M75" s="24" t="n">
        <v>23</v>
      </c>
      <c r="N75" s="25" t="n">
        <v>6.48</v>
      </c>
      <c r="O75" s="26">
        <f>IF(AND(ISNUMBER(F75),ISNUMBER(N75),F75&gt;0),N75/F75,"")</f>
        <v/>
      </c>
      <c r="P75" s="27" t="n">
        <v>46203</v>
      </c>
      <c r="Q75" s="27" t="n">
        <v>46254</v>
      </c>
      <c r="R75" s="25" t="n">
        <v>17.67</v>
      </c>
      <c r="S75" s="28">
        <f>IF(AND(ISNUMBER(F75),ISNUMBER(R75),R75&gt;0),F75/R75,"")</f>
        <v/>
      </c>
      <c r="T75" s="27" t="n">
        <v>46246</v>
      </c>
    </row>
    <row r="76">
      <c r="A76" s="11" t="inlineStr">
        <is>
          <t>T</t>
        </is>
      </c>
      <c r="B76" s="11" t="inlineStr">
        <is>
          <t>AT&amp;T Inc.</t>
        </is>
      </c>
      <c r="C76" s="11" t="inlineStr">
        <is>
          <t>Telecom Services</t>
        </is>
      </c>
      <c r="D76" s="11" t="inlineStr">
        <is>
          <t>United States</t>
        </is>
      </c>
      <c r="E76" s="12" t="n">
        <v>165.52</v>
      </c>
      <c r="F76" s="13" t="n">
        <v>24.16</v>
      </c>
      <c r="G76" s="13" t="n">
        <v>28.70652</v>
      </c>
      <c r="H76" s="14">
        <f>IF(AND(ISNUMBER(F76),ISNUMBER(G76),F76&gt;0),G76/F76-1,"")</f>
        <v/>
      </c>
      <c r="I76" s="13" t="n">
        <v>20</v>
      </c>
      <c r="J76" s="14">
        <f>IF(AND(ISNUMBER(F76),ISNUMBER(I76),F76&gt;0),I76/F76-1,"")</f>
        <v/>
      </c>
      <c r="K76" s="13" t="n">
        <v>36</v>
      </c>
      <c r="L76" s="14">
        <f>IF(AND(ISNUMBER(F76),ISNUMBER(K76),F76&gt;0),K76/F76-1,"")</f>
        <v/>
      </c>
      <c r="M76" s="15" t="n">
        <v>23</v>
      </c>
      <c r="N76" s="16" t="n">
        <v>1.11</v>
      </c>
      <c r="O76" s="17">
        <f>IF(AND(ISNUMBER(F76),ISNUMBER(N76),F76&gt;0),N76/F76,"")</f>
        <v/>
      </c>
      <c r="P76" s="18" t="n">
        <v>46213</v>
      </c>
      <c r="Q76" s="18" t="n">
        <v>46316</v>
      </c>
      <c r="R76" s="16" t="n">
        <v>3.03</v>
      </c>
      <c r="S76" s="19">
        <f>IF(AND(ISNUMBER(F76),ISNUMBER(R76),R76&gt;0),F76/R76,"")</f>
        <v/>
      </c>
      <c r="T76" s="18" t="n">
        <v>46246</v>
      </c>
    </row>
    <row r="77">
      <c r="A77" s="20" t="inlineStr">
        <is>
          <t>BKNG</t>
        </is>
      </c>
      <c r="B77" s="20" t="inlineStr">
        <is>
          <t>Booking Holdings Inc. Common St</t>
        </is>
      </c>
      <c r="C77" s="20" t="inlineStr">
        <is>
          <t>Travel Services</t>
        </is>
      </c>
      <c r="D77" s="20" t="inlineStr">
        <is>
          <t>United States</t>
        </is>
      </c>
      <c r="E77" s="21" t="n">
        <v>159.32</v>
      </c>
      <c r="F77" s="22" t="n">
        <v>212.03</v>
      </c>
      <c r="G77" s="22" t="n">
        <v>237.80556</v>
      </c>
      <c r="H77" s="23">
        <f>IF(AND(ISNUMBER(F77),ISNUMBER(G77),F77&gt;0),G77/F77-1,"")</f>
        <v/>
      </c>
      <c r="I77" s="22" t="n">
        <v>188</v>
      </c>
      <c r="J77" s="23">
        <f>IF(AND(ISNUMBER(F77),ISNUMBER(I77),F77&gt;0),I77/F77-1,"")</f>
        <v/>
      </c>
      <c r="K77" s="22" t="n">
        <v>301</v>
      </c>
      <c r="L77" s="23">
        <f>IF(AND(ISNUMBER(F77),ISNUMBER(K77),F77&gt;0),K77/F77-1,"")</f>
        <v/>
      </c>
      <c r="M77" s="24" t="n">
        <v>36</v>
      </c>
      <c r="N77" s="25" t="n">
        <v>1.68</v>
      </c>
      <c r="O77" s="26">
        <f>IF(AND(ISNUMBER(F77),ISNUMBER(N77),F77&gt;0),N77/F77,"")</f>
        <v/>
      </c>
      <c r="P77" s="27" t="n">
        <v>46276</v>
      </c>
      <c r="Q77" s="27" t="n">
        <v>46322</v>
      </c>
      <c r="R77" s="25" t="n">
        <v>9</v>
      </c>
      <c r="S77" s="28">
        <f>IF(AND(ISNUMBER(F77),ISNUMBER(R77),R77&gt;0),F77/R77,"")</f>
        <v/>
      </c>
      <c r="T77" s="27" t="n">
        <v>46246</v>
      </c>
    </row>
    <row r="78">
      <c r="A78" s="11" t="inlineStr">
        <is>
          <t>UBER</t>
        </is>
      </c>
      <c r="B78" s="11" t="inlineStr">
        <is>
          <t>Uber Technologies, Inc.</t>
        </is>
      </c>
      <c r="C78" s="11" t="inlineStr">
        <is>
          <t>Software - Application</t>
        </is>
      </c>
      <c r="D78" s="11" t="inlineStr">
        <is>
          <t>United States</t>
        </is>
      </c>
      <c r="E78" s="12" t="n">
        <v>153.4</v>
      </c>
      <c r="F78" s="13" t="n">
        <v>75.09999999999999</v>
      </c>
      <c r="G78" s="13" t="n">
        <v>101.50128</v>
      </c>
      <c r="H78" s="14">
        <f>IF(AND(ISNUMBER(F78),ISNUMBER(G78),F78&gt;0),G78/F78-1,"")</f>
        <v/>
      </c>
      <c r="I78" s="13" t="n">
        <v>70</v>
      </c>
      <c r="J78" s="14">
        <f>IF(AND(ISNUMBER(F78),ISNUMBER(I78),F78&gt;0),I78/F78-1,"")</f>
        <v/>
      </c>
      <c r="K78" s="13" t="n">
        <v>150</v>
      </c>
      <c r="L78" s="14">
        <f>IF(AND(ISNUMBER(F78),ISNUMBER(K78),F78&gt;0),K78/F78-1,"")</f>
        <v/>
      </c>
      <c r="M78" s="15" t="n">
        <v>47</v>
      </c>
      <c r="N78" s="16" t="n"/>
      <c r="O78" s="17">
        <f>IF(AND(ISNUMBER(F78),ISNUMBER(N78),F78&gt;0),N78/F78,"")</f>
        <v/>
      </c>
      <c r="P78" s="18" t="n"/>
      <c r="Q78" s="18" t="n">
        <v>46329</v>
      </c>
      <c r="R78" s="16" t="n">
        <v>4.56</v>
      </c>
      <c r="S78" s="19">
        <f>IF(AND(ISNUMBER(F78),ISNUMBER(R78),R78&gt;0),F78/R78,"")</f>
        <v/>
      </c>
      <c r="T78" s="18" t="n">
        <v>46246</v>
      </c>
    </row>
    <row r="79">
      <c r="A79" s="20" t="inlineStr">
        <is>
          <t>COP</t>
        </is>
      </c>
      <c r="B79" s="20" t="inlineStr">
        <is>
          <t>ConocoPhillips</t>
        </is>
      </c>
      <c r="C79" s="20" t="inlineStr">
        <is>
          <t>Oil &amp; Gas E&amp;P</t>
        </is>
      </c>
      <c r="D79" s="20" t="inlineStr">
        <is>
          <t>United States</t>
        </is>
      </c>
      <c r="E79" s="21" t="n">
        <v>151.43</v>
      </c>
      <c r="F79" s="22" t="n">
        <v>126.05</v>
      </c>
      <c r="G79" s="22" t="n">
        <v>143.83333</v>
      </c>
      <c r="H79" s="23">
        <f>IF(AND(ISNUMBER(F79),ISNUMBER(G79),F79&gt;0),G79/F79-1,"")</f>
        <v/>
      </c>
      <c r="I79" s="22" t="n">
        <v>126</v>
      </c>
      <c r="J79" s="23">
        <f>IF(AND(ISNUMBER(F79),ISNUMBER(I79),F79&gt;0),I79/F79-1,"")</f>
        <v/>
      </c>
      <c r="K79" s="22" t="n">
        <v>189</v>
      </c>
      <c r="L79" s="23">
        <f>IF(AND(ISNUMBER(F79),ISNUMBER(K79),F79&gt;0),K79/F79-1,"")</f>
        <v/>
      </c>
      <c r="M79" s="24" t="n">
        <v>24</v>
      </c>
      <c r="N79" s="25" t="n">
        <v>3.36</v>
      </c>
      <c r="O79" s="26">
        <f>IF(AND(ISNUMBER(F79),ISNUMBER(N79),F79&gt;0),N79/F79,"")</f>
        <v/>
      </c>
      <c r="P79" s="27" t="n">
        <v>46251</v>
      </c>
      <c r="Q79" s="27" t="n">
        <v>46331</v>
      </c>
      <c r="R79" s="25" t="n">
        <v>7.56</v>
      </c>
      <c r="S79" s="28">
        <f>IF(AND(ISNUMBER(F79),ISNUMBER(R79),R79&gt;0),F79/R79,"")</f>
        <v/>
      </c>
      <c r="T79" s="27" t="n">
        <v>46246</v>
      </c>
    </row>
    <row r="80">
      <c r="A80" s="11" t="inlineStr">
        <is>
          <t>PFE</t>
        </is>
      </c>
      <c r="B80" s="11" t="inlineStr">
        <is>
          <t>Pfizer, Inc.</t>
        </is>
      </c>
      <c r="C80" s="11" t="inlineStr">
        <is>
          <t>Drug Manufacturers - General</t>
        </is>
      </c>
      <c r="D80" s="11" t="inlineStr">
        <is>
          <t>United States</t>
        </is>
      </c>
      <c r="E80" s="12" t="n">
        <v>149.54</v>
      </c>
      <c r="F80" s="13" t="n">
        <v>26.24</v>
      </c>
      <c r="G80" s="13" t="n">
        <v>28.64423</v>
      </c>
      <c r="H80" s="14">
        <f>IF(AND(ISNUMBER(F80),ISNUMBER(G80),F80&gt;0),G80/F80-1,"")</f>
        <v/>
      </c>
      <c r="I80" s="13" t="n">
        <v>25</v>
      </c>
      <c r="J80" s="14">
        <f>IF(AND(ISNUMBER(F80),ISNUMBER(I80),F80&gt;0),I80/F80-1,"")</f>
        <v/>
      </c>
      <c r="K80" s="13" t="n">
        <v>35.75</v>
      </c>
      <c r="L80" s="14">
        <f>IF(AND(ISNUMBER(F80),ISNUMBER(K80),F80&gt;0),K80/F80-1,"")</f>
        <v/>
      </c>
      <c r="M80" s="15" t="n">
        <v>26</v>
      </c>
      <c r="N80" s="16" t="n">
        <v>1.72</v>
      </c>
      <c r="O80" s="17">
        <f>IF(AND(ISNUMBER(F80),ISNUMBER(N80),F80&gt;0),N80/F80,"")</f>
        <v/>
      </c>
      <c r="P80" s="18" t="n">
        <v>46227</v>
      </c>
      <c r="Q80" s="18" t="n">
        <v>46329</v>
      </c>
      <c r="R80" s="16" t="n">
        <v>0.76</v>
      </c>
      <c r="S80" s="19">
        <f>IF(AND(ISNUMBER(F80),ISNUMBER(R80),R80&gt;0),F80/R80,"")</f>
        <v/>
      </c>
      <c r="T80" s="18" t="n">
        <v>46246</v>
      </c>
    </row>
    <row r="81">
      <c r="A81" s="20" t="inlineStr">
        <is>
          <t>DHR</t>
        </is>
      </c>
      <c r="B81" s="20" t="inlineStr">
        <is>
          <t>Danaher Corporation</t>
        </is>
      </c>
      <c r="C81" s="20" t="inlineStr">
        <is>
          <t>Diagnostics &amp; Research</t>
        </is>
      </c>
      <c r="D81" s="20" t="inlineStr">
        <is>
          <t>United States</t>
        </is>
      </c>
      <c r="E81" s="21" t="n">
        <v>145.02</v>
      </c>
      <c r="F81" s="22" t="n">
        <v>206.29</v>
      </c>
      <c r="G81" s="22" t="n">
        <v>227.95651</v>
      </c>
      <c r="H81" s="23">
        <f>IF(AND(ISNUMBER(F81),ISNUMBER(G81),F81&gt;0),G81/F81-1,"")</f>
        <v/>
      </c>
      <c r="I81" s="22" t="n">
        <v>195</v>
      </c>
      <c r="J81" s="23">
        <f>IF(AND(ISNUMBER(F81),ISNUMBER(I81),F81&gt;0),I81/F81-1,"")</f>
        <v/>
      </c>
      <c r="K81" s="22" t="n">
        <v>310</v>
      </c>
      <c r="L81" s="23">
        <f>IF(AND(ISNUMBER(F81),ISNUMBER(K81),F81&gt;0),K81/F81-1,"")</f>
        <v/>
      </c>
      <c r="M81" s="24" t="n">
        <v>23</v>
      </c>
      <c r="N81" s="25" t="n">
        <v>1.6</v>
      </c>
      <c r="O81" s="26">
        <f>IF(AND(ISNUMBER(F81),ISNUMBER(N81),F81&gt;0),N81/F81,"")</f>
        <v/>
      </c>
      <c r="P81" s="27" t="n">
        <v>46199</v>
      </c>
      <c r="Q81" s="27" t="n">
        <v>46315</v>
      </c>
      <c r="R81" s="25" t="n">
        <v>5.6</v>
      </c>
      <c r="S81" s="28">
        <f>IF(AND(ISNUMBER(F81),ISNUMBER(R81),R81&gt;0),F81/R81,"")</f>
        <v/>
      </c>
      <c r="T81" s="27" t="n">
        <v>46246</v>
      </c>
    </row>
    <row r="82">
      <c r="A82" s="11" t="inlineStr">
        <is>
          <t>ISRG</t>
        </is>
      </c>
      <c r="B82" s="11" t="inlineStr">
        <is>
          <t>Intuitive Surgical, Inc.</t>
        </is>
      </c>
      <c r="C82" s="11" t="inlineStr">
        <is>
          <t>Medical Instruments &amp; Supplies</t>
        </is>
      </c>
      <c r="D82" s="11" t="inlineStr">
        <is>
          <t>United States</t>
        </is>
      </c>
      <c r="E82" s="12" t="n">
        <v>144.32</v>
      </c>
      <c r="F82" s="13" t="n">
        <v>402.82</v>
      </c>
      <c r="G82" s="13" t="n">
        <v>477.25104</v>
      </c>
      <c r="H82" s="14">
        <f>IF(AND(ISNUMBER(F82),ISNUMBER(G82),F82&gt;0),G82/F82-1,"")</f>
        <v/>
      </c>
      <c r="I82" s="13" t="n">
        <v>324</v>
      </c>
      <c r="J82" s="14">
        <f>IF(AND(ISNUMBER(F82),ISNUMBER(I82),F82&gt;0),I82/F82-1,"")</f>
        <v/>
      </c>
      <c r="K82" s="13" t="n">
        <v>685</v>
      </c>
      <c r="L82" s="14">
        <f>IF(AND(ISNUMBER(F82),ISNUMBER(K82),F82&gt;0),K82/F82-1,"")</f>
        <v/>
      </c>
      <c r="M82" s="15" t="n">
        <v>29</v>
      </c>
      <c r="N82" s="16" t="n"/>
      <c r="O82" s="17">
        <f>IF(AND(ISNUMBER(F82),ISNUMBER(N82),F82&gt;0),N82/F82,"")</f>
        <v/>
      </c>
      <c r="P82" s="18" t="n"/>
      <c r="Q82" s="18" t="n">
        <v>46315</v>
      </c>
      <c r="R82" s="16" t="n">
        <v>8.710000000000001</v>
      </c>
      <c r="S82" s="19">
        <f>IF(AND(ISNUMBER(F82),ISNUMBER(R82),R82&gt;0),F82/R82,"")</f>
        <v/>
      </c>
      <c r="T82" s="18" t="n">
        <v>46246</v>
      </c>
    </row>
    <row r="83">
      <c r="A83" s="20" t="inlineStr">
        <is>
          <t>LMT</t>
        </is>
      </c>
      <c r="B83" s="20" t="inlineStr">
        <is>
          <t>Lockheed Martin Corporation</t>
        </is>
      </c>
      <c r="C83" s="20" t="inlineStr">
        <is>
          <t>Aerospace &amp; Defense</t>
        </is>
      </c>
      <c r="D83" s="20" t="inlineStr">
        <is>
          <t>United States</t>
        </is>
      </c>
      <c r="E83" s="21" t="n">
        <v>140.04</v>
      </c>
      <c r="F83" s="22" t="n">
        <v>606.79</v>
      </c>
      <c r="G83" s="22" t="n">
        <v>630.3158</v>
      </c>
      <c r="H83" s="23">
        <f>IF(AND(ISNUMBER(F83),ISNUMBER(G83),F83&gt;0),G83/F83-1,"")</f>
        <v/>
      </c>
      <c r="I83" s="22" t="n">
        <v>503</v>
      </c>
      <c r="J83" s="23">
        <f>IF(AND(ISNUMBER(F83),ISNUMBER(I83),F83&gt;0),I83/F83-1,"")</f>
        <v/>
      </c>
      <c r="K83" s="22" t="n">
        <v>756</v>
      </c>
      <c r="L83" s="23">
        <f>IF(AND(ISNUMBER(F83),ISNUMBER(K83),F83&gt;0),K83/F83-1,"")</f>
        <v/>
      </c>
      <c r="M83" s="24" t="n">
        <v>19</v>
      </c>
      <c r="N83" s="25" t="n">
        <v>13.8</v>
      </c>
      <c r="O83" s="26">
        <f>IF(AND(ISNUMBER(F83),ISNUMBER(N83),F83&gt;0),N83/F83,"")</f>
        <v/>
      </c>
      <c r="P83" s="27" t="n">
        <v>46266</v>
      </c>
      <c r="Q83" s="27" t="n">
        <v>46315</v>
      </c>
      <c r="R83" s="25" t="n">
        <v>27.14</v>
      </c>
      <c r="S83" s="28">
        <f>IF(AND(ISNUMBER(F83),ISNUMBER(R83),R83&gt;0),F83/R83,"")</f>
        <v/>
      </c>
      <c r="T83" s="27" t="n">
        <v>46246</v>
      </c>
    </row>
    <row r="84">
      <c r="A84" s="11" t="inlineStr">
        <is>
          <t>SONY</t>
        </is>
      </c>
      <c r="B84" s="11" t="inlineStr">
        <is>
          <t>Sony Group Corporation</t>
        </is>
      </c>
      <c r="C84" s="11" t="inlineStr">
        <is>
          <t>Consumer Electronics</t>
        </is>
      </c>
      <c r="D84" s="11" t="inlineStr">
        <is>
          <t>Japan</t>
        </is>
      </c>
      <c r="E84" s="12" t="n">
        <v>137.5</v>
      </c>
      <c r="F84" s="13" t="n">
        <v>23.49</v>
      </c>
      <c r="G84" s="13" t="n">
        <v>30</v>
      </c>
      <c r="H84" s="14">
        <f>IF(AND(ISNUMBER(F84),ISNUMBER(G84),F84&gt;0),G84/F84-1,"")</f>
        <v/>
      </c>
      <c r="I84" s="13" t="n">
        <v>23</v>
      </c>
      <c r="J84" s="14">
        <f>IF(AND(ISNUMBER(F84),ISNUMBER(I84),F84&gt;0),I84/F84-1,"")</f>
        <v/>
      </c>
      <c r="K84" s="13" t="n">
        <v>34</v>
      </c>
      <c r="L84" s="14">
        <f>IF(AND(ISNUMBER(F84),ISNUMBER(K84),F84&gt;0),K84/F84-1,"")</f>
        <v/>
      </c>
      <c r="M84" s="15" t="n">
        <v>4</v>
      </c>
      <c r="N84" s="16" t="n">
        <v>0.16</v>
      </c>
      <c r="O84" s="17">
        <f>IF(AND(ISNUMBER(F84),ISNUMBER(N84),F84&gt;0),N84/F84,"")</f>
        <v/>
      </c>
      <c r="P84" s="18" t="n">
        <v>46111</v>
      </c>
      <c r="Q84" s="18" t="n">
        <v>46331</v>
      </c>
      <c r="R84" s="16" t="n">
        <v>1.18</v>
      </c>
      <c r="S84" s="19">
        <f>IF(AND(ISNUMBER(F84),ISNUMBER(R84),R84&gt;0),F84/R84,"")</f>
        <v/>
      </c>
      <c r="T84" s="18" t="n">
        <v>46246</v>
      </c>
    </row>
    <row r="85">
      <c r="A85" s="20" t="inlineStr">
        <is>
          <t>COF</t>
        </is>
      </c>
      <c r="B85" s="20" t="inlineStr">
        <is>
          <t>Capital One Financial Corporati</t>
        </is>
      </c>
      <c r="C85" s="20" t="inlineStr">
        <is>
          <t>Credit Services</t>
        </is>
      </c>
      <c r="D85" s="20" t="inlineStr">
        <is>
          <t>United States</t>
        </is>
      </c>
      <c r="E85" s="21" t="n">
        <v>135.47</v>
      </c>
      <c r="F85" s="22" t="n">
        <v>220.82</v>
      </c>
      <c r="G85" s="22" t="n">
        <v>256.5</v>
      </c>
      <c r="H85" s="23">
        <f>IF(AND(ISNUMBER(F85),ISNUMBER(G85),F85&gt;0),G85/F85-1,"")</f>
        <v/>
      </c>
      <c r="I85" s="22" t="n">
        <v>214</v>
      </c>
      <c r="J85" s="23">
        <f>IF(AND(ISNUMBER(F85),ISNUMBER(I85),F85&gt;0),I85/F85-1,"")</f>
        <v/>
      </c>
      <c r="K85" s="22" t="n">
        <v>300</v>
      </c>
      <c r="L85" s="23">
        <f>IF(AND(ISNUMBER(F85),ISNUMBER(K85),F85&gt;0),K85/F85-1,"")</f>
        <v/>
      </c>
      <c r="M85" s="24" t="n">
        <v>22</v>
      </c>
      <c r="N85" s="25" t="n">
        <v>3.2</v>
      </c>
      <c r="O85" s="26">
        <f>IF(AND(ISNUMBER(F85),ISNUMBER(N85),F85&gt;0),N85/F85,"")</f>
        <v/>
      </c>
      <c r="P85" s="27" t="n">
        <v>46251</v>
      </c>
      <c r="Q85" s="27" t="n">
        <v>46315</v>
      </c>
      <c r="R85" s="25" t="n">
        <v>18.15</v>
      </c>
      <c r="S85" s="28">
        <f>IF(AND(ISNUMBER(F85),ISNUMBER(R85),R85&gt;0),F85/R85,"")</f>
        <v/>
      </c>
      <c r="T85" s="27" t="n">
        <v>46246</v>
      </c>
    </row>
    <row r="86">
      <c r="A86" s="11" t="inlineStr">
        <is>
          <t>UL</t>
        </is>
      </c>
      <c r="B86" s="11" t="inlineStr">
        <is>
          <t>Unilever PLC</t>
        </is>
      </c>
      <c r="C86" s="11" t="inlineStr">
        <is>
          <t>Household &amp; Personal Products</t>
        </is>
      </c>
      <c r="D86" s="11" t="inlineStr">
        <is>
          <t>United Kingdom</t>
        </is>
      </c>
      <c r="E86" s="12" t="n">
        <v>132.98</v>
      </c>
      <c r="F86" s="13" t="n">
        <v>61.73</v>
      </c>
      <c r="G86" s="13" t="n">
        <v>73.611206</v>
      </c>
      <c r="H86" s="14">
        <f>IF(AND(ISNUMBER(F86),ISNUMBER(G86),F86&gt;0),G86/F86-1,"")</f>
        <v/>
      </c>
      <c r="I86" s="13" t="n">
        <v>69.718666</v>
      </c>
      <c r="J86" s="14">
        <f>IF(AND(ISNUMBER(F86),ISNUMBER(I86),F86&gt;0),I86/F86-1,"")</f>
        <v/>
      </c>
      <c r="K86" s="13" t="n">
        <v>76.90303</v>
      </c>
      <c r="L86" s="14">
        <f>IF(AND(ISNUMBER(F86),ISNUMBER(K86),F86&gt;0),K86/F86-1,"")</f>
        <v/>
      </c>
      <c r="M86" s="15" t="n">
        <v>4</v>
      </c>
      <c r="N86" s="16" t="n">
        <v>2.28</v>
      </c>
      <c r="O86" s="17">
        <f>IF(AND(ISNUMBER(F86),ISNUMBER(N86),F86&gt;0),N86/F86,"")</f>
        <v/>
      </c>
      <c r="P86" s="18" t="n">
        <v>46157</v>
      </c>
      <c r="Q86" s="18" t="n">
        <v>46231</v>
      </c>
      <c r="R86" s="16" t="n">
        <v>2.99</v>
      </c>
      <c r="S86" s="19">
        <f>IF(AND(ISNUMBER(F86),ISNUMBER(R86),R86&gt;0),F86/R86,"")</f>
        <v/>
      </c>
      <c r="T86" s="18" t="n">
        <v>46246</v>
      </c>
    </row>
    <row r="87">
      <c r="A87" s="20" t="inlineStr">
        <is>
          <t>BMY</t>
        </is>
      </c>
      <c r="B87" s="20" t="inlineStr">
        <is>
          <t>Bristol-Myers Squibb Company</t>
        </is>
      </c>
      <c r="C87" s="20" t="inlineStr">
        <is>
          <t>Drug Manufacturers - General</t>
        </is>
      </c>
      <c r="D87" s="20" t="inlineStr">
        <is>
          <t>United States</t>
        </is>
      </c>
      <c r="E87" s="21" t="n">
        <v>130.02</v>
      </c>
      <c r="F87" s="22" t="n">
        <v>63.65</v>
      </c>
      <c r="G87" s="22" t="n">
        <v>66.20833</v>
      </c>
      <c r="H87" s="23">
        <f>IF(AND(ISNUMBER(F87),ISNUMBER(G87),F87&gt;0),G87/F87-1,"")</f>
        <v/>
      </c>
      <c r="I87" s="22" t="n">
        <v>40</v>
      </c>
      <c r="J87" s="23">
        <f>IF(AND(ISNUMBER(F87),ISNUMBER(I87),F87&gt;0),I87/F87-1,"")</f>
        <v/>
      </c>
      <c r="K87" s="22" t="n">
        <v>80</v>
      </c>
      <c r="L87" s="23">
        <f>IF(AND(ISNUMBER(F87),ISNUMBER(K87),F87&gt;0),K87/F87-1,"")</f>
        <v/>
      </c>
      <c r="M87" s="24" t="n">
        <v>24</v>
      </c>
      <c r="N87" s="25" t="n">
        <v>2.52</v>
      </c>
      <c r="O87" s="26">
        <f>IF(AND(ISNUMBER(F87),ISNUMBER(N87),F87&gt;0),N87/F87,"")</f>
        <v/>
      </c>
      <c r="P87" s="27" t="n">
        <v>46205</v>
      </c>
      <c r="Q87" s="27" t="n">
        <v>46324</v>
      </c>
      <c r="R87" s="25" t="n">
        <v>4.54</v>
      </c>
      <c r="S87" s="28">
        <f>IF(AND(ISNUMBER(F87),ISNUMBER(R87),R87&gt;0),F87/R87,"")</f>
        <v/>
      </c>
      <c r="T87" s="27" t="n">
        <v>46246</v>
      </c>
    </row>
    <row r="88">
      <c r="A88" s="11" t="inlineStr">
        <is>
          <t>NOW</t>
        </is>
      </c>
      <c r="B88" s="11" t="inlineStr">
        <is>
          <t>ServiceNow, Inc.</t>
        </is>
      </c>
      <c r="C88" s="11" t="inlineStr">
        <is>
          <t>Software - Application</t>
        </is>
      </c>
      <c r="D88" s="11" t="inlineStr">
        <is>
          <t>United States</t>
        </is>
      </c>
      <c r="E88" s="12" t="n">
        <v>128.6</v>
      </c>
      <c r="F88" s="13" t="n">
        <v>124.39</v>
      </c>
      <c r="G88" s="13" t="n">
        <v>140.25282</v>
      </c>
      <c r="H88" s="14">
        <f>IF(AND(ISNUMBER(F88),ISNUMBER(G88),F88&gt;0),G88/F88-1,"")</f>
        <v/>
      </c>
      <c r="I88" s="13" t="n">
        <v>72</v>
      </c>
      <c r="J88" s="14">
        <f>IF(AND(ISNUMBER(F88),ISNUMBER(I88),F88&gt;0),I88/F88-1,"")</f>
        <v/>
      </c>
      <c r="K88" s="13" t="n">
        <v>248</v>
      </c>
      <c r="L88" s="14">
        <f>IF(AND(ISNUMBER(F88),ISNUMBER(K88),F88&gt;0),K88/F88-1,"")</f>
        <v/>
      </c>
      <c r="M88" s="15" t="n">
        <v>46</v>
      </c>
      <c r="N88" s="16" t="n"/>
      <c r="O88" s="17">
        <f>IF(AND(ISNUMBER(F88),ISNUMBER(N88),F88&gt;0),N88/F88,"")</f>
        <v/>
      </c>
      <c r="P88" s="18" t="n"/>
      <c r="Q88" s="18" t="n">
        <v>46323</v>
      </c>
      <c r="R88" s="16" t="n">
        <v>1.59</v>
      </c>
      <c r="S88" s="19">
        <f>IF(AND(ISNUMBER(F88),ISNUMBER(R88),R88&gt;0),F88/R88,"")</f>
        <v/>
      </c>
      <c r="T88" s="18" t="n">
        <v>46246</v>
      </c>
    </row>
    <row r="89">
      <c r="A89" s="20" t="inlineStr">
        <is>
          <t>SBUX</t>
        </is>
      </c>
      <c r="B89" s="20" t="inlineStr">
        <is>
          <t>Starbucks Corporation</t>
        </is>
      </c>
      <c r="C89" s="20" t="inlineStr">
        <is>
          <t>Restaurants</t>
        </is>
      </c>
      <c r="D89" s="20" t="inlineStr">
        <is>
          <t>United States</t>
        </is>
      </c>
      <c r="E89" s="21" t="n">
        <v>123.2</v>
      </c>
      <c r="F89" s="22" t="n">
        <v>108.07</v>
      </c>
      <c r="G89" s="22" t="n">
        <v>112.22581</v>
      </c>
      <c r="H89" s="23">
        <f>IF(AND(ISNUMBER(F89),ISNUMBER(G89),F89&gt;0),G89/F89-1,"")</f>
        <v/>
      </c>
      <c r="I89" s="22" t="n">
        <v>81</v>
      </c>
      <c r="J89" s="23">
        <f>IF(AND(ISNUMBER(F89),ISNUMBER(I89),F89&gt;0),I89/F89-1,"")</f>
        <v/>
      </c>
      <c r="K89" s="22" t="n">
        <v>143</v>
      </c>
      <c r="L89" s="23">
        <f>IF(AND(ISNUMBER(F89),ISNUMBER(K89),F89&gt;0),K89/F89-1,"")</f>
        <v/>
      </c>
      <c r="M89" s="24" t="n">
        <v>31</v>
      </c>
      <c r="N89" s="25" t="n">
        <v>2.48</v>
      </c>
      <c r="O89" s="26">
        <f>IF(AND(ISNUMBER(F89),ISNUMBER(N89),F89&gt;0),N89/F89,"")</f>
        <v/>
      </c>
      <c r="P89" s="27" t="n">
        <v>46248</v>
      </c>
      <c r="Q89" s="27" t="n">
        <v>46323</v>
      </c>
      <c r="R89" s="25" t="n">
        <v>1.73</v>
      </c>
      <c r="S89" s="28">
        <f>IF(AND(ISNUMBER(F89),ISNUMBER(R89),R89&gt;0),F89/R89,"")</f>
        <v/>
      </c>
      <c r="T89" s="27" t="n">
        <v>46246</v>
      </c>
    </row>
    <row r="90">
      <c r="A90" s="11" t="inlineStr">
        <is>
          <t>CVS</t>
        </is>
      </c>
      <c r="B90" s="11" t="inlineStr">
        <is>
          <t>CVS Health Corporation</t>
        </is>
      </c>
      <c r="C90" s="11" t="inlineStr">
        <is>
          <t>Healthcare Plans</t>
        </is>
      </c>
      <c r="D90" s="11" t="inlineStr">
        <is>
          <t>United States</t>
        </is>
      </c>
      <c r="E90" s="12" t="n">
        <v>120.79</v>
      </c>
      <c r="F90" s="13" t="n">
        <v>94.44</v>
      </c>
      <c r="G90" s="13" t="n">
        <v>115.8</v>
      </c>
      <c r="H90" s="14">
        <f>IF(AND(ISNUMBER(F90),ISNUMBER(G90),F90&gt;0),G90/F90-1,"")</f>
        <v/>
      </c>
      <c r="I90" s="13" t="n">
        <v>103</v>
      </c>
      <c r="J90" s="14">
        <f>IF(AND(ISNUMBER(F90),ISNUMBER(I90),F90&gt;0),I90/F90-1,"")</f>
        <v/>
      </c>
      <c r="K90" s="13" t="n">
        <v>148</v>
      </c>
      <c r="L90" s="14">
        <f>IF(AND(ISNUMBER(F90),ISNUMBER(K90),F90&gt;0),K90/F90-1,"")</f>
        <v/>
      </c>
      <c r="M90" s="15" t="n">
        <v>25</v>
      </c>
      <c r="N90" s="16" t="n">
        <v>2.66</v>
      </c>
      <c r="O90" s="17">
        <f>IF(AND(ISNUMBER(F90),ISNUMBER(N90),F90&gt;0),N90/F90,"")</f>
        <v/>
      </c>
      <c r="P90" s="18" t="n">
        <v>46226</v>
      </c>
      <c r="Q90" s="18" t="n">
        <v>46323</v>
      </c>
      <c r="R90" s="16" t="n">
        <v>3.79</v>
      </c>
      <c r="S90" s="19">
        <f>IF(AND(ISNUMBER(F90),ISNUMBER(R90),R90&gt;0),F90/R90,"")</f>
        <v/>
      </c>
      <c r="T90" s="18" t="n">
        <v>46246</v>
      </c>
    </row>
    <row r="91">
      <c r="A91" s="20" t="inlineStr">
        <is>
          <t>ACN</t>
        </is>
      </c>
      <c r="B91" s="20" t="inlineStr">
        <is>
          <t>Accenture plc</t>
        </is>
      </c>
      <c r="C91" s="20" t="inlineStr">
        <is>
          <t>Information Technology Services</t>
        </is>
      </c>
      <c r="D91" s="20" t="inlineStr">
        <is>
          <t>Ireland</t>
        </is>
      </c>
      <c r="E91" s="21" t="n">
        <v>108.77</v>
      </c>
      <c r="F91" s="22" t="n">
        <v>177.74</v>
      </c>
      <c r="G91" s="22" t="n">
        <v>178.8908</v>
      </c>
      <c r="H91" s="23">
        <f>IF(AND(ISNUMBER(F91),ISNUMBER(G91),F91&gt;0),G91/F91-1,"")</f>
        <v/>
      </c>
      <c r="I91" s="22" t="n">
        <v>130</v>
      </c>
      <c r="J91" s="23">
        <f>IF(AND(ISNUMBER(F91),ISNUMBER(I91),F91&gt;0),I91/F91-1,"")</f>
        <v/>
      </c>
      <c r="K91" s="22" t="n">
        <v>275</v>
      </c>
      <c r="L91" s="23">
        <f>IF(AND(ISNUMBER(F91),ISNUMBER(K91),F91&gt;0),K91/F91-1,"")</f>
        <v/>
      </c>
      <c r="M91" s="24" t="n">
        <v>25</v>
      </c>
      <c r="N91" s="25" t="n">
        <v>6.52</v>
      </c>
      <c r="O91" s="26">
        <f>IF(AND(ISNUMBER(F91),ISNUMBER(N91),F91&gt;0),N91/F91,"")</f>
        <v/>
      </c>
      <c r="P91" s="27" t="n">
        <v>46212</v>
      </c>
      <c r="Q91" s="27" t="n">
        <v>46296</v>
      </c>
      <c r="R91" s="25" t="n">
        <v>12.52</v>
      </c>
      <c r="S91" s="28">
        <f>IF(AND(ISNUMBER(F91),ISNUMBER(R91),R91&gt;0),F91/R91,"")</f>
        <v/>
      </c>
      <c r="T91" s="27" t="n">
        <v>46246</v>
      </c>
    </row>
    <row r="92">
      <c r="A92" s="11" t="inlineStr">
        <is>
          <t>MO</t>
        </is>
      </c>
      <c r="B92" s="11" t="inlineStr">
        <is>
          <t>Altria Group, Inc.</t>
        </is>
      </c>
      <c r="C92" s="11" t="inlineStr">
        <is>
          <t>Tobacco</t>
        </is>
      </c>
      <c r="D92" s="11" t="inlineStr">
        <is>
          <t>United States</t>
        </is>
      </c>
      <c r="E92" s="12" t="n">
        <v>108.27</v>
      </c>
      <c r="F92" s="13" t="n">
        <v>64.84</v>
      </c>
      <c r="G92" s="13" t="n">
        <v>70</v>
      </c>
      <c r="H92" s="14">
        <f>IF(AND(ISNUMBER(F92),ISNUMBER(G92),F92&gt;0),G92/F92-1,"")</f>
        <v/>
      </c>
      <c r="I92" s="13" t="n">
        <v>58</v>
      </c>
      <c r="J92" s="14">
        <f>IF(AND(ISNUMBER(F92),ISNUMBER(I92),F92&gt;0),I92/F92-1,"")</f>
        <v/>
      </c>
      <c r="K92" s="13" t="n">
        <v>82</v>
      </c>
      <c r="L92" s="14">
        <f>IF(AND(ISNUMBER(F92),ISNUMBER(K92),F92&gt;0),K92/F92-1,"")</f>
        <v/>
      </c>
      <c r="M92" s="15" t="n">
        <v>11</v>
      </c>
      <c r="N92" s="16" t="n">
        <v>4.24</v>
      </c>
      <c r="O92" s="17">
        <f>IF(AND(ISNUMBER(F92),ISNUMBER(N92),F92&gt;0),N92/F92,"")</f>
        <v/>
      </c>
      <c r="P92" s="18" t="n">
        <v>46188</v>
      </c>
      <c r="Q92" s="18" t="n">
        <v>46324</v>
      </c>
      <c r="R92" s="16" t="n">
        <v>4.75</v>
      </c>
      <c r="S92" s="19">
        <f>IF(AND(ISNUMBER(F92),ISNUMBER(R92),R92&gt;0),F92/R92,"")</f>
        <v/>
      </c>
      <c r="T92" s="18" t="n">
        <v>46246</v>
      </c>
    </row>
    <row r="93">
      <c r="A93" s="20" t="inlineStr">
        <is>
          <t>GD</t>
        </is>
      </c>
      <c r="B93" s="20" t="inlineStr">
        <is>
          <t>General Dynamics Corporation</t>
        </is>
      </c>
      <c r="C93" s="20" t="inlineStr">
        <is>
          <t>Aerospace &amp; Defense</t>
        </is>
      </c>
      <c r="D93" s="20" t="inlineStr">
        <is>
          <t>United States</t>
        </is>
      </c>
      <c r="E93" s="21" t="n">
        <v>106.37</v>
      </c>
      <c r="F93" s="22" t="n">
        <v>393.15</v>
      </c>
      <c r="G93" s="22" t="n">
        <v>419.0724</v>
      </c>
      <c r="H93" s="23">
        <f>IF(AND(ISNUMBER(F93),ISNUMBER(G93),F93&gt;0),G93/F93-1,"")</f>
        <v/>
      </c>
      <c r="I93" s="22" t="n">
        <v>319</v>
      </c>
      <c r="J93" s="23">
        <f>IF(AND(ISNUMBER(F93),ISNUMBER(I93),F93&gt;0),I93/F93-1,"")</f>
        <v/>
      </c>
      <c r="K93" s="22" t="n">
        <v>465</v>
      </c>
      <c r="L93" s="23">
        <f>IF(AND(ISNUMBER(F93),ISNUMBER(K93),F93&gt;0),K93/F93-1,"")</f>
        <v/>
      </c>
      <c r="M93" s="24" t="n">
        <v>21</v>
      </c>
      <c r="N93" s="25" t="n">
        <v>6.36</v>
      </c>
      <c r="O93" s="26">
        <f>IF(AND(ISNUMBER(F93),ISNUMBER(N93),F93&gt;0),N93/F93,"")</f>
        <v/>
      </c>
      <c r="P93" s="27" t="n">
        <v>46304</v>
      </c>
      <c r="Q93" s="27" t="n">
        <v>46323</v>
      </c>
      <c r="R93" s="25" t="n">
        <v>16.38</v>
      </c>
      <c r="S93" s="28">
        <f>IF(AND(ISNUMBER(F93),ISNUMBER(R93),R93&gt;0),F93/R93,"")</f>
        <v/>
      </c>
      <c r="T93" s="27" t="n">
        <v>46246</v>
      </c>
    </row>
    <row r="94">
      <c r="A94" s="11" t="inlineStr">
        <is>
          <t>SO</t>
        </is>
      </c>
      <c r="B94" s="11" t="inlineStr">
        <is>
          <t>Southern Company (The)</t>
        </is>
      </c>
      <c r="C94" s="11" t="inlineStr">
        <is>
          <t>Utilities - Regulated Electric</t>
        </is>
      </c>
      <c r="D94" s="11" t="inlineStr">
        <is>
          <t>United States</t>
        </is>
      </c>
      <c r="E94" s="12" t="n">
        <v>105.97</v>
      </c>
      <c r="F94" s="13" t="n">
        <v>92.11</v>
      </c>
      <c r="G94" s="13" t="n">
        <v>100.675</v>
      </c>
      <c r="H94" s="14">
        <f>IF(AND(ISNUMBER(F94),ISNUMBER(G94),F94&gt;0),G94/F94-1,"")</f>
        <v/>
      </c>
      <c r="I94" s="13" t="n">
        <v>79</v>
      </c>
      <c r="J94" s="14">
        <f>IF(AND(ISNUMBER(F94),ISNUMBER(I94),F94&gt;0),I94/F94-1,"")</f>
        <v/>
      </c>
      <c r="K94" s="13" t="n">
        <v>114</v>
      </c>
      <c r="L94" s="14">
        <f>IF(AND(ISNUMBER(F94),ISNUMBER(K94),F94&gt;0),K94/F94-1,"")</f>
        <v/>
      </c>
      <c r="M94" s="15" t="n">
        <v>20</v>
      </c>
      <c r="N94" s="16" t="n">
        <v>3.04</v>
      </c>
      <c r="O94" s="17">
        <f>IF(AND(ISNUMBER(F94),ISNUMBER(N94),F94&gt;0),N94/F94,"")</f>
        <v/>
      </c>
      <c r="P94" s="18" t="n">
        <v>46251</v>
      </c>
      <c r="Q94" s="18" t="n">
        <v>46324</v>
      </c>
      <c r="R94" s="16" t="n">
        <v>4.15</v>
      </c>
      <c r="S94" s="19">
        <f>IF(AND(ISNUMBER(F94),ISNUMBER(R94),R94&gt;0),F94/R94,"")</f>
        <v/>
      </c>
      <c r="T94" s="18" t="n">
        <v>46246</v>
      </c>
    </row>
    <row r="95">
      <c r="A95" s="20" t="inlineStr">
        <is>
          <t>ADBE</t>
        </is>
      </c>
      <c r="B95" s="20" t="inlineStr">
        <is>
          <t>Adobe Inc.</t>
        </is>
      </c>
      <c r="C95" s="20" t="inlineStr">
        <is>
          <t>Software - Application</t>
        </is>
      </c>
      <c r="D95" s="20" t="inlineStr">
        <is>
          <t>United States</t>
        </is>
      </c>
      <c r="E95" s="21" t="n">
        <v>101.85</v>
      </c>
      <c r="F95" s="22" t="n">
        <v>256.23</v>
      </c>
      <c r="G95" s="22" t="n">
        <v>269.60825</v>
      </c>
      <c r="H95" s="23">
        <f>IF(AND(ISNUMBER(F95),ISNUMBER(G95),F95&gt;0),G95/F95-1,"")</f>
        <v/>
      </c>
      <c r="I95" s="22" t="n">
        <v>190</v>
      </c>
      <c r="J95" s="23">
        <f>IF(AND(ISNUMBER(F95),ISNUMBER(I95),F95&gt;0),I95/F95-1,"")</f>
        <v/>
      </c>
      <c r="K95" s="22" t="n">
        <v>380</v>
      </c>
      <c r="L95" s="23">
        <f>IF(AND(ISNUMBER(F95),ISNUMBER(K95),F95&gt;0),K95/F95-1,"")</f>
        <v/>
      </c>
      <c r="M95" s="24" t="n">
        <v>34</v>
      </c>
      <c r="N95" s="25" t="n"/>
      <c r="O95" s="26">
        <f>IF(AND(ISNUMBER(F95),ISNUMBER(N95),F95&gt;0),N95/F95,"")</f>
        <v/>
      </c>
      <c r="P95" s="27" t="n"/>
      <c r="Q95" s="27" t="n">
        <v>46275</v>
      </c>
      <c r="R95" s="25" t="n">
        <v>17.48</v>
      </c>
      <c r="S95" s="28">
        <f>IF(AND(ISNUMBER(F95),ISNUMBER(R95),R95&gt;0),F95/R95,"")</f>
        <v/>
      </c>
      <c r="T95" s="27" t="n">
        <v>46246</v>
      </c>
    </row>
    <row r="96">
      <c r="A96" s="11" t="inlineStr">
        <is>
          <t>USB</t>
        </is>
      </c>
      <c r="B96" s="11" t="inlineStr">
        <is>
          <t>U.S. Bancorp</t>
        </is>
      </c>
      <c r="C96" s="11" t="inlineStr">
        <is>
          <t>Banks - Regional</t>
        </is>
      </c>
      <c r="D96" s="11" t="inlineStr">
        <is>
          <t>United States</t>
        </is>
      </c>
      <c r="E96" s="12" t="n">
        <v>100.85</v>
      </c>
      <c r="F96" s="13" t="n">
        <v>64.73</v>
      </c>
      <c r="G96" s="13" t="n">
        <v>70.31818</v>
      </c>
      <c r="H96" s="14">
        <f>IF(AND(ISNUMBER(F96),ISNUMBER(G96),F96&gt;0),G96/F96-1,"")</f>
        <v/>
      </c>
      <c r="I96" s="13" t="n">
        <v>65</v>
      </c>
      <c r="J96" s="14">
        <f>IF(AND(ISNUMBER(F96),ISNUMBER(I96),F96&gt;0),I96/F96-1,"")</f>
        <v/>
      </c>
      <c r="K96" s="13" t="n">
        <v>77</v>
      </c>
      <c r="L96" s="14">
        <f>IF(AND(ISNUMBER(F96),ISNUMBER(K96),F96&gt;0),K96/F96-1,"")</f>
        <v/>
      </c>
      <c r="M96" s="15" t="n">
        <v>22</v>
      </c>
      <c r="N96" s="16" t="n">
        <v>2.08</v>
      </c>
      <c r="O96" s="17">
        <f>IF(AND(ISNUMBER(F96),ISNUMBER(N96),F96&gt;0),N96/F96,"")</f>
        <v/>
      </c>
      <c r="P96" s="18" t="n">
        <v>46203</v>
      </c>
      <c r="Q96" s="18" t="n">
        <v>46310</v>
      </c>
      <c r="R96" s="16" t="n">
        <v>5.01</v>
      </c>
      <c r="S96" s="19">
        <f>IF(AND(ISNUMBER(F96),ISNUMBER(R96),R96&gt;0),F96/R96,"")</f>
        <v/>
      </c>
      <c r="T96" s="18" t="n">
        <v>46246</v>
      </c>
    </row>
    <row r="97">
      <c r="A97" s="20" t="inlineStr">
        <is>
          <t>DUK</t>
        </is>
      </c>
      <c r="B97" s="20" t="inlineStr">
        <is>
          <t>Duke Energy Corporation (Holdin</t>
        </is>
      </c>
      <c r="C97" s="20" t="inlineStr">
        <is>
          <t>Utilities - Regulated Electric</t>
        </is>
      </c>
      <c r="D97" s="20" t="inlineStr">
        <is>
          <t>United States</t>
        </is>
      </c>
      <c r="E97" s="21" t="n">
        <v>96.12</v>
      </c>
      <c r="F97" s="22" t="n">
        <v>123.28</v>
      </c>
      <c r="G97" s="22" t="n">
        <v>137.72221</v>
      </c>
      <c r="H97" s="23">
        <f>IF(AND(ISNUMBER(F97),ISNUMBER(G97),F97&gt;0),G97/F97-1,"")</f>
        <v/>
      </c>
      <c r="I97" s="22" t="n">
        <v>129</v>
      </c>
      <c r="J97" s="23">
        <f>IF(AND(ISNUMBER(F97),ISNUMBER(I97),F97&gt;0),I97/F97-1,"")</f>
        <v/>
      </c>
      <c r="K97" s="22" t="n">
        <v>147</v>
      </c>
      <c r="L97" s="23">
        <f>IF(AND(ISNUMBER(F97),ISNUMBER(K97),F97&gt;0),K97/F97-1,"")</f>
        <v/>
      </c>
      <c r="M97" s="24" t="n">
        <v>18</v>
      </c>
      <c r="N97" s="25" t="n">
        <v>4.34</v>
      </c>
      <c r="O97" s="26">
        <f>IF(AND(ISNUMBER(F97),ISNUMBER(N97),F97&gt;0),N97/F97,"")</f>
        <v/>
      </c>
      <c r="P97" s="27" t="n">
        <v>46248</v>
      </c>
      <c r="Q97" s="27" t="n">
        <v>46331</v>
      </c>
      <c r="R97" s="25" t="n">
        <v>6.64</v>
      </c>
      <c r="S97" s="28">
        <f>IF(AND(ISNUMBER(F97),ISNUMBER(R97),R97&gt;0),F97/R97,"")</f>
        <v/>
      </c>
      <c r="T97" s="27" t="n">
        <v>46246</v>
      </c>
    </row>
    <row r="98">
      <c r="A98" s="11" t="inlineStr">
        <is>
          <t>MMM</t>
        </is>
      </c>
      <c r="B98" s="11" t="inlineStr">
        <is>
          <t>3M Company</t>
        </is>
      </c>
      <c r="C98" s="11" t="inlineStr">
        <is>
          <t>Conglomerates</t>
        </is>
      </c>
      <c r="D98" s="11" t="inlineStr">
        <is>
          <t>United States</t>
        </is>
      </c>
      <c r="E98" s="12" t="n">
        <v>94.98999999999999</v>
      </c>
      <c r="F98" s="13" t="n">
        <v>184.18</v>
      </c>
      <c r="G98" s="13" t="n">
        <v>183.25824</v>
      </c>
      <c r="H98" s="14">
        <f>IF(AND(ISNUMBER(F98),ISNUMBER(G98),F98&gt;0),G98/F98-1,"")</f>
        <v/>
      </c>
      <c r="I98" s="13" t="n">
        <v>120</v>
      </c>
      <c r="J98" s="14">
        <f>IF(AND(ISNUMBER(F98),ISNUMBER(I98),F98&gt;0),I98/F98-1,"")</f>
        <v/>
      </c>
      <c r="K98" s="13" t="n">
        <v>219</v>
      </c>
      <c r="L98" s="14">
        <f>IF(AND(ISNUMBER(F98),ISNUMBER(K98),F98&gt;0),K98/F98-1,"")</f>
        <v/>
      </c>
      <c r="M98" s="15" t="n">
        <v>17</v>
      </c>
      <c r="N98" s="16" t="n">
        <v>3.12</v>
      </c>
      <c r="O98" s="17">
        <f>IF(AND(ISNUMBER(F98),ISNUMBER(N98),F98&gt;0),N98/F98,"")</f>
        <v/>
      </c>
      <c r="P98" s="18" t="n">
        <v>46164</v>
      </c>
      <c r="Q98" s="18" t="n">
        <v>46315</v>
      </c>
      <c r="R98" s="16" t="n">
        <v>5.62</v>
      </c>
      <c r="S98" s="19">
        <f>IF(AND(ISNUMBER(F98),ISNUMBER(R98),R98&gt;0),F98/R98,"")</f>
        <v/>
      </c>
      <c r="T98" s="18" t="n">
        <v>46246</v>
      </c>
    </row>
    <row r="99">
      <c r="A99" s="20" t="inlineStr">
        <is>
          <t>EMR</t>
        </is>
      </c>
      <c r="B99" s="20" t="inlineStr">
        <is>
          <t>Emerson Electric Company</t>
        </is>
      </c>
      <c r="C99" s="20" t="inlineStr">
        <is>
          <t>Specialty Industrial Machinery</t>
        </is>
      </c>
      <c r="D99" s="20" t="inlineStr">
        <is>
          <t>United States</t>
        </is>
      </c>
      <c r="E99" s="21" t="n">
        <v>91.53</v>
      </c>
      <c r="F99" s="22" t="n">
        <v>164.09</v>
      </c>
      <c r="G99" s="22" t="n">
        <v>170.0737</v>
      </c>
      <c r="H99" s="23">
        <f>IF(AND(ISNUMBER(F99),ISNUMBER(G99),F99&gt;0),G99/F99-1,"")</f>
        <v/>
      </c>
      <c r="I99" s="22" t="n">
        <v>104</v>
      </c>
      <c r="J99" s="23">
        <f>IF(AND(ISNUMBER(F99),ISNUMBER(I99),F99&gt;0),I99/F99-1,"")</f>
        <v/>
      </c>
      <c r="K99" s="22" t="n">
        <v>205</v>
      </c>
      <c r="L99" s="23">
        <f>IF(AND(ISNUMBER(F99),ISNUMBER(K99),F99&gt;0),K99/F99-1,"")</f>
        <v/>
      </c>
      <c r="M99" s="24" t="n">
        <v>27</v>
      </c>
      <c r="N99" s="25" t="n">
        <v>2.22</v>
      </c>
      <c r="O99" s="26">
        <f>IF(AND(ISNUMBER(F99),ISNUMBER(N99),F99&gt;0),N99/F99,"")</f>
        <v/>
      </c>
      <c r="P99" s="27" t="n">
        <v>46248</v>
      </c>
      <c r="Q99" s="27" t="n">
        <v>46330</v>
      </c>
      <c r="R99" s="25" t="n">
        <v>4.57</v>
      </c>
      <c r="S99" s="28">
        <f>IF(AND(ISNUMBER(F99),ISNUMBER(R99),R99&gt;0),F99/R99,"")</f>
        <v/>
      </c>
      <c r="T99" s="27" t="n">
        <v>46246</v>
      </c>
    </row>
    <row r="100">
      <c r="A100" s="11" t="inlineStr">
        <is>
          <t>INTU</t>
        </is>
      </c>
      <c r="B100" s="11" t="inlineStr">
        <is>
          <t>Intuit Inc.</t>
        </is>
      </c>
      <c r="C100" s="11" t="inlineStr">
        <is>
          <t>Software - Application</t>
        </is>
      </c>
      <c r="D100" s="11" t="inlineStr">
        <is>
          <t>United States</t>
        </is>
      </c>
      <c r="E100" s="12" t="n">
        <v>90.94</v>
      </c>
      <c r="F100" s="13" t="n">
        <v>332.45</v>
      </c>
      <c r="G100" s="13" t="n">
        <v>455.3818</v>
      </c>
      <c r="H100" s="14">
        <f>IF(AND(ISNUMBER(F100),ISNUMBER(G100),F100&gt;0),G100/F100-1,"")</f>
        <v/>
      </c>
      <c r="I100" s="13" t="n">
        <v>250</v>
      </c>
      <c r="J100" s="14">
        <f>IF(AND(ISNUMBER(F100),ISNUMBER(I100),F100&gt;0),I100/F100-1,"")</f>
        <v/>
      </c>
      <c r="K100" s="13" t="n">
        <v>921</v>
      </c>
      <c r="L100" s="14">
        <f>IF(AND(ISNUMBER(F100),ISNUMBER(K100),F100&gt;0),K100/F100-1,"")</f>
        <v/>
      </c>
      <c r="M100" s="15" t="n">
        <v>33</v>
      </c>
      <c r="N100" s="16" t="n">
        <v>4.8</v>
      </c>
      <c r="O100" s="17">
        <f>IF(AND(ISNUMBER(F100),ISNUMBER(N100),F100&gt;0),N100/F100,"")</f>
        <v/>
      </c>
      <c r="P100" s="18" t="n">
        <v>46212</v>
      </c>
      <c r="Q100" s="18" t="n">
        <v>46259</v>
      </c>
      <c r="R100" s="16" t="n">
        <v>16.38</v>
      </c>
      <c r="S100" s="19">
        <f>IF(AND(ISNUMBER(F100),ISNUMBER(R100),R100&gt;0),F100/R100,"")</f>
        <v/>
      </c>
      <c r="T100" s="18" t="n">
        <v>46246</v>
      </c>
    </row>
    <row r="101">
      <c r="A101" s="20" t="inlineStr">
        <is>
          <t>CMCSA</t>
        </is>
      </c>
      <c r="B101" s="20" t="inlineStr">
        <is>
          <t>Comcast Corporation</t>
        </is>
      </c>
      <c r="C101" s="20" t="inlineStr">
        <is>
          <t>Telecom Services</t>
        </is>
      </c>
      <c r="D101" s="20" t="inlineStr">
        <is>
          <t>United States</t>
        </is>
      </c>
      <c r="E101" s="21" t="n">
        <v>89.27</v>
      </c>
      <c r="F101" s="22" t="n">
        <v>25.16</v>
      </c>
      <c r="G101" s="22" t="n">
        <v>30.08136</v>
      </c>
      <c r="H101" s="23">
        <f>IF(AND(ISNUMBER(F101),ISNUMBER(G101),F101&gt;0),G101/F101-1,"")</f>
        <v/>
      </c>
      <c r="I101" s="22" t="n">
        <v>21</v>
      </c>
      <c r="J101" s="23">
        <f>IF(AND(ISNUMBER(F101),ISNUMBER(I101),F101&gt;0),I101/F101-1,"")</f>
        <v/>
      </c>
      <c r="K101" s="22" t="n">
        <v>44</v>
      </c>
      <c r="L101" s="23">
        <f>IF(AND(ISNUMBER(F101),ISNUMBER(K101),F101&gt;0),K101/F101-1,"")</f>
        <v/>
      </c>
      <c r="M101" s="24" t="n">
        <v>22</v>
      </c>
      <c r="N101" s="25" t="n">
        <v>1.32</v>
      </c>
      <c r="O101" s="26">
        <f>IF(AND(ISNUMBER(F101),ISNUMBER(N101),F101&gt;0),N101/F101,"")</f>
        <v/>
      </c>
      <c r="P101" s="27" t="n">
        <v>46302</v>
      </c>
      <c r="Q101" s="27" t="n">
        <v>46324</v>
      </c>
      <c r="R101" s="25" t="n">
        <v>3.12</v>
      </c>
      <c r="S101" s="28">
        <f>IF(AND(ISNUMBER(F101),ISNUMBER(R101),R101&gt;0),F101/R101,"")</f>
        <v/>
      </c>
      <c r="T101" s="27" t="n">
        <v>46246</v>
      </c>
    </row>
    <row r="102">
      <c r="A102" s="11" t="inlineStr">
        <is>
          <t>UPS</t>
        </is>
      </c>
      <c r="B102" s="11" t="inlineStr">
        <is>
          <t>United Parcel Service, Inc.</t>
        </is>
      </c>
      <c r="C102" s="11" t="inlineStr">
        <is>
          <t>Integrated Freight &amp; Logistics</t>
        </is>
      </c>
      <c r="D102" s="11" t="inlineStr">
        <is>
          <t>United States</t>
        </is>
      </c>
      <c r="E102" s="12" t="n">
        <v>88.45</v>
      </c>
      <c r="F102" s="13" t="n">
        <v>103.97</v>
      </c>
      <c r="G102" s="13" t="n">
        <v>115.96154</v>
      </c>
      <c r="H102" s="14">
        <f>IF(AND(ISNUMBER(F102),ISNUMBER(G102),F102&gt;0),G102/F102-1,"")</f>
        <v/>
      </c>
      <c r="I102" s="13" t="n">
        <v>76</v>
      </c>
      <c r="J102" s="14">
        <f>IF(AND(ISNUMBER(F102),ISNUMBER(I102),F102&gt;0),I102/F102-1,"")</f>
        <v/>
      </c>
      <c r="K102" s="13" t="n">
        <v>135</v>
      </c>
      <c r="L102" s="14">
        <f>IF(AND(ISNUMBER(F102),ISNUMBER(K102),F102&gt;0),K102/F102-1,"")</f>
        <v/>
      </c>
      <c r="M102" s="15" t="n">
        <v>26</v>
      </c>
      <c r="N102" s="16" t="n">
        <v>6.56</v>
      </c>
      <c r="O102" s="17">
        <f>IF(AND(ISNUMBER(F102),ISNUMBER(N102),F102&gt;0),N102/F102,"")</f>
        <v/>
      </c>
      <c r="P102" s="18" t="n">
        <v>46251</v>
      </c>
      <c r="Q102" s="18" t="n">
        <v>46322</v>
      </c>
      <c r="R102" s="16" t="n">
        <v>5.38</v>
      </c>
      <c r="S102" s="19">
        <f>IF(AND(ISNUMBER(F102),ISNUMBER(R102),R102&gt;0),F102/R102,"")</f>
        <v/>
      </c>
      <c r="T102" s="18" t="n">
        <v>46246</v>
      </c>
    </row>
    <row r="103">
      <c r="A103" s="20" t="inlineStr">
        <is>
          <t>SPG</t>
        </is>
      </c>
      <c r="B103" s="20" t="inlineStr">
        <is>
          <t>Simon Property Group, Inc.</t>
        </is>
      </c>
      <c r="C103" s="20" t="inlineStr">
        <is>
          <t>Reit - Retail</t>
        </is>
      </c>
      <c r="D103" s="20" t="inlineStr">
        <is>
          <t>United States</t>
        </is>
      </c>
      <c r="E103" s="21" t="n">
        <v>83.69</v>
      </c>
      <c r="F103" s="22" t="n">
        <v>220.46</v>
      </c>
      <c r="G103" s="22" t="n">
        <v>231.3158</v>
      </c>
      <c r="H103" s="23">
        <f>IF(AND(ISNUMBER(F103),ISNUMBER(G103),F103&gt;0),G103/F103-1,"")</f>
        <v/>
      </c>
      <c r="I103" s="22" t="n">
        <v>199</v>
      </c>
      <c r="J103" s="23">
        <f>IF(AND(ISNUMBER(F103),ISNUMBER(I103),F103&gt;0),I103/F103-1,"")</f>
        <v/>
      </c>
      <c r="K103" s="22" t="n">
        <v>285</v>
      </c>
      <c r="L103" s="23">
        <f>IF(AND(ISNUMBER(F103),ISNUMBER(K103),F103&gt;0),K103/F103-1,"")</f>
        <v/>
      </c>
      <c r="M103" s="24" t="n">
        <v>19</v>
      </c>
      <c r="N103" s="25" t="n">
        <v>8.9</v>
      </c>
      <c r="O103" s="26">
        <f>IF(AND(ISNUMBER(F103),ISNUMBER(N103),F103&gt;0),N103/F103,"")</f>
        <v/>
      </c>
      <c r="P103" s="27" t="n">
        <v>46274</v>
      </c>
      <c r="Q103" s="27" t="n">
        <v>46328</v>
      </c>
      <c r="R103" s="25" t="n">
        <v>14.16</v>
      </c>
      <c r="S103" s="28">
        <f>IF(AND(ISNUMBER(F103),ISNUMBER(R103),R103&gt;0),F103/R103,"")</f>
        <v/>
      </c>
      <c r="T103" s="27" t="n">
        <v>46246</v>
      </c>
    </row>
    <row r="104">
      <c r="A104" s="11" t="inlineStr">
        <is>
          <t>AMT</t>
        </is>
      </c>
      <c r="B104" s="11" t="inlineStr">
        <is>
          <t>American Tower Corporation (REI</t>
        </is>
      </c>
      <c r="C104" s="11" t="inlineStr">
        <is>
          <t>Reit - Specialty</t>
        </is>
      </c>
      <c r="D104" s="11" t="inlineStr">
        <is>
          <t>United States</t>
        </is>
      </c>
      <c r="E104" s="12" t="n">
        <v>79.62</v>
      </c>
      <c r="F104" s="13" t="n">
        <v>170.87</v>
      </c>
      <c r="G104" s="13" t="n">
        <v>215.47826</v>
      </c>
      <c r="H104" s="14">
        <f>IF(AND(ISNUMBER(F104),ISNUMBER(G104),F104&gt;0),G104/F104-1,"")</f>
        <v/>
      </c>
      <c r="I104" s="13" t="n">
        <v>188</v>
      </c>
      <c r="J104" s="14">
        <f>IF(AND(ISNUMBER(F104),ISNUMBER(I104),F104&gt;0),I104/F104-1,"")</f>
        <v/>
      </c>
      <c r="K104" s="13" t="n">
        <v>260</v>
      </c>
      <c r="L104" s="14">
        <f>IF(AND(ISNUMBER(F104),ISNUMBER(K104),F104&gt;0),K104/F104-1,"")</f>
        <v/>
      </c>
      <c r="M104" s="15" t="n">
        <v>23</v>
      </c>
      <c r="N104" s="16" t="n">
        <v>6.98</v>
      </c>
      <c r="O104" s="17">
        <f>IF(AND(ISNUMBER(F104),ISNUMBER(N104),F104&gt;0),N104/F104,"")</f>
        <v/>
      </c>
      <c r="P104" s="18" t="n">
        <v>46185</v>
      </c>
      <c r="Q104" s="18" t="n">
        <v>46322</v>
      </c>
      <c r="R104" s="16" t="n">
        <v>6.21</v>
      </c>
      <c r="S104" s="19">
        <f>IF(AND(ISNUMBER(F104),ISNUMBER(R104),R104&gt;0),F104/R104,"")</f>
        <v/>
      </c>
      <c r="T104" s="18" t="n">
        <v>46246</v>
      </c>
    </row>
    <row r="105">
      <c r="A105" s="20" t="inlineStr">
        <is>
          <t>MDLZ</t>
        </is>
      </c>
      <c r="B105" s="20" t="inlineStr">
        <is>
          <t>Mondelez International, Inc.</t>
        </is>
      </c>
      <c r="C105" s="20" t="inlineStr">
        <is>
          <t>Confectioners</t>
        </is>
      </c>
      <c r="D105" s="20" t="inlineStr">
        <is>
          <t>United States</t>
        </is>
      </c>
      <c r="E105" s="21" t="n">
        <v>79.25</v>
      </c>
      <c r="F105" s="22" t="n">
        <v>62.09</v>
      </c>
      <c r="G105" s="22" t="n">
        <v>69.13043</v>
      </c>
      <c r="H105" s="23">
        <f>IF(AND(ISNUMBER(F105),ISNUMBER(G105),F105&gt;0),G105/F105-1,"")</f>
        <v/>
      </c>
      <c r="I105" s="22" t="n">
        <v>55</v>
      </c>
      <c r="J105" s="23">
        <f>IF(AND(ISNUMBER(F105),ISNUMBER(I105),F105&gt;0),I105/F105-1,"")</f>
        <v/>
      </c>
      <c r="K105" s="22" t="n">
        <v>77</v>
      </c>
      <c r="L105" s="23">
        <f>IF(AND(ISNUMBER(F105),ISNUMBER(K105),F105&gt;0),K105/F105-1,"")</f>
        <v/>
      </c>
      <c r="M105" s="24" t="n">
        <v>23</v>
      </c>
      <c r="N105" s="25" t="n">
        <v>2</v>
      </c>
      <c r="O105" s="26">
        <f>IF(AND(ISNUMBER(F105),ISNUMBER(N105),F105&gt;0),N105/F105,"")</f>
        <v/>
      </c>
      <c r="P105" s="27" t="n">
        <v>46203</v>
      </c>
      <c r="Q105" s="27" t="n">
        <v>46322</v>
      </c>
      <c r="R105" s="25" t="n">
        <v>1.64</v>
      </c>
      <c r="S105" s="28">
        <f>IF(AND(ISNUMBER(F105),ISNUMBER(R105),R105&gt;0),F105/R105,"")</f>
        <v/>
      </c>
      <c r="T105" s="27" t="n">
        <v>46246</v>
      </c>
    </row>
    <row r="106">
      <c r="A106" s="11" t="inlineStr">
        <is>
          <t>GM</t>
        </is>
      </c>
      <c r="B106" s="11" t="inlineStr">
        <is>
          <t>General Motors Company</t>
        </is>
      </c>
      <c r="C106" s="11" t="inlineStr">
        <is>
          <t>Auto Manufacturers</t>
        </is>
      </c>
      <c r="D106" s="11" t="inlineStr">
        <is>
          <t>United States</t>
        </is>
      </c>
      <c r="E106" s="12" t="n">
        <v>78.91</v>
      </c>
      <c r="F106" s="13" t="n">
        <v>87.25</v>
      </c>
      <c r="G106" s="13" t="n">
        <v>100.03704</v>
      </c>
      <c r="H106" s="14">
        <f>IF(AND(ISNUMBER(F106),ISNUMBER(G106),F106&gt;0),G106/F106-1,"")</f>
        <v/>
      </c>
      <c r="I106" s="13" t="n">
        <v>61</v>
      </c>
      <c r="J106" s="14">
        <f>IF(AND(ISNUMBER(F106),ISNUMBER(I106),F106&gt;0),I106/F106-1,"")</f>
        <v/>
      </c>
      <c r="K106" s="13" t="n">
        <v>132</v>
      </c>
      <c r="L106" s="14">
        <f>IF(AND(ISNUMBER(F106),ISNUMBER(K106),F106&gt;0),K106/F106-1,"")</f>
        <v/>
      </c>
      <c r="M106" s="15" t="n">
        <v>27</v>
      </c>
      <c r="N106" s="16" t="n">
        <v>0.72</v>
      </c>
      <c r="O106" s="17">
        <f>IF(AND(ISNUMBER(F106),ISNUMBER(N106),F106&gt;0),N106/F106,"")</f>
        <v/>
      </c>
      <c r="P106" s="18" t="n">
        <v>46269</v>
      </c>
      <c r="Q106" s="18" t="n">
        <v>46315</v>
      </c>
      <c r="R106" s="16" t="n">
        <v>2.24</v>
      </c>
      <c r="S106" s="19">
        <f>IF(AND(ISNUMBER(F106),ISNUMBER(R106),R106&gt;0),F106/R106,"")</f>
        <v/>
      </c>
      <c r="T106" s="18" t="n">
        <v>46246</v>
      </c>
    </row>
    <row r="107">
      <c r="A107" s="20" t="inlineStr">
        <is>
          <t>FDX</t>
        </is>
      </c>
      <c r="B107" s="20" t="inlineStr">
        <is>
          <t>FedEx Corporation</t>
        </is>
      </c>
      <c r="C107" s="20" t="inlineStr">
        <is>
          <t>Integrated Freight &amp; Logistics</t>
        </is>
      </c>
      <c r="D107" s="20" t="inlineStr">
        <is>
          <t>United States</t>
        </is>
      </c>
      <c r="E107" s="21" t="n">
        <v>76.83</v>
      </c>
      <c r="F107" s="22" t="n">
        <v>324.75</v>
      </c>
      <c r="G107" s="22" t="n">
        <v>352.2261</v>
      </c>
      <c r="H107" s="23">
        <f>IF(AND(ISNUMBER(F107),ISNUMBER(G107),F107&gt;0),G107/F107-1,"")</f>
        <v/>
      </c>
      <c r="I107" s="22" t="n">
        <v>160</v>
      </c>
      <c r="J107" s="23">
        <f>IF(AND(ISNUMBER(F107),ISNUMBER(I107),F107&gt;0),I107/F107-1,"")</f>
        <v/>
      </c>
      <c r="K107" s="22" t="n">
        <v>479</v>
      </c>
      <c r="L107" s="23">
        <f>IF(AND(ISNUMBER(F107),ISNUMBER(K107),F107&gt;0),K107/F107-1,"")</f>
        <v/>
      </c>
      <c r="M107" s="24" t="n">
        <v>25</v>
      </c>
      <c r="N107" s="25" t="n">
        <v>4.88</v>
      </c>
      <c r="O107" s="26">
        <f>IF(AND(ISNUMBER(F107),ISNUMBER(N107),F107&gt;0),N107/F107,"")</f>
        <v/>
      </c>
      <c r="P107" s="27" t="n">
        <v>46195</v>
      </c>
      <c r="Q107" s="27" t="n">
        <v>46323</v>
      </c>
      <c r="R107" s="25" t="n">
        <v>18.54</v>
      </c>
      <c r="S107" s="28">
        <f>IF(AND(ISNUMBER(F107),ISNUMBER(R107),R107&gt;0),F107/R107,"")</f>
        <v/>
      </c>
      <c r="T107" s="27" t="n">
        <v>46246</v>
      </c>
    </row>
    <row r="108">
      <c r="A108" s="11" t="inlineStr">
        <is>
          <t>HON</t>
        </is>
      </c>
      <c r="B108" s="11" t="inlineStr">
        <is>
          <t>Honeywell International Inc.</t>
        </is>
      </c>
      <c r="C108" s="11" t="inlineStr">
        <is>
          <t>Conglomerates</t>
        </is>
      </c>
      <c r="D108" s="11" t="inlineStr">
        <is>
          <t>United States</t>
        </is>
      </c>
      <c r="E108" s="12" t="n">
        <v>74.23999999999999</v>
      </c>
      <c r="F108" s="13" t="n">
        <v>234.24</v>
      </c>
      <c r="G108" s="13" t="n">
        <v>263.10526</v>
      </c>
      <c r="H108" s="14">
        <f>IF(AND(ISNUMBER(F108),ISNUMBER(G108),F108&gt;0),G108/F108-1,"")</f>
        <v/>
      </c>
      <c r="I108" s="13" t="n">
        <v>186</v>
      </c>
      <c r="J108" s="14">
        <f>IF(AND(ISNUMBER(F108),ISNUMBER(I108),F108&gt;0),I108/F108-1,"")</f>
        <v/>
      </c>
      <c r="K108" s="13" t="n">
        <v>298</v>
      </c>
      <c r="L108" s="14">
        <f>IF(AND(ISNUMBER(F108),ISNUMBER(K108),F108&gt;0),K108/F108-1,"")</f>
        <v/>
      </c>
      <c r="M108" s="15" t="n">
        <v>19</v>
      </c>
      <c r="N108" s="16" t="n">
        <v>2.8</v>
      </c>
      <c r="O108" s="17">
        <f>IF(AND(ISNUMBER(F108),ISNUMBER(N108),F108&gt;0),N108/F108,"")</f>
        <v/>
      </c>
      <c r="P108" s="18" t="n">
        <v>46248</v>
      </c>
      <c r="Q108" s="18" t="n">
        <v>46317</v>
      </c>
      <c r="R108" s="16" t="n">
        <v>26</v>
      </c>
      <c r="S108" s="19">
        <f>IF(AND(ISNUMBER(F108),ISNUMBER(R108),R108&gt;0),F108/R108,"")</f>
        <v/>
      </c>
      <c r="T108" s="18" t="n">
        <v>46246</v>
      </c>
    </row>
    <row r="109">
      <c r="A109" s="20" t="inlineStr">
        <is>
          <t>CL</t>
        </is>
      </c>
      <c r="B109" s="20" t="inlineStr">
        <is>
          <t>Colgate-Palmolive Company</t>
        </is>
      </c>
      <c r="C109" s="20" t="inlineStr">
        <is>
          <t>Household &amp; Personal Products</t>
        </is>
      </c>
      <c r="D109" s="20" t="inlineStr">
        <is>
          <t>United States</t>
        </is>
      </c>
      <c r="E109" s="21" t="n">
        <v>73.84</v>
      </c>
      <c r="F109" s="22" t="n">
        <v>92.63</v>
      </c>
      <c r="G109" s="22" t="n">
        <v>98.95</v>
      </c>
      <c r="H109" s="23">
        <f>IF(AND(ISNUMBER(F109),ISNUMBER(G109),F109&gt;0),G109/F109-1,"")</f>
        <v/>
      </c>
      <c r="I109" s="22" t="n">
        <v>87</v>
      </c>
      <c r="J109" s="23">
        <f>IF(AND(ISNUMBER(F109),ISNUMBER(I109),F109&gt;0),I109/F109-1,"")</f>
        <v/>
      </c>
      <c r="K109" s="22" t="n">
        <v>110</v>
      </c>
      <c r="L109" s="23">
        <f>IF(AND(ISNUMBER(F109),ISNUMBER(K109),F109&gt;0),K109/F109-1,"")</f>
        <v/>
      </c>
      <c r="M109" s="24" t="n">
        <v>20</v>
      </c>
      <c r="N109" s="25" t="n">
        <v>2.12</v>
      </c>
      <c r="O109" s="26">
        <f>IF(AND(ISNUMBER(F109),ISNUMBER(N109),F109&gt;0),N109/F109,"")</f>
        <v/>
      </c>
      <c r="P109" s="27" t="n">
        <v>46223</v>
      </c>
      <c r="Q109" s="27" t="n">
        <v>46325</v>
      </c>
      <c r="R109" s="25" t="n">
        <v>2.54</v>
      </c>
      <c r="S109" s="28">
        <f>IF(AND(ISNUMBER(F109),ISNUMBER(R109),R109&gt;0),F109/R109,"")</f>
        <v/>
      </c>
      <c r="T109" s="27" t="n">
        <v>46246</v>
      </c>
    </row>
    <row r="110">
      <c r="A110" s="11" t="inlineStr">
        <is>
          <t>MET</t>
        </is>
      </c>
      <c r="B110" s="11" t="inlineStr">
        <is>
          <t>MetLife, Inc.</t>
        </is>
      </c>
      <c r="C110" s="11" t="inlineStr">
        <is>
          <t>Insurance - Life</t>
        </is>
      </c>
      <c r="D110" s="11" t="inlineStr">
        <is>
          <t>United States</t>
        </is>
      </c>
      <c r="E110" s="12" t="n">
        <v>61.43</v>
      </c>
      <c r="F110" s="13" t="n">
        <v>96.67</v>
      </c>
      <c r="G110" s="13" t="n">
        <v>103.6875</v>
      </c>
      <c r="H110" s="14">
        <f>IF(AND(ISNUMBER(F110),ISNUMBER(G110),F110&gt;0),G110/F110-1,"")</f>
        <v/>
      </c>
      <c r="I110" s="13" t="n">
        <v>84</v>
      </c>
      <c r="J110" s="14">
        <f>IF(AND(ISNUMBER(F110),ISNUMBER(I110),F110&gt;0),I110/F110-1,"")</f>
        <v/>
      </c>
      <c r="K110" s="13" t="n">
        <v>119</v>
      </c>
      <c r="L110" s="14">
        <f>IF(AND(ISNUMBER(F110),ISNUMBER(K110),F110&gt;0),K110/F110-1,"")</f>
        <v/>
      </c>
      <c r="M110" s="15" t="n">
        <v>16</v>
      </c>
      <c r="N110" s="16" t="n">
        <v>2.37</v>
      </c>
      <c r="O110" s="17">
        <f>IF(AND(ISNUMBER(F110),ISNUMBER(N110),F110&gt;0),N110/F110,"")</f>
        <v/>
      </c>
      <c r="P110" s="18" t="n">
        <v>46238</v>
      </c>
      <c r="Q110" s="18" t="n">
        <v>46239</v>
      </c>
      <c r="R110" s="16" t="n">
        <v>5.22</v>
      </c>
      <c r="S110" s="19">
        <f>IF(AND(ISNUMBER(F110),ISNUMBER(R110),R110&gt;0),F110/R110,"")</f>
        <v/>
      </c>
      <c r="T110" s="18" t="n">
        <v>46246</v>
      </c>
    </row>
    <row r="111">
      <c r="A111" s="20" t="inlineStr">
        <is>
          <t>NKE</t>
        </is>
      </c>
      <c r="B111" s="20" t="inlineStr">
        <is>
          <t>Nike, Inc.</t>
        </is>
      </c>
      <c r="C111" s="20" t="inlineStr">
        <is>
          <t>Footwear &amp; Accessories</t>
        </is>
      </c>
      <c r="D111" s="20" t="inlineStr">
        <is>
          <t>United States</t>
        </is>
      </c>
      <c r="E111" s="21" t="n">
        <v>60.5</v>
      </c>
      <c r="F111" s="22" t="n">
        <v>40.78</v>
      </c>
      <c r="G111" s="22" t="n">
        <v>50.66471</v>
      </c>
      <c r="H111" s="23">
        <f>IF(AND(ISNUMBER(F111),ISNUMBER(G111),F111&gt;0),G111/F111-1,"")</f>
        <v/>
      </c>
      <c r="I111" s="22" t="n">
        <v>23</v>
      </c>
      <c r="J111" s="23">
        <f>IF(AND(ISNUMBER(F111),ISNUMBER(I111),F111&gt;0),I111/F111-1,"")</f>
        <v/>
      </c>
      <c r="K111" s="22" t="n">
        <v>94</v>
      </c>
      <c r="L111" s="23">
        <f>IF(AND(ISNUMBER(F111),ISNUMBER(K111),F111&gt;0),K111/F111-1,"")</f>
        <v/>
      </c>
      <c r="M111" s="24" t="n">
        <v>34</v>
      </c>
      <c r="N111" s="25" t="n">
        <v>1.64</v>
      </c>
      <c r="O111" s="26">
        <f>IF(AND(ISNUMBER(F111),ISNUMBER(N111),F111&gt;0),N111/F111,"")</f>
        <v/>
      </c>
      <c r="P111" s="27" t="n">
        <v>46266</v>
      </c>
      <c r="Q111" s="27" t="n">
        <v>46294</v>
      </c>
      <c r="R111" s="25" t="n">
        <v>2.1</v>
      </c>
      <c r="S111" s="28">
        <f>IF(AND(ISNUMBER(F111),ISNUMBER(R111),R111&gt;0),F111/R111,"")</f>
        <v/>
      </c>
      <c r="T111" s="27" t="n">
        <v>46246</v>
      </c>
    </row>
    <row r="112">
      <c r="A112" s="11" t="inlineStr">
        <is>
          <t>PYPL</t>
        </is>
      </c>
      <c r="B112" s="11" t="inlineStr">
        <is>
          <t>PayPal Holdings, Inc.</t>
        </is>
      </c>
      <c r="C112" s="11" t="inlineStr">
        <is>
          <t>Credit Services</t>
        </is>
      </c>
      <c r="D112" s="11" t="inlineStr">
        <is>
          <t>United States</t>
        </is>
      </c>
      <c r="E112" s="12" t="n">
        <v>50.08</v>
      </c>
      <c r="F112" s="13" t="n">
        <v>58.55</v>
      </c>
      <c r="G112" s="13" t="n">
        <v>58.83</v>
      </c>
      <c r="H112" s="14">
        <f>IF(AND(ISNUMBER(F112),ISNUMBER(G112),F112&gt;0),G112/F112-1,"")</f>
        <v/>
      </c>
      <c r="I112" s="13" t="n">
        <v>36</v>
      </c>
      <c r="J112" s="14">
        <f>IF(AND(ISNUMBER(F112),ISNUMBER(I112),F112&gt;0),I112/F112-1,"")</f>
        <v/>
      </c>
      <c r="K112" s="13" t="n">
        <v>147.39</v>
      </c>
      <c r="L112" s="14">
        <f>IF(AND(ISNUMBER(F112),ISNUMBER(K112),F112&gt;0),K112/F112-1,"")</f>
        <v/>
      </c>
      <c r="M112" s="15" t="n">
        <v>33</v>
      </c>
      <c r="N112" s="16" t="n">
        <v>0.5600000000000001</v>
      </c>
      <c r="O112" s="17">
        <f>IF(AND(ISNUMBER(F112),ISNUMBER(N112),F112&gt;0),N112/F112,"")</f>
        <v/>
      </c>
      <c r="P112" s="18" t="n">
        <v>46269</v>
      </c>
      <c r="Q112" s="18" t="n">
        <v>46322</v>
      </c>
      <c r="R112" s="16" t="n">
        <v>5.29</v>
      </c>
      <c r="S112" s="19">
        <f>IF(AND(ISNUMBER(F112),ISNUMBER(R112),R112&gt;0),F112/R112,"")</f>
        <v/>
      </c>
      <c r="T112" s="18" t="n">
        <v>46246</v>
      </c>
    </row>
    <row r="113">
      <c r="A113" s="20" t="inlineStr">
        <is>
          <t>AIG</t>
        </is>
      </c>
      <c r="B113" s="20" t="inlineStr">
        <is>
          <t>American International Group, I</t>
        </is>
      </c>
      <c r="C113" s="20" t="inlineStr">
        <is>
          <t>Insurance - Diversified</t>
        </is>
      </c>
      <c r="D113" s="20" t="inlineStr">
        <is>
          <t>United States</t>
        </is>
      </c>
      <c r="E113" s="21" t="n">
        <v>40.03</v>
      </c>
      <c r="F113" s="22" t="n">
        <v>76.56</v>
      </c>
      <c r="G113" s="22" t="n">
        <v>88.65000000000001</v>
      </c>
      <c r="H113" s="23">
        <f>IF(AND(ISNUMBER(F113),ISNUMBER(G113),F113&gt;0),G113/F113-1,"")</f>
        <v/>
      </c>
      <c r="I113" s="22" t="n">
        <v>80</v>
      </c>
      <c r="J113" s="23">
        <f>IF(AND(ISNUMBER(F113),ISNUMBER(I113),F113&gt;0),I113/F113-1,"")</f>
        <v/>
      </c>
      <c r="K113" s="22" t="n">
        <v>101</v>
      </c>
      <c r="L113" s="23">
        <f>IF(AND(ISNUMBER(F113),ISNUMBER(K113),F113&gt;0),K113/F113-1,"")</f>
        <v/>
      </c>
      <c r="M113" s="24" t="n">
        <v>20</v>
      </c>
      <c r="N113" s="25" t="n">
        <v>2</v>
      </c>
      <c r="O113" s="26">
        <f>IF(AND(ISNUMBER(F113),ISNUMBER(N113),F113&gt;0),N113/F113,"")</f>
        <v/>
      </c>
      <c r="P113" s="27" t="n">
        <v>46281</v>
      </c>
      <c r="Q113" s="27" t="n">
        <v>46330</v>
      </c>
      <c r="R113" s="25" t="n">
        <v>5.48</v>
      </c>
      <c r="S113" s="28">
        <f>IF(AND(ISNUMBER(F113),ISNUMBER(R113),R113&gt;0),F113/R113,"")</f>
        <v/>
      </c>
      <c r="T113" s="27" t="n">
        <v>46246</v>
      </c>
    </row>
    <row r="114">
      <c r="A114" s="11" t="inlineStr">
        <is>
          <t>CHTR</t>
        </is>
      </c>
      <c r="B114" s="11" t="inlineStr">
        <is>
          <t>Charter Communications, Inc.</t>
        </is>
      </c>
      <c r="C114" s="11" t="inlineStr">
        <is>
          <t>Telecom Services</t>
        </is>
      </c>
      <c r="D114" s="11" t="inlineStr">
        <is>
          <t>United States</t>
        </is>
      </c>
      <c r="E114" s="12" t="n">
        <v>20.25</v>
      </c>
      <c r="F114" s="13" t="n">
        <v>150.28</v>
      </c>
      <c r="G114" s="13" t="n">
        <v>184.41176</v>
      </c>
      <c r="H114" s="14">
        <f>IF(AND(ISNUMBER(F114),ISNUMBER(G114),F114&gt;0),G114/F114-1,"")</f>
        <v/>
      </c>
      <c r="I114" s="13" t="n">
        <v>101</v>
      </c>
      <c r="J114" s="14">
        <f>IF(AND(ISNUMBER(F114),ISNUMBER(I114),F114&gt;0),I114/F114-1,"")</f>
        <v/>
      </c>
      <c r="K114" s="13" t="n">
        <v>380</v>
      </c>
      <c r="L114" s="14">
        <f>IF(AND(ISNUMBER(F114),ISNUMBER(K114),F114&gt;0),K114/F114-1,"")</f>
        <v/>
      </c>
      <c r="M114" s="15" t="n">
        <v>17</v>
      </c>
      <c r="N114" s="16" t="n"/>
      <c r="O114" s="17">
        <f>IF(AND(ISNUMBER(F114),ISNUMBER(N114),F114&gt;0),N114/F114,"")</f>
        <v/>
      </c>
      <c r="P114" s="18" t="n"/>
      <c r="Q114" s="18" t="n">
        <v>46325</v>
      </c>
      <c r="R114" s="16" t="n">
        <v>38.43</v>
      </c>
      <c r="S114" s="19">
        <f>IF(AND(ISNUMBER(F114),ISNUMBER(R114),R114&gt;0),F114/R114,"")</f>
        <v/>
      </c>
      <c r="T114" s="18" t="n">
        <v>46246</v>
      </c>
    </row>
    <row r="115">
      <c r="A115" s="20" t="inlineStr">
        <is>
          <t>CRM</t>
        </is>
      </c>
      <c r="B115" s="20" t="inlineStr">
        <is>
          <t>Salesforce, Inc.</t>
        </is>
      </c>
      <c r="C115" s="20" t="inlineStr">
        <is>
          <t>Software - Application</t>
        </is>
      </c>
      <c r="D115" s="20" t="inlineStr">
        <is>
          <t>United States</t>
        </is>
      </c>
      <c r="E115" s="21" t="n"/>
      <c r="F115" s="22" t="n">
        <v>192.35</v>
      </c>
      <c r="G115" s="22" t="n">
        <v>241.7198</v>
      </c>
      <c r="H115" s="23">
        <f>IF(AND(ISNUMBER(F115),ISNUMBER(G115),F115&gt;0),G115/F115-1,"")</f>
        <v/>
      </c>
      <c r="I115" s="22" t="n">
        <v>160</v>
      </c>
      <c r="J115" s="23">
        <f>IF(AND(ISNUMBER(F115),ISNUMBER(I115),F115&gt;0),I115/F115-1,"")</f>
        <v/>
      </c>
      <c r="K115" s="22" t="n">
        <v>475</v>
      </c>
      <c r="L115" s="23">
        <f>IF(AND(ISNUMBER(F115),ISNUMBER(K115),F115&gt;0),K115/F115-1,"")</f>
        <v/>
      </c>
      <c r="M115" s="24" t="n">
        <v>53</v>
      </c>
      <c r="N115" s="25" t="n">
        <v>1.76</v>
      </c>
      <c r="O115" s="26">
        <f>IF(AND(ISNUMBER(F115),ISNUMBER(N115),F115&gt;0),N115/F115,"")</f>
        <v/>
      </c>
      <c r="P115" s="27" t="n">
        <v>46184</v>
      </c>
      <c r="Q115" s="27" t="n">
        <v>46260</v>
      </c>
      <c r="R115" s="25" t="n">
        <v>8.630000000000001</v>
      </c>
      <c r="S115" s="28">
        <f>IF(AND(ISNUMBER(F115),ISNUMBER(R115),R115&gt;0),F115/R115,"")</f>
        <v/>
      </c>
      <c r="T115" s="27" t="n">
        <v>46246</v>
      </c>
    </row>
    <row r="116">
      <c r="A116" s="11" t="inlineStr">
        <is>
          <t>HD</t>
        </is>
      </c>
      <c r="B116" s="11" t="inlineStr">
        <is>
          <t>Home Depot, Inc. (The)</t>
        </is>
      </c>
      <c r="C116" s="11" t="inlineStr">
        <is>
          <t>Home Improvement Retail</t>
        </is>
      </c>
      <c r="D116" s="11" t="inlineStr">
        <is>
          <t>United States</t>
        </is>
      </c>
      <c r="E116" s="12" t="n"/>
      <c r="F116" s="13" t="n">
        <v>344.86</v>
      </c>
      <c r="G116" s="13" t="n">
        <v>372.78125</v>
      </c>
      <c r="H116" s="14">
        <f>IF(AND(ISNUMBER(F116),ISNUMBER(G116),F116&gt;0),G116/F116-1,"")</f>
        <v/>
      </c>
      <c r="I116" s="13" t="n">
        <v>310</v>
      </c>
      <c r="J116" s="14">
        <f>IF(AND(ISNUMBER(F116),ISNUMBER(I116),F116&gt;0),I116/F116-1,"")</f>
        <v/>
      </c>
      <c r="K116" s="13" t="n">
        <v>430</v>
      </c>
      <c r="L116" s="14">
        <f>IF(AND(ISNUMBER(F116),ISNUMBER(K116),F116&gt;0),K116/F116-1,"")</f>
        <v/>
      </c>
      <c r="M116" s="15" t="n">
        <v>32</v>
      </c>
      <c r="N116" s="16" t="n">
        <v>9.32</v>
      </c>
      <c r="O116" s="17">
        <f>IF(AND(ISNUMBER(F116),ISNUMBER(N116),F116&gt;0),N116/F116,"")</f>
        <v/>
      </c>
      <c r="P116" s="18" t="n">
        <v>46177</v>
      </c>
      <c r="Q116" s="18" t="n">
        <v>46252</v>
      </c>
      <c r="R116" s="16" t="n">
        <v>14.07</v>
      </c>
      <c r="S116" s="19">
        <f>IF(AND(ISNUMBER(F116),ISNUMBER(R116),R116&gt;0),F116/R116,"")</f>
        <v/>
      </c>
      <c r="T116" s="18" t="n">
        <v>46246</v>
      </c>
    </row>
    <row r="117">
      <c r="A117" s="20" t="inlineStr">
        <is>
          <t>LOW</t>
        </is>
      </c>
      <c r="B117" s="20" t="inlineStr">
        <is>
          <t>Lowe's Companies, Inc.</t>
        </is>
      </c>
      <c r="C117" s="20" t="inlineStr">
        <is>
          <t>Home Improvement Retail</t>
        </is>
      </c>
      <c r="D117" s="20" t="inlineStr">
        <is>
          <t>United States</t>
        </is>
      </c>
      <c r="E117" s="21" t="n"/>
      <c r="F117" s="22" t="n">
        <v>216.49</v>
      </c>
      <c r="G117" s="22" t="n">
        <v>262.87878</v>
      </c>
      <c r="H117" s="23">
        <f>IF(AND(ISNUMBER(F117),ISNUMBER(G117),F117&gt;0),G117/F117-1,"")</f>
        <v/>
      </c>
      <c r="I117" s="22" t="n">
        <v>202</v>
      </c>
      <c r="J117" s="23">
        <f>IF(AND(ISNUMBER(F117),ISNUMBER(I117),F117&gt;0),I117/F117-1,"")</f>
        <v/>
      </c>
      <c r="K117" s="22" t="n">
        <v>300</v>
      </c>
      <c r="L117" s="23">
        <f>IF(AND(ISNUMBER(F117),ISNUMBER(K117),F117&gt;0),K117/F117-1,"")</f>
        <v/>
      </c>
      <c r="M117" s="24" t="n">
        <v>33</v>
      </c>
      <c r="N117" s="25" t="n">
        <v>5</v>
      </c>
      <c r="O117" s="26">
        <f>IF(AND(ISNUMBER(F117),ISNUMBER(N117),F117&gt;0),N117/F117,"")</f>
        <v/>
      </c>
      <c r="P117" s="27" t="n">
        <v>46225</v>
      </c>
      <c r="Q117" s="27" t="n">
        <v>46253</v>
      </c>
      <c r="R117" s="25" t="n">
        <v>11.84</v>
      </c>
      <c r="S117" s="28">
        <f>IF(AND(ISNUMBER(F117),ISNUMBER(R117),R117&gt;0),F117/R117,"")</f>
        <v/>
      </c>
      <c r="T117" s="27" t="n">
        <v>46246</v>
      </c>
    </row>
    <row r="118">
      <c r="A118" s="11" t="inlineStr">
        <is>
          <t>MDT</t>
        </is>
      </c>
      <c r="B118" s="11" t="inlineStr">
        <is>
          <t>Medtronic plc.</t>
        </is>
      </c>
      <c r="C118" s="11" t="inlineStr">
        <is>
          <t>Medical Devices</t>
        </is>
      </c>
      <c r="D118" s="11" t="inlineStr">
        <is>
          <t>Ireland</t>
        </is>
      </c>
      <c r="E118" s="12" t="n"/>
      <c r="F118" s="13" t="n">
        <v>90.42</v>
      </c>
      <c r="G118" s="13" t="n">
        <v>98.44</v>
      </c>
      <c r="H118" s="14">
        <f>IF(AND(ISNUMBER(F118),ISNUMBER(G118),F118&gt;0),G118/F118-1,"")</f>
        <v/>
      </c>
      <c r="I118" s="13" t="n">
        <v>78</v>
      </c>
      <c r="J118" s="14">
        <f>IF(AND(ISNUMBER(F118),ISNUMBER(I118),F118&gt;0),I118/F118-1,"")</f>
        <v/>
      </c>
      <c r="K118" s="13" t="n">
        <v>121</v>
      </c>
      <c r="L118" s="14">
        <f>IF(AND(ISNUMBER(F118),ISNUMBER(K118),F118&gt;0),K118/F118-1,"")</f>
        <v/>
      </c>
      <c r="M118" s="15" t="n">
        <v>25</v>
      </c>
      <c r="N118" s="16" t="n">
        <v>2.88</v>
      </c>
      <c r="O118" s="17">
        <f>IF(AND(ISNUMBER(F118),ISNUMBER(N118),F118&gt;0),N118/F118,"")</f>
        <v/>
      </c>
      <c r="P118" s="18" t="n">
        <v>46199</v>
      </c>
      <c r="Q118" s="18" t="n">
        <v>46266</v>
      </c>
      <c r="R118" s="16" t="n">
        <v>3.73</v>
      </c>
      <c r="S118" s="19">
        <f>IF(AND(ISNUMBER(F118),ISNUMBER(R118),R118&gt;0),F118/R118,"")</f>
        <v/>
      </c>
      <c r="T118" s="18" t="n">
        <v>46246</v>
      </c>
    </row>
    <row r="119">
      <c r="A119" s="20" t="inlineStr">
        <is>
          <t>TGT</t>
        </is>
      </c>
      <c r="B119" s="20" t="inlineStr">
        <is>
          <t>Target Corporation</t>
        </is>
      </c>
      <c r="C119" s="20" t="inlineStr">
        <is>
          <t>Discount Stores</t>
        </is>
      </c>
      <c r="D119" s="20" t="inlineStr">
        <is>
          <t>United States</t>
        </is>
      </c>
      <c r="E119" s="21" t="n"/>
      <c r="F119" s="22" t="n">
        <v>153.24</v>
      </c>
      <c r="G119" s="22" t="n">
        <v>139.51912</v>
      </c>
      <c r="H119" s="23">
        <f>IF(AND(ISNUMBER(F119),ISNUMBER(G119),F119&gt;0),G119/F119-1,"")</f>
        <v/>
      </c>
      <c r="I119" s="22" t="n">
        <v>92</v>
      </c>
      <c r="J119" s="23">
        <f>IF(AND(ISNUMBER(F119),ISNUMBER(I119),F119&gt;0),I119/F119-1,"")</f>
        <v/>
      </c>
      <c r="K119" s="22" t="n">
        <v>170</v>
      </c>
      <c r="L119" s="23">
        <f>IF(AND(ISNUMBER(F119),ISNUMBER(K119),F119&gt;0),K119/F119-1,"")</f>
        <v/>
      </c>
      <c r="M119" s="24" t="n">
        <v>34</v>
      </c>
      <c r="N119" s="25" t="n">
        <v>4.64</v>
      </c>
      <c r="O119" s="26">
        <f>IF(AND(ISNUMBER(F119),ISNUMBER(N119),F119&gt;0),N119/F119,"")</f>
        <v/>
      </c>
      <c r="P119" s="27" t="n">
        <v>46246</v>
      </c>
      <c r="Q119" s="27" t="n">
        <v>46253</v>
      </c>
      <c r="R119" s="25" t="n">
        <v>7.57</v>
      </c>
      <c r="S119" s="28">
        <f>IF(AND(ISNUMBER(F119),ISNUMBER(R119),R119&gt;0),F119/R119,"")</f>
        <v/>
      </c>
      <c r="T119" s="27" t="n">
        <v>46246</v>
      </c>
    </row>
    <row r="120">
      <c r="A120" s="11" t="inlineStr">
        <is>
          <t>MU</t>
        </is>
      </c>
      <c r="B120" s="11" t="inlineStr">
        <is>
          <t>Micron Technology, Inc.</t>
        </is>
      </c>
      <c r="C120" s="11" t="inlineStr">
        <is>
          <t>Semiconductors</t>
        </is>
      </c>
      <c r="D120" s="11" t="inlineStr">
        <is>
          <t>United States</t>
        </is>
      </c>
      <c r="E120" s="12" t="n"/>
      <c r="F120" s="13" t="n">
        <v>932.01</v>
      </c>
      <c r="G120" s="13" t="n">
        <v>1501.9767</v>
      </c>
      <c r="H120" s="14">
        <f>IF(AND(ISNUMBER(F120),ISNUMBER(G120),F120&gt;0),G120/F120-1,"")</f>
        <v/>
      </c>
      <c r="I120" s="13" t="n">
        <v>361</v>
      </c>
      <c r="J120" s="14">
        <f>IF(AND(ISNUMBER(F120),ISNUMBER(I120),F120&gt;0),I120/F120-1,"")</f>
        <v/>
      </c>
      <c r="K120" s="13" t="n">
        <v>2200</v>
      </c>
      <c r="L120" s="14">
        <f>IF(AND(ISNUMBER(F120),ISNUMBER(K120),F120&gt;0),K120/F120-1,"")</f>
        <v/>
      </c>
      <c r="M120" s="15" t="n">
        <v>43</v>
      </c>
      <c r="N120" s="16" t="n">
        <v>0.53</v>
      </c>
      <c r="O120" s="17">
        <f>IF(AND(ISNUMBER(F120),ISNUMBER(N120),F120&gt;0),N120/F120,"")</f>
        <v/>
      </c>
      <c r="P120" s="18" t="n">
        <v>46209</v>
      </c>
      <c r="Q120" s="18" t="n">
        <v>46288</v>
      </c>
      <c r="R120" s="16" t="n">
        <v>44.21</v>
      </c>
      <c r="S120" s="19">
        <f>IF(AND(ISNUMBER(F120),ISNUMBER(R120),R120&gt;0),F120/R120,"")</f>
        <v/>
      </c>
      <c r="T120" s="18" t="n">
        <v>46246</v>
      </c>
    </row>
  </sheetData>
  <autoFilter ref="A1:T120"/>
  <conditionalFormatting sqref="H2:H1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0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20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20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AAPL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ABBV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ABT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ACN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ADBE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AIG</t>
        </is>
      </c>
      <c r="B7" s="32" t="inlineStr">
        <is>
          <t>S&amp;P 100 / US</t>
        </is>
      </c>
    </row>
    <row r="8">
      <c r="A8" s="31" t="inlineStr">
        <is>
          <t>AMD</t>
        </is>
      </c>
      <c r="B8" s="32" t="inlineStr">
        <is>
          <t>S&amp;P 100 / US</t>
        </is>
      </c>
    </row>
    <row r="9">
      <c r="A9" s="31" t="inlineStr">
        <is>
          <t>AMGN</t>
        </is>
      </c>
      <c r="B9" s="32" t="inlineStr">
        <is>
          <t>S&amp;P 100 / US</t>
        </is>
      </c>
    </row>
    <row r="10">
      <c r="A10" s="31" t="inlineStr">
        <is>
          <t>AMT</t>
        </is>
      </c>
      <c r="B10" s="32" t="inlineStr">
        <is>
          <t>S&amp;P 100 / US</t>
        </is>
      </c>
    </row>
    <row r="11">
      <c r="A11" s="31" t="inlineStr">
        <is>
          <t>AMZN</t>
        </is>
      </c>
      <c r="B11" s="32" t="inlineStr">
        <is>
          <t>S&amp;P 100 / US</t>
        </is>
      </c>
    </row>
    <row r="12">
      <c r="A12" s="31" t="inlineStr">
        <is>
          <t>ASML</t>
        </is>
      </c>
      <c r="B12" s="32" t="inlineStr">
        <is>
          <t>International (ADR)</t>
        </is>
      </c>
    </row>
    <row r="13">
      <c r="A13" s="31" t="inlineStr">
        <is>
          <t>AVGO</t>
        </is>
      </c>
      <c r="B13" s="32" t="inlineStr">
        <is>
          <t>S&amp;P 100 / US</t>
        </is>
      </c>
    </row>
    <row r="14">
      <c r="A14" s="31" t="inlineStr">
        <is>
          <t>AXP</t>
        </is>
      </c>
      <c r="B14" s="32" t="inlineStr">
        <is>
          <t>S&amp;P 100 / US</t>
        </is>
      </c>
    </row>
    <row r="15">
      <c r="A15" s="31" t="inlineStr">
        <is>
          <t>AZN</t>
        </is>
      </c>
      <c r="B15" s="32" t="inlineStr">
        <is>
          <t>International (ADR)</t>
        </is>
      </c>
    </row>
    <row r="16">
      <c r="A16" s="31" t="inlineStr">
        <is>
          <t>BA</t>
        </is>
      </c>
      <c r="B16" s="32" t="inlineStr">
        <is>
          <t>S&amp;P 100 / US</t>
        </is>
      </c>
    </row>
    <row r="17">
      <c r="A17" s="31" t="inlineStr">
        <is>
          <t>BABA</t>
        </is>
      </c>
      <c r="B17" s="32" t="inlineStr">
        <is>
          <t>International (ADR)</t>
        </is>
      </c>
    </row>
    <row r="18">
      <c r="A18" s="31" t="inlineStr">
        <is>
          <t>BAC</t>
        </is>
      </c>
      <c r="B18" s="32" t="inlineStr">
        <is>
          <t>S&amp;P 100 / US</t>
        </is>
      </c>
    </row>
    <row r="19">
      <c r="A19" s="31" t="inlineStr">
        <is>
          <t>BHP</t>
        </is>
      </c>
      <c r="B19" s="32" t="inlineStr">
        <is>
          <t>International (ADR)</t>
        </is>
      </c>
    </row>
    <row r="20">
      <c r="A20" s="31" t="inlineStr">
        <is>
          <t>BKNG</t>
        </is>
      </c>
      <c r="B20" s="32" t="inlineStr">
        <is>
          <t>S&amp;P 100 / US</t>
        </is>
      </c>
    </row>
    <row r="21">
      <c r="A21" s="31" t="inlineStr">
        <is>
          <t>BLK</t>
        </is>
      </c>
      <c r="B21" s="32" t="inlineStr">
        <is>
          <t>S&amp;P 100 / US</t>
        </is>
      </c>
    </row>
    <row r="22">
      <c r="A22" s="31" t="inlineStr">
        <is>
          <t>BMY</t>
        </is>
      </c>
      <c r="B22" s="32" t="inlineStr">
        <is>
          <t>S&amp;P 100 / US</t>
        </is>
      </c>
    </row>
    <row r="23">
      <c r="A23" s="31" t="inlineStr">
        <is>
          <t>BRK.B</t>
        </is>
      </c>
      <c r="B23" s="32" t="inlineStr">
        <is>
          <t>S&amp;P 100 / US</t>
        </is>
      </c>
    </row>
    <row r="24">
      <c r="A24" s="31" t="inlineStr">
        <is>
          <t>C</t>
        </is>
      </c>
      <c r="B24" s="32" t="inlineStr">
        <is>
          <t>S&amp;P 100 / US</t>
        </is>
      </c>
    </row>
    <row r="25">
      <c r="A25" s="31" t="inlineStr">
        <is>
          <t>CAT</t>
        </is>
      </c>
      <c r="B25" s="32" t="inlineStr">
        <is>
          <t>S&amp;P 100 / US</t>
        </is>
      </c>
    </row>
    <row r="26">
      <c r="A26" s="31" t="inlineStr">
        <is>
          <t>CHTR</t>
        </is>
      </c>
      <c r="B26" s="32" t="inlineStr">
        <is>
          <t>S&amp;P 100 / US</t>
        </is>
      </c>
    </row>
    <row r="27">
      <c r="A27" s="31" t="inlineStr">
        <is>
          <t>CL</t>
        </is>
      </c>
      <c r="B27" s="32" t="inlineStr">
        <is>
          <t>S&amp;P 100 / US</t>
        </is>
      </c>
    </row>
    <row r="28">
      <c r="A28" s="31" t="inlineStr">
        <is>
          <t>CMCSA</t>
        </is>
      </c>
      <c r="B28" s="32" t="inlineStr">
        <is>
          <t>S&amp;P 100 / US</t>
        </is>
      </c>
    </row>
    <row r="29">
      <c r="A29" s="31" t="inlineStr">
        <is>
          <t>COF</t>
        </is>
      </c>
      <c r="B29" s="32" t="inlineStr">
        <is>
          <t>S&amp;P 100 / US</t>
        </is>
      </c>
    </row>
    <row r="30">
      <c r="A30" s="31" t="inlineStr">
        <is>
          <t>COP</t>
        </is>
      </c>
      <c r="B30" s="32" t="inlineStr">
        <is>
          <t>S&amp;P 100 / US</t>
        </is>
      </c>
    </row>
    <row r="31">
      <c r="A31" s="31" t="inlineStr">
        <is>
          <t>COST</t>
        </is>
      </c>
      <c r="B31" s="32" t="inlineStr">
        <is>
          <t>S&amp;P 100 / US</t>
        </is>
      </c>
    </row>
    <row r="32">
      <c r="A32" s="31" t="inlineStr">
        <is>
          <t>CRM</t>
        </is>
      </c>
      <c r="B32" s="32" t="inlineStr">
        <is>
          <t>S&amp;P 100 / US</t>
        </is>
      </c>
    </row>
    <row r="33">
      <c r="A33" s="31" t="inlineStr">
        <is>
          <t>CSCO</t>
        </is>
      </c>
      <c r="B33" s="32" t="inlineStr">
        <is>
          <t>S&amp;P 100 / US</t>
        </is>
      </c>
    </row>
    <row r="34">
      <c r="A34" s="31" t="inlineStr">
        <is>
          <t>CVS</t>
        </is>
      </c>
      <c r="B34" s="32" t="inlineStr">
        <is>
          <t>S&amp;P 100 / US</t>
        </is>
      </c>
    </row>
    <row r="35">
      <c r="A35" s="31" t="inlineStr">
        <is>
          <t>CVX</t>
        </is>
      </c>
      <c r="B35" s="32" t="inlineStr">
        <is>
          <t>S&amp;P 100 / US</t>
        </is>
      </c>
    </row>
    <row r="36">
      <c r="A36" s="31" t="inlineStr">
        <is>
          <t>DE</t>
        </is>
      </c>
      <c r="B36" s="32" t="inlineStr">
        <is>
          <t>S&amp;P 100 / US</t>
        </is>
      </c>
    </row>
    <row r="37">
      <c r="A37" s="31" t="inlineStr">
        <is>
          <t>DHR</t>
        </is>
      </c>
      <c r="B37" s="32" t="inlineStr">
        <is>
          <t>S&amp;P 100 / US</t>
        </is>
      </c>
    </row>
    <row r="38">
      <c r="A38" s="31" t="inlineStr">
        <is>
          <t>DIS</t>
        </is>
      </c>
      <c r="B38" s="32" t="inlineStr">
        <is>
          <t>S&amp;P 100 / US</t>
        </is>
      </c>
    </row>
    <row r="39">
      <c r="A39" s="31" t="inlineStr">
        <is>
          <t>DUK</t>
        </is>
      </c>
      <c r="B39" s="32" t="inlineStr">
        <is>
          <t>S&amp;P 100 / US</t>
        </is>
      </c>
    </row>
    <row r="40">
      <c r="A40" s="31" t="inlineStr">
        <is>
          <t>EMR</t>
        </is>
      </c>
      <c r="B40" s="32" t="inlineStr">
        <is>
          <t>S&amp;P 100 / US</t>
        </is>
      </c>
    </row>
    <row r="41">
      <c r="A41" s="31" t="inlineStr">
        <is>
          <t>FDX</t>
        </is>
      </c>
      <c r="B41" s="32" t="inlineStr">
        <is>
          <t>S&amp;P 100 / US</t>
        </is>
      </c>
    </row>
    <row r="42">
      <c r="A42" s="31" t="inlineStr">
        <is>
          <t>GD</t>
        </is>
      </c>
      <c r="B42" s="32" t="inlineStr">
        <is>
          <t>S&amp;P 100 / US</t>
        </is>
      </c>
    </row>
    <row r="43">
      <c r="A43" s="31" t="inlineStr">
        <is>
          <t>GE</t>
        </is>
      </c>
      <c r="B43" s="32" t="inlineStr">
        <is>
          <t>S&amp;P 100 / US</t>
        </is>
      </c>
    </row>
    <row r="44">
      <c r="A44" s="31" t="inlineStr">
        <is>
          <t>GILD</t>
        </is>
      </c>
      <c r="B44" s="32" t="inlineStr">
        <is>
          <t>S&amp;P 100 / US</t>
        </is>
      </c>
    </row>
    <row r="45">
      <c r="A45" s="31" t="inlineStr">
        <is>
          <t>GM</t>
        </is>
      </c>
      <c r="B45" s="32" t="inlineStr">
        <is>
          <t>S&amp;P 100 / US</t>
        </is>
      </c>
    </row>
    <row r="46">
      <c r="A46" s="31" t="inlineStr">
        <is>
          <t>GOOGL</t>
        </is>
      </c>
      <c r="B46" s="32" t="inlineStr">
        <is>
          <t>S&amp;P 100 / US</t>
        </is>
      </c>
    </row>
    <row r="47">
      <c r="A47" s="31" t="inlineStr">
        <is>
          <t>GS</t>
        </is>
      </c>
      <c r="B47" s="32" t="inlineStr">
        <is>
          <t>S&amp;P 100 / US</t>
        </is>
      </c>
    </row>
    <row r="48">
      <c r="A48" s="31" t="inlineStr">
        <is>
          <t>HD</t>
        </is>
      </c>
      <c r="B48" s="32" t="inlineStr">
        <is>
          <t>S&amp;P 100 / US</t>
        </is>
      </c>
    </row>
    <row r="49">
      <c r="A49" s="31" t="inlineStr">
        <is>
          <t>HON</t>
        </is>
      </c>
      <c r="B49" s="32" t="inlineStr">
        <is>
          <t>S&amp;P 100 / US</t>
        </is>
      </c>
    </row>
    <row r="50">
      <c r="A50" s="31" t="inlineStr">
        <is>
          <t>HSBC</t>
        </is>
      </c>
      <c r="B50" s="32" t="inlineStr">
        <is>
          <t>International (ADR)</t>
        </is>
      </c>
    </row>
    <row r="51">
      <c r="A51" s="31" t="inlineStr">
        <is>
          <t>IBM</t>
        </is>
      </c>
      <c r="B51" s="32" t="inlineStr">
        <is>
          <t>S&amp;P 100 / US</t>
        </is>
      </c>
    </row>
    <row r="52">
      <c r="A52" s="31" t="inlineStr">
        <is>
          <t>INTC</t>
        </is>
      </c>
      <c r="B52" s="32" t="inlineStr">
        <is>
          <t>S&amp;P 100 / US</t>
        </is>
      </c>
    </row>
    <row r="53">
      <c r="A53" s="31" t="inlineStr">
        <is>
          <t>INTU</t>
        </is>
      </c>
      <c r="B53" s="32" t="inlineStr">
        <is>
          <t>S&amp;P 100 / US</t>
        </is>
      </c>
    </row>
    <row r="54">
      <c r="A54" s="31" t="inlineStr">
        <is>
          <t>ISRG</t>
        </is>
      </c>
      <c r="B54" s="32" t="inlineStr">
        <is>
          <t>S&amp;P 100 / US</t>
        </is>
      </c>
    </row>
    <row r="55">
      <c r="A55" s="31" t="inlineStr">
        <is>
          <t>JNJ</t>
        </is>
      </c>
      <c r="B55" s="32" t="inlineStr">
        <is>
          <t>S&amp;P 100 / US</t>
        </is>
      </c>
    </row>
    <row r="56">
      <c r="A56" s="31" t="inlineStr">
        <is>
          <t>JPM</t>
        </is>
      </c>
      <c r="B56" s="32" t="inlineStr">
        <is>
          <t>S&amp;P 100 / US</t>
        </is>
      </c>
    </row>
    <row r="57">
      <c r="A57" s="31" t="inlineStr">
        <is>
          <t>KO</t>
        </is>
      </c>
      <c r="B57" s="32" t="inlineStr">
        <is>
          <t>S&amp;P 100 / US</t>
        </is>
      </c>
    </row>
    <row r="58">
      <c r="A58" s="31" t="inlineStr">
        <is>
          <t>LIN</t>
        </is>
      </c>
      <c r="B58" s="32" t="inlineStr">
        <is>
          <t>S&amp;P 100 / US</t>
        </is>
      </c>
    </row>
    <row r="59">
      <c r="A59" s="31" t="inlineStr">
        <is>
          <t>LLY</t>
        </is>
      </c>
      <c r="B59" s="32" t="inlineStr">
        <is>
          <t>S&amp;P 100 / US</t>
        </is>
      </c>
    </row>
    <row r="60">
      <c r="A60" s="31" t="inlineStr">
        <is>
          <t>LMT</t>
        </is>
      </c>
      <c r="B60" s="32" t="inlineStr">
        <is>
          <t>S&amp;P 100 / US</t>
        </is>
      </c>
    </row>
    <row r="61">
      <c r="A61" s="31" t="inlineStr">
        <is>
          <t>LOW</t>
        </is>
      </c>
      <c r="B61" s="32" t="inlineStr">
        <is>
          <t>S&amp;P 100 / US</t>
        </is>
      </c>
    </row>
    <row r="62">
      <c r="A62" s="31" t="inlineStr">
        <is>
          <t>LVMUY</t>
        </is>
      </c>
      <c r="B62" s="32" t="inlineStr">
        <is>
          <t>International (ADR)</t>
        </is>
      </c>
    </row>
    <row r="63">
      <c r="A63" s="31" t="inlineStr">
        <is>
          <t>MA</t>
        </is>
      </c>
      <c r="B63" s="32" t="inlineStr">
        <is>
          <t>S&amp;P 100 / US</t>
        </is>
      </c>
    </row>
    <row r="64">
      <c r="A64" s="31" t="inlineStr">
        <is>
          <t>MCD</t>
        </is>
      </c>
      <c r="B64" s="32" t="inlineStr">
        <is>
          <t>S&amp;P 100 / US</t>
        </is>
      </c>
    </row>
    <row r="65">
      <c r="A65" s="31" t="inlineStr">
        <is>
          <t>MDLZ</t>
        </is>
      </c>
      <c r="B65" s="32" t="inlineStr">
        <is>
          <t>S&amp;P 100 / US</t>
        </is>
      </c>
    </row>
    <row r="66">
      <c r="A66" s="31" t="inlineStr">
        <is>
          <t>MDT</t>
        </is>
      </c>
      <c r="B66" s="32" t="inlineStr">
        <is>
          <t>S&amp;P 100 / US</t>
        </is>
      </c>
    </row>
    <row r="67">
      <c r="A67" s="31" t="inlineStr">
        <is>
          <t>MET</t>
        </is>
      </c>
      <c r="B67" s="32" t="inlineStr">
        <is>
          <t>S&amp;P 100 / US</t>
        </is>
      </c>
    </row>
    <row r="68">
      <c r="A68" s="31" t="inlineStr">
        <is>
          <t>META</t>
        </is>
      </c>
      <c r="B68" s="32" t="inlineStr">
        <is>
          <t>S&amp;P 100 / US</t>
        </is>
      </c>
    </row>
    <row r="69">
      <c r="A69" s="31" t="inlineStr">
        <is>
          <t>MMM</t>
        </is>
      </c>
      <c r="B69" s="32" t="inlineStr">
        <is>
          <t>S&amp;P 100 / US</t>
        </is>
      </c>
    </row>
    <row r="70">
      <c r="A70" s="31" t="inlineStr">
        <is>
          <t>MO</t>
        </is>
      </c>
      <c r="B70" s="32" t="inlineStr">
        <is>
          <t>S&amp;P 100 / US</t>
        </is>
      </c>
    </row>
    <row r="71">
      <c r="A71" s="31" t="inlineStr">
        <is>
          <t>MRK</t>
        </is>
      </c>
      <c r="B71" s="32" t="inlineStr">
        <is>
          <t>S&amp;P 100 / US</t>
        </is>
      </c>
    </row>
    <row r="72">
      <c r="A72" s="31" t="inlineStr">
        <is>
          <t>MS</t>
        </is>
      </c>
      <c r="B72" s="32" t="inlineStr">
        <is>
          <t>S&amp;P 100 / US</t>
        </is>
      </c>
    </row>
    <row r="73">
      <c r="A73" s="31" t="inlineStr">
        <is>
          <t>MSFT</t>
        </is>
      </c>
      <c r="B73" s="32" t="inlineStr">
        <is>
          <t>S&amp;P 100 / US</t>
        </is>
      </c>
    </row>
    <row r="74">
      <c r="A74" s="31" t="inlineStr">
        <is>
          <t>MU</t>
        </is>
      </c>
      <c r="B74" s="32" t="inlineStr">
        <is>
          <t>S&amp;P 100 / US</t>
        </is>
      </c>
    </row>
    <row r="75">
      <c r="A75" s="31" t="inlineStr">
        <is>
          <t>NEE</t>
        </is>
      </c>
      <c r="B75" s="32" t="inlineStr">
        <is>
          <t>S&amp;P 100 / US</t>
        </is>
      </c>
    </row>
    <row r="76">
      <c r="A76" s="31" t="inlineStr">
        <is>
          <t>NFLX</t>
        </is>
      </c>
      <c r="B76" s="32" t="inlineStr">
        <is>
          <t>S&amp;P 100 / US</t>
        </is>
      </c>
    </row>
    <row r="77">
      <c r="A77" s="31" t="inlineStr">
        <is>
          <t>NKE</t>
        </is>
      </c>
      <c r="B77" s="32" t="inlineStr">
        <is>
          <t>S&amp;P 100 / US</t>
        </is>
      </c>
    </row>
    <row r="78">
      <c r="A78" s="31" t="inlineStr">
        <is>
          <t>NOW</t>
        </is>
      </c>
      <c r="B78" s="32" t="inlineStr">
        <is>
          <t>S&amp;P 100 / US</t>
        </is>
      </c>
    </row>
    <row r="79">
      <c r="A79" s="31" t="inlineStr">
        <is>
          <t>NSRGY</t>
        </is>
      </c>
      <c r="B79" s="32" t="inlineStr">
        <is>
          <t>International (ADR)</t>
        </is>
      </c>
    </row>
    <row r="80">
      <c r="A80" s="31" t="inlineStr">
        <is>
          <t>NVDA</t>
        </is>
      </c>
      <c r="B80" s="32" t="inlineStr">
        <is>
          <t>S&amp;P 100 / US</t>
        </is>
      </c>
    </row>
    <row r="81">
      <c r="A81" s="31" t="inlineStr">
        <is>
          <t>NVO</t>
        </is>
      </c>
      <c r="B81" s="32" t="inlineStr">
        <is>
          <t>International (ADR)</t>
        </is>
      </c>
    </row>
    <row r="82">
      <c r="A82" s="31" t="inlineStr">
        <is>
          <t>NVS</t>
        </is>
      </c>
      <c r="B82" s="32" t="inlineStr">
        <is>
          <t>International (ADR)</t>
        </is>
      </c>
    </row>
    <row r="83">
      <c r="A83" s="31" t="inlineStr">
        <is>
          <t>ORCL</t>
        </is>
      </c>
      <c r="B83" s="32" t="inlineStr">
        <is>
          <t>S&amp;P 100 / US</t>
        </is>
      </c>
    </row>
    <row r="84">
      <c r="A84" s="31" t="inlineStr">
        <is>
          <t>PEP</t>
        </is>
      </c>
      <c r="B84" s="32" t="inlineStr">
        <is>
          <t>S&amp;P 100 / US</t>
        </is>
      </c>
    </row>
    <row r="85">
      <c r="A85" s="31" t="inlineStr">
        <is>
          <t>PFE</t>
        </is>
      </c>
      <c r="B85" s="32" t="inlineStr">
        <is>
          <t>S&amp;P 100 / US</t>
        </is>
      </c>
    </row>
    <row r="86">
      <c r="A86" s="31" t="inlineStr">
        <is>
          <t>PG</t>
        </is>
      </c>
      <c r="B86" s="32" t="inlineStr">
        <is>
          <t>S&amp;P 100 / US</t>
        </is>
      </c>
    </row>
    <row r="87">
      <c r="A87" s="31" t="inlineStr">
        <is>
          <t>PLTR</t>
        </is>
      </c>
      <c r="B87" s="32" t="inlineStr">
        <is>
          <t>S&amp;P 100 / US</t>
        </is>
      </c>
    </row>
    <row r="88">
      <c r="A88" s="31" t="inlineStr">
        <is>
          <t>PM</t>
        </is>
      </c>
      <c r="B88" s="32" t="inlineStr">
        <is>
          <t>S&amp;P 100 / US</t>
        </is>
      </c>
    </row>
    <row r="89">
      <c r="A89" s="31" t="inlineStr">
        <is>
          <t>PYPL</t>
        </is>
      </c>
      <c r="B89" s="32" t="inlineStr">
        <is>
          <t>S&amp;P 100 / US</t>
        </is>
      </c>
    </row>
    <row r="90">
      <c r="A90" s="31" t="inlineStr">
        <is>
          <t>QCOM</t>
        </is>
      </c>
      <c r="B90" s="32" t="inlineStr">
        <is>
          <t>S&amp;P 100 / US</t>
        </is>
      </c>
    </row>
    <row r="91">
      <c r="A91" s="31" t="inlineStr">
        <is>
          <t>RHHBY</t>
        </is>
      </c>
      <c r="B91" s="32" t="inlineStr">
        <is>
          <t>International (ADR)</t>
        </is>
      </c>
    </row>
    <row r="92">
      <c r="A92" s="31" t="inlineStr">
        <is>
          <t>RTX</t>
        </is>
      </c>
      <c r="B92" s="32" t="inlineStr">
        <is>
          <t>S&amp;P 100 / US</t>
        </is>
      </c>
    </row>
    <row r="93">
      <c r="A93" s="31" t="inlineStr">
        <is>
          <t>SAP</t>
        </is>
      </c>
      <c r="B93" s="32" t="inlineStr">
        <is>
          <t>International (ADR)</t>
        </is>
      </c>
    </row>
    <row r="94">
      <c r="A94" s="31" t="inlineStr">
        <is>
          <t>SBUX</t>
        </is>
      </c>
      <c r="B94" s="32" t="inlineStr">
        <is>
          <t>S&amp;P 100 / US</t>
        </is>
      </c>
    </row>
    <row r="95">
      <c r="A95" s="31" t="inlineStr">
        <is>
          <t>SCHW</t>
        </is>
      </c>
      <c r="B95" s="32" t="inlineStr">
        <is>
          <t>S&amp;P 100 / US</t>
        </is>
      </c>
    </row>
    <row r="96">
      <c r="A96" s="31" t="inlineStr">
        <is>
          <t>SHEL</t>
        </is>
      </c>
      <c r="B96" s="32" t="inlineStr">
        <is>
          <t>International (ADR)</t>
        </is>
      </c>
    </row>
    <row r="97">
      <c r="A97" s="31" t="inlineStr">
        <is>
          <t>SO</t>
        </is>
      </c>
      <c r="B97" s="32" t="inlineStr">
        <is>
          <t>S&amp;P 100 / US</t>
        </is>
      </c>
    </row>
    <row r="98">
      <c r="A98" s="31" t="inlineStr">
        <is>
          <t>SONY</t>
        </is>
      </c>
      <c r="B98" s="32" t="inlineStr">
        <is>
          <t>International (ADR)</t>
        </is>
      </c>
    </row>
    <row r="99">
      <c r="A99" s="31" t="inlineStr">
        <is>
          <t>SPG</t>
        </is>
      </c>
      <c r="B99" s="32" t="inlineStr">
        <is>
          <t>S&amp;P 100 / US</t>
        </is>
      </c>
    </row>
    <row r="100">
      <c r="A100" s="31" t="inlineStr">
        <is>
          <t>T</t>
        </is>
      </c>
      <c r="B100" s="32" t="inlineStr">
        <is>
          <t>S&amp;P 100 / US</t>
        </is>
      </c>
    </row>
    <row r="101">
      <c r="A101" s="31" t="inlineStr">
        <is>
          <t>TCEHY</t>
        </is>
      </c>
      <c r="B101" s="32" t="inlineStr">
        <is>
          <t>International (ADR)</t>
        </is>
      </c>
    </row>
    <row r="102">
      <c r="A102" s="31" t="inlineStr">
        <is>
          <t>TGT</t>
        </is>
      </c>
      <c r="B102" s="32" t="inlineStr">
        <is>
          <t>S&amp;P 100 / US</t>
        </is>
      </c>
    </row>
    <row r="103">
      <c r="A103" s="31" t="inlineStr">
        <is>
          <t>TM</t>
        </is>
      </c>
      <c r="B103" s="32" t="inlineStr">
        <is>
          <t>International (ADR)</t>
        </is>
      </c>
    </row>
    <row r="104">
      <c r="A104" s="31" t="inlineStr">
        <is>
          <t>TMO</t>
        </is>
      </c>
      <c r="B104" s="32" t="inlineStr">
        <is>
          <t>S&amp;P 100 / US</t>
        </is>
      </c>
    </row>
    <row r="105">
      <c r="A105" s="31" t="inlineStr">
        <is>
          <t>TMUS</t>
        </is>
      </c>
      <c r="B105" s="32" t="inlineStr">
        <is>
          <t>S&amp;P 100 / US</t>
        </is>
      </c>
    </row>
    <row r="106">
      <c r="A106" s="31" t="inlineStr">
        <is>
          <t>TSLA</t>
        </is>
      </c>
      <c r="B106" s="32" t="inlineStr">
        <is>
          <t>S&amp;P 100 / US</t>
        </is>
      </c>
    </row>
    <row r="107">
      <c r="A107" s="31" t="inlineStr">
        <is>
          <t>TSM</t>
        </is>
      </c>
      <c r="B107" s="32" t="inlineStr">
        <is>
          <t>International (ADR)</t>
        </is>
      </c>
    </row>
    <row r="108">
      <c r="A108" s="31" t="inlineStr">
        <is>
          <t>TTE</t>
        </is>
      </c>
      <c r="B108" s="32" t="inlineStr">
        <is>
          <t>International (ADR)</t>
        </is>
      </c>
    </row>
    <row r="109">
      <c r="A109" s="31" t="inlineStr">
        <is>
          <t>TXN</t>
        </is>
      </c>
      <c r="B109" s="32" t="inlineStr">
        <is>
          <t>S&amp;P 100 / US</t>
        </is>
      </c>
    </row>
    <row r="110">
      <c r="A110" s="31" t="inlineStr">
        <is>
          <t>UBER</t>
        </is>
      </c>
      <c r="B110" s="32" t="inlineStr">
        <is>
          <t>S&amp;P 100 / US</t>
        </is>
      </c>
    </row>
    <row r="111">
      <c r="A111" s="31" t="inlineStr">
        <is>
          <t>UL</t>
        </is>
      </c>
      <c r="B111" s="32" t="inlineStr">
        <is>
          <t>International (ADR)</t>
        </is>
      </c>
    </row>
    <row r="112">
      <c r="A112" s="31" t="inlineStr">
        <is>
          <t>UNH</t>
        </is>
      </c>
      <c r="B112" s="32" t="inlineStr">
        <is>
          <t>S&amp;P 100 / US</t>
        </is>
      </c>
    </row>
    <row r="113">
      <c r="A113" s="31" t="inlineStr">
        <is>
          <t>UNP</t>
        </is>
      </c>
      <c r="B113" s="32" t="inlineStr">
        <is>
          <t>S&amp;P 100 / US</t>
        </is>
      </c>
    </row>
    <row r="114">
      <c r="A114" s="31" t="inlineStr">
        <is>
          <t>UPS</t>
        </is>
      </c>
      <c r="B114" s="32" t="inlineStr">
        <is>
          <t>S&amp;P 100 / US</t>
        </is>
      </c>
    </row>
    <row r="115">
      <c r="A115" s="31" t="inlineStr">
        <is>
          <t>USB</t>
        </is>
      </c>
      <c r="B115" s="32" t="inlineStr">
        <is>
          <t>S&amp;P 100 / US</t>
        </is>
      </c>
    </row>
    <row r="116">
      <c r="A116" s="31" t="inlineStr">
        <is>
          <t>V</t>
        </is>
      </c>
      <c r="B116" s="32" t="inlineStr">
        <is>
          <t>S&amp;P 100 / US</t>
        </is>
      </c>
    </row>
    <row r="117">
      <c r="A117" s="31" t="inlineStr">
        <is>
          <t>VZ</t>
        </is>
      </c>
      <c r="B117" s="32" t="inlineStr">
        <is>
          <t>S&amp;P 100 / US</t>
        </is>
      </c>
    </row>
    <row r="118">
      <c r="A118" s="31" t="inlineStr">
        <is>
          <t>WFC</t>
        </is>
      </c>
      <c r="B118" s="32" t="inlineStr">
        <is>
          <t>S&amp;P 100 / US</t>
        </is>
      </c>
    </row>
    <row r="119">
      <c r="A119" s="31" t="inlineStr">
        <is>
          <t>WMT</t>
        </is>
      </c>
      <c r="B119" s="32" t="inlineStr">
        <is>
          <t>S&amp;P 100 / US</t>
        </is>
      </c>
    </row>
    <row r="120">
      <c r="A120" s="31" t="inlineStr">
        <is>
          <t>XOM</t>
        </is>
      </c>
      <c r="B120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2026-08-12T17:41:59Z</dcterms:created>
  <dcterms:modified xsi:type="dcterms:W3CDTF">2026-08-12T17:41:59Z</dcterms:modified>
</cp:coreProperties>
</file>