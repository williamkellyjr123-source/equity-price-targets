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ice Targets" sheetId="2" state="visible" r:id="rId2"/>
    <sheet xmlns:r="http://schemas.openxmlformats.org/officeDocument/2006/relationships" name="Tickers" sheetId="3" state="visible" r:id="rId3"/>
  </sheets>
  <definedNames>
    <definedName name="_xlnm._FilterDatabase" localSheetId="1" hidden="1">'Price Targets'!$A$1:$T$1121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$#,##0.0"/>
    <numFmt numFmtId="166" formatCode="$#,##0.00"/>
    <numFmt numFmtId="167" formatCode="0.0%"/>
    <numFmt numFmtId="168" formatCode="$0.00"/>
    <numFmt numFmtId="169" formatCode="mmm d, yyyy"/>
    <numFmt numFmtId="170" formatCode="0.0&quot;x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6"/>
    </font>
    <font>
      <name val="Arial"/>
      <i val="1"/>
      <color rgb="00666666"/>
      <sz val="10"/>
    </font>
    <font>
      <name val="Arial"/>
      <sz val="11"/>
    </font>
    <font>
      <name val="Arial"/>
      <b val="1"/>
      <sz val="11"/>
    </font>
    <font>
      <name val="Arial"/>
      <color rgb="00999999"/>
      <sz val="9"/>
    </font>
    <font>
      <name val="Arial"/>
      <b val="1"/>
      <sz val="10"/>
    </font>
    <font>
      <name val="Arial"/>
      <color rgb="00444444"/>
      <sz val="9"/>
    </font>
    <font>
      <name val="Arial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" fontId="6" fillId="0" borderId="0" pivotButton="0" quotePrefix="0" xfId="0"/>
    <xf numFmtId="167" fontId="6" fillId="0" borderId="0" pivotButton="0" quotePrefix="0" xfId="0"/>
    <xf numFmtId="10" fontId="6" fillId="0" borderId="0" pivotButton="0" quotePrefix="0" xfId="0"/>
    <xf numFmtId="0" fontId="6" fillId="0" borderId="0" pivotButton="0" quotePrefix="0" xfId="0"/>
    <xf numFmtId="166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1" fontId="2" fillId="0" borderId="1" pivotButton="0" quotePrefix="0" xfId="0"/>
    <xf numFmtId="168" fontId="2" fillId="0" borderId="1" pivotButton="0" quotePrefix="0" xfId="0"/>
    <xf numFmtId="10" fontId="2" fillId="0" borderId="1" pivotButton="0" quotePrefix="0" xfId="0"/>
    <xf numFmtId="169" fontId="2" fillId="0" borderId="1" pivotButton="0" quotePrefix="0" xfId="0"/>
    <xf numFmtId="170" fontId="2" fillId="0" borderId="1" pivotButton="0" quotePrefix="0" xfId="0"/>
    <xf numFmtId="0" fontId="2" fillId="3" borderId="1" pivotButton="0" quotePrefix="0" xfId="0"/>
    <xf numFmtId="165" fontId="2" fillId="3" borderId="1" pivotButton="0" quotePrefix="0" xfId="0"/>
    <xf numFmtId="166" fontId="2" fillId="3" borderId="1" pivotButton="0" quotePrefix="0" xfId="0"/>
    <xf numFmtId="167" fontId="2" fillId="3" borderId="1" pivotButton="0" quotePrefix="0" xfId="0"/>
    <xf numFmtId="1" fontId="2" fillId="3" borderId="1" pivotButton="0" quotePrefix="0" xfId="0"/>
    <xf numFmtId="168" fontId="2" fillId="3" borderId="1" pivotButton="0" quotePrefix="0" xfId="0"/>
    <xf numFmtId="10" fontId="2" fillId="3" borderId="1" pivotButton="0" quotePrefix="0" xfId="0"/>
    <xf numFmtId="169" fontId="2" fillId="3" borderId="1" pivotButton="0" quotePrefix="0" xfId="0"/>
    <xf numFmtId="170" fontId="2" fillId="3" borderId="1" pivotButton="0" quotePrefix="0" xfId="0"/>
    <xf numFmtId="0" fontId="1" fillId="2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5">
    <dxf>
      <font>
        <name val="Arial"/>
        <b val="1"/>
        <color rgb="00006100"/>
        <sz val="10"/>
      </font>
    </dxf>
    <dxf>
      <font>
        <name val="Arial"/>
        <b val="1"/>
        <color rgb="009C0006"/>
        <sz val="10"/>
      </font>
    </dxf>
    <dxf>
      <font>
        <name val="Arial"/>
        <color rgb="00006100"/>
        <sz val="10"/>
      </font>
    </dxf>
    <dxf>
      <font>
        <name val="Arial"/>
        <color rgb="009C0006"/>
        <sz val="10"/>
      </font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0" customWidth="1" min="3" max="3"/>
    <col width="16" customWidth="1" min="4" max="4"/>
  </cols>
  <sheetData>
    <row r="1">
      <c r="A1" s="1" t="inlineStr">
        <is>
          <t>Equity Price Targets — Dashboard</t>
        </is>
      </c>
    </row>
    <row r="2">
      <c r="A2" s="2" t="inlineStr">
        <is>
          <t>Analyst consensus tracker · data via Yahoo Finance · auto-refreshed each trading day</t>
        </is>
      </c>
    </row>
    <row r="4">
      <c r="A4" s="3" t="inlineStr">
        <is>
          <t>Tickers tracked</t>
        </is>
      </c>
      <c r="B4" s="4">
        <f>COUNTA('Price Targets'!A2:A1121)</f>
        <v/>
      </c>
    </row>
    <row r="5">
      <c r="A5" s="3" t="inlineStr">
        <is>
          <t>Tickers with live data</t>
        </is>
      </c>
      <c r="B5" s="4">
        <f>COUNT('Price Targets'!F2:F1121)</f>
        <v/>
      </c>
    </row>
    <row r="6">
      <c r="A6" s="3" t="inlineStr">
        <is>
          <t>Median upside to avg target</t>
        </is>
      </c>
      <c r="B6" s="5">
        <f>MEDIAN('Price Targets'!H2:H1121)</f>
        <v/>
      </c>
    </row>
    <row r="7">
      <c r="A7" s="3" t="inlineStr">
        <is>
          <t>Average dividend yield (payers)</t>
        </is>
      </c>
      <c r="B7" s="6">
        <f>AVERAGEIF('Price Targets'!O2:O1121,"&gt;0")</f>
        <v/>
      </c>
    </row>
    <row r="8">
      <c r="A8" s="3" t="inlineStr">
        <is>
          <t>Companies reporting in next 7 days</t>
        </is>
      </c>
      <c r="B8" s="4">
        <f>COUNTIFS('Price Targets'!Q2:Q1121,"&gt;="&amp;TODAY(),'Price Targets'!Q2:Q1121,"&lt;="&amp;TODAY()+7)</f>
        <v/>
      </c>
    </row>
    <row r="9">
      <c r="A9" s="3" t="inlineStr">
        <is>
          <t>Largest upside to avg target</t>
        </is>
      </c>
      <c r="B9" s="5">
        <f>MAX('Price Targets'!H2:H1121)</f>
        <v/>
      </c>
    </row>
    <row r="10">
      <c r="A10" s="3" t="inlineStr">
        <is>
          <t>→ ticker</t>
        </is>
      </c>
      <c r="B10" s="7">
        <f>INDEX('Price Targets'!A2:A1121,MATCH(MAX('Price Targets'!H2:H1121),'Price Targets'!H2:H1121,0))</f>
        <v/>
      </c>
    </row>
    <row r="11">
      <c r="A11" s="3" t="inlineStr">
        <is>
          <t>Smallest upside / largest downside</t>
        </is>
      </c>
      <c r="B11" s="5">
        <f>MIN('Price Targets'!H2:H1121)</f>
        <v/>
      </c>
    </row>
    <row r="12">
      <c r="A12" s="3" t="inlineStr">
        <is>
          <t>→ ticker</t>
        </is>
      </c>
      <c r="B12" s="7">
        <f>INDEX('Price Targets'!A2:A1121,MATCH(MIN('Price Targets'!H2:H1121),'Price Targets'!H2:H1121,0))</f>
        <v/>
      </c>
    </row>
    <row r="13">
      <c r="A13" s="3" t="inlineStr">
        <is>
          <t>Combined market cap ($T)</t>
        </is>
      </c>
      <c r="B13" s="8">
        <f>SUM('Price Targets'!E2:E1121)/1000</f>
        <v/>
      </c>
    </row>
    <row r="15">
      <c r="A15" s="9" t="inlineStr">
        <is>
          <t>Data as of: 2026-10-28 01:32</t>
        </is>
      </c>
    </row>
    <row r="16">
      <c r="A16" s="9" t="inlineStr">
        <is>
          <t>Legend: green = trading below analyst targets (upside), red = above (downside). Yellow earnings dates are within 7 days.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6" customWidth="1" min="3" max="3"/>
    <col width="14" customWidth="1" min="4" max="4"/>
    <col width="15" customWidth="1" min="5" max="5"/>
    <col width="11" customWidth="1" min="6" max="6"/>
    <col width="13" customWidth="1" min="7" max="7"/>
    <col width="15" customWidth="1" min="8" max="8"/>
    <col width="13" customWidth="1" min="9" max="9"/>
    <col width="15" customWidth="1" min="10" max="10"/>
    <col width="13" customWidth="1" min="11" max="11"/>
    <col width="15" customWidth="1" min="12" max="12"/>
    <col width="10" customWidth="1" min="13" max="13"/>
    <col width="17" customWidth="1" min="14" max="14"/>
    <col width="12" customWidth="1" min="15" max="15"/>
    <col width="13" customWidth="1" min="16" max="16"/>
    <col width="14" customWidth="1" min="17" max="17"/>
    <col width="11" customWidth="1" min="18" max="18"/>
    <col width="11" customWidth="1" min="19" max="19"/>
    <col width="12" customWidth="1" min="20" max="20"/>
  </cols>
  <sheetData>
    <row r="1" ht="30" customHeight="1">
      <c r="A1" s="10" t="inlineStr">
        <is>
          <t>Ticker</t>
        </is>
      </c>
      <c r="B1" s="10" t="inlineStr">
        <is>
          <t>Company</t>
        </is>
      </c>
      <c r="C1" s="10" t="inlineStr">
        <is>
          <t>Industry</t>
        </is>
      </c>
      <c r="D1" s="10" t="inlineStr">
        <is>
          <t>Country</t>
        </is>
      </c>
      <c r="E1" s="10" t="inlineStr">
        <is>
          <t>Market Cap ($B)</t>
        </is>
      </c>
      <c r="F1" s="10" t="inlineStr">
        <is>
          <t>Price ($)</t>
        </is>
      </c>
      <c r="G1" s="10" t="inlineStr">
        <is>
          <t>Avg Target ($)</t>
        </is>
      </c>
      <c r="H1" s="10" t="inlineStr">
        <is>
          <t>Upside to Avg (%)</t>
        </is>
      </c>
      <c r="I1" s="10" t="inlineStr">
        <is>
          <t>Min Target ($)</t>
        </is>
      </c>
      <c r="J1" s="10" t="inlineStr">
        <is>
          <t>Upside to Min (%)</t>
        </is>
      </c>
      <c r="K1" s="10" t="inlineStr">
        <is>
          <t>Max Target ($)</t>
        </is>
      </c>
      <c r="L1" s="10" t="inlineStr">
        <is>
          <t>Upside to Max (%)</t>
        </is>
      </c>
      <c r="M1" s="10" t="inlineStr">
        <is>
          <t># Analysts</t>
        </is>
      </c>
      <c r="N1" s="10" t="inlineStr">
        <is>
          <t>Annual Div/Share ($)</t>
        </is>
      </c>
      <c r="O1" s="10" t="inlineStr">
        <is>
          <t>Div Yield (%)</t>
        </is>
      </c>
      <c r="P1" s="10" t="inlineStr">
        <is>
          <t>Ex-Div Date</t>
        </is>
      </c>
      <c r="Q1" s="10" t="inlineStr">
        <is>
          <t>Earnings Date</t>
        </is>
      </c>
      <c r="R1" s="10" t="inlineStr">
        <is>
          <t>TTM EPS ($)</t>
        </is>
      </c>
      <c r="S1" s="10" t="inlineStr">
        <is>
          <t>TTM P/E (x)</t>
        </is>
      </c>
      <c r="T1" s="10" t="inlineStr">
        <is>
          <t>Data As Of</t>
        </is>
      </c>
    </row>
    <row r="2">
      <c r="A2" s="11" t="inlineStr">
        <is>
          <t>NVDA</t>
        </is>
      </c>
      <c r="B2" s="11" t="inlineStr">
        <is>
          <t>NVIDIA Corporation</t>
        </is>
      </c>
      <c r="C2" s="11" t="inlineStr">
        <is>
          <t>Semiconductors</t>
        </is>
      </c>
      <c r="D2" s="11" t="inlineStr">
        <is>
          <t>United States</t>
        </is>
      </c>
      <c r="E2" s="12" t="n">
        <v>5262.6</v>
      </c>
      <c r="F2" s="13" t="n">
        <v>217.94</v>
      </c>
      <c r="G2" s="13" t="n">
        <v>328.95346</v>
      </c>
      <c r="H2" s="14">
        <f>IF(AND(ISNUMBER(F2),ISNUMBER(G2),F2&gt;0),G2/F2-1,"")</f>
        <v/>
      </c>
      <c r="I2" s="13" t="n">
        <v>180</v>
      </c>
      <c r="J2" s="14">
        <f>IF(AND(ISNUMBER(F2),ISNUMBER(I2),F2&gt;0),I2/F2-1,"")</f>
        <v/>
      </c>
      <c r="K2" s="13" t="n">
        <v>515</v>
      </c>
      <c r="L2" s="14">
        <f>IF(AND(ISNUMBER(F2),ISNUMBER(K2),F2&gt;0),K2/F2-1,"")</f>
        <v/>
      </c>
      <c r="M2" s="15" t="n">
        <v>58</v>
      </c>
      <c r="N2" s="16" t="n">
        <v>1</v>
      </c>
      <c r="O2" s="17">
        <f>IF(AND(ISNUMBER(F2),ISNUMBER(N2),F2&gt;0),N2/F2,"")</f>
        <v/>
      </c>
      <c r="P2" s="18" t="n">
        <v>46275</v>
      </c>
      <c r="Q2" s="18" t="n">
        <v>46343</v>
      </c>
      <c r="R2" s="16" t="n">
        <v>7.91</v>
      </c>
      <c r="S2" s="19">
        <f>IF(AND(ISNUMBER(F2),ISNUMBER(R2),R2&gt;0),F2/R2,"")</f>
        <v/>
      </c>
      <c r="T2" s="18" t="n">
        <v>46323</v>
      </c>
    </row>
    <row r="3">
      <c r="A3" s="20" t="inlineStr">
        <is>
          <t>AAPL</t>
        </is>
      </c>
      <c r="B3" s="20" t="inlineStr">
        <is>
          <t>Apple Inc.</t>
        </is>
      </c>
      <c r="C3" s="20" t="inlineStr">
        <is>
          <t>Consumer Electronics</t>
        </is>
      </c>
      <c r="D3" s="20" t="inlineStr">
        <is>
          <t>United States</t>
        </is>
      </c>
      <c r="E3" s="21" t="n">
        <v>5065.64</v>
      </c>
      <c r="F3" s="22" t="n">
        <v>347.1</v>
      </c>
      <c r="G3" s="22" t="n">
        <v>330.0169</v>
      </c>
      <c r="H3" s="23">
        <f>IF(AND(ISNUMBER(F3),ISNUMBER(G3),F3&gt;0),G3/F3-1,"")</f>
        <v/>
      </c>
      <c r="I3" s="22" t="n">
        <v>240</v>
      </c>
      <c r="J3" s="23">
        <f>IF(AND(ISNUMBER(F3),ISNUMBER(I3),F3&gt;0),I3/F3-1,"")</f>
        <v/>
      </c>
      <c r="K3" s="22" t="n">
        <v>405</v>
      </c>
      <c r="L3" s="23">
        <f>IF(AND(ISNUMBER(F3),ISNUMBER(K3),F3&gt;0),K3/F3-1,"")</f>
        <v/>
      </c>
      <c r="M3" s="24" t="n">
        <v>39</v>
      </c>
      <c r="N3" s="25" t="n">
        <v>1.08</v>
      </c>
      <c r="O3" s="26">
        <f>IF(AND(ISNUMBER(F3),ISNUMBER(N3),F3&gt;0),N3/F3,"")</f>
        <v/>
      </c>
      <c r="P3" s="27" t="n">
        <v>46244</v>
      </c>
      <c r="Q3" s="27" t="n">
        <v>46328</v>
      </c>
      <c r="R3" s="25" t="n">
        <v>8.720000000000001</v>
      </c>
      <c r="S3" s="28">
        <f>IF(AND(ISNUMBER(F3),ISNUMBER(R3),R3&gt;0),F3/R3,"")</f>
        <v/>
      </c>
      <c r="T3" s="27" t="n">
        <v>46323</v>
      </c>
    </row>
    <row r="4">
      <c r="A4" s="11" t="inlineStr">
        <is>
          <t>MSFT</t>
        </is>
      </c>
      <c r="B4" s="11" t="inlineStr">
        <is>
          <t>Microsoft Corporation</t>
        </is>
      </c>
      <c r="C4" s="11" t="inlineStr">
        <is>
          <t>Software - Infrastructure</t>
        </is>
      </c>
      <c r="D4" s="11" t="inlineStr">
        <is>
          <t>United States</t>
        </is>
      </c>
      <c r="E4" s="12" t="n">
        <v>3945.42</v>
      </c>
      <c r="F4" s="13" t="n">
        <v>531.33</v>
      </c>
      <c r="G4" s="13" t="n">
        <v>605.1242999999999</v>
      </c>
      <c r="H4" s="14">
        <f>IF(AND(ISNUMBER(F4),ISNUMBER(G4),F4&gt;0),G4/F4-1,"")</f>
        <v/>
      </c>
      <c r="I4" s="13" t="n">
        <v>440</v>
      </c>
      <c r="J4" s="14">
        <f>IF(AND(ISNUMBER(F4),ISNUMBER(I4),F4&gt;0),I4/F4-1,"")</f>
        <v/>
      </c>
      <c r="K4" s="13" t="n">
        <v>870</v>
      </c>
      <c r="L4" s="14">
        <f>IF(AND(ISNUMBER(F4),ISNUMBER(K4),F4&gt;0),K4/F4-1,"")</f>
        <v/>
      </c>
      <c r="M4" s="15" t="n">
        <v>53</v>
      </c>
      <c r="N4" s="16" t="n">
        <v>3.92</v>
      </c>
      <c r="O4" s="17">
        <f>IF(AND(ISNUMBER(F4),ISNUMBER(N4),F4&gt;0),N4/F4,"")</f>
        <v/>
      </c>
      <c r="P4" s="18" t="n">
        <v>46345</v>
      </c>
      <c r="Q4" s="18" t="n">
        <v>46323</v>
      </c>
      <c r="R4" s="16" t="n">
        <v>17.95</v>
      </c>
      <c r="S4" s="19">
        <f>IF(AND(ISNUMBER(F4),ISNUMBER(R4),R4&gt;0),F4/R4,"")</f>
        <v/>
      </c>
      <c r="T4" s="18" t="n">
        <v>46323</v>
      </c>
    </row>
    <row r="5">
      <c r="A5" s="20" t="inlineStr">
        <is>
          <t>GOOGL</t>
        </is>
      </c>
      <c r="B5" s="20" t="inlineStr">
        <is>
          <t>Alphabet Inc.</t>
        </is>
      </c>
      <c r="C5" s="20" t="inlineStr">
        <is>
          <t>Internet Content &amp; Information</t>
        </is>
      </c>
      <c r="D5" s="20" t="inlineStr">
        <is>
          <t>United States</t>
        </is>
      </c>
      <c r="E5" s="21" t="n">
        <v>3920.67</v>
      </c>
      <c r="F5" s="22" t="n">
        <v>320.58</v>
      </c>
      <c r="G5" s="22" t="n">
        <v>429.12222</v>
      </c>
      <c r="H5" s="23">
        <f>IF(AND(ISNUMBER(F5),ISNUMBER(G5),F5&gt;0),G5/F5-1,"")</f>
        <v/>
      </c>
      <c r="I5" s="22" t="n">
        <v>340</v>
      </c>
      <c r="J5" s="23">
        <f>IF(AND(ISNUMBER(F5),ISNUMBER(I5),F5&gt;0),I5/F5-1,"")</f>
        <v/>
      </c>
      <c r="K5" s="22" t="n">
        <v>500</v>
      </c>
      <c r="L5" s="23">
        <f>IF(AND(ISNUMBER(F5),ISNUMBER(K5),F5&gt;0),K5/F5-1,"")</f>
        <v/>
      </c>
      <c r="M5" s="24" t="n">
        <v>54</v>
      </c>
      <c r="N5" s="25" t="n">
        <v>0.88</v>
      </c>
      <c r="O5" s="26">
        <f>IF(AND(ISNUMBER(F5),ISNUMBER(N5),F5&gt;0),N5/F5,"")</f>
        <v/>
      </c>
      <c r="P5" s="27" t="n">
        <v>46269</v>
      </c>
      <c r="Q5" s="27" t="n">
        <v>46323</v>
      </c>
      <c r="R5" s="25" t="n">
        <v>19.93</v>
      </c>
      <c r="S5" s="28">
        <f>IF(AND(ISNUMBER(F5),ISNUMBER(R5),R5&gt;0),F5/R5,"")</f>
        <v/>
      </c>
      <c r="T5" s="27" t="n">
        <v>46323</v>
      </c>
    </row>
    <row r="6">
      <c r="A6" s="11" t="inlineStr">
        <is>
          <t>AMZN</t>
        </is>
      </c>
      <c r="B6" s="11" t="inlineStr">
        <is>
          <t>Amazon.com, Inc.</t>
        </is>
      </c>
      <c r="C6" s="11" t="inlineStr">
        <is>
          <t>Internet Retail</t>
        </is>
      </c>
      <c r="D6" s="11" t="inlineStr">
        <is>
          <t>United States</t>
        </is>
      </c>
      <c r="E6" s="12" t="n">
        <v>2730.02</v>
      </c>
      <c r="F6" s="13" t="n">
        <v>253.1</v>
      </c>
      <c r="G6" s="13" t="n">
        <v>332.2369</v>
      </c>
      <c r="H6" s="14">
        <f>IF(AND(ISNUMBER(F6),ISNUMBER(G6),F6&gt;0),G6/F6-1,"")</f>
        <v/>
      </c>
      <c r="I6" s="13" t="n">
        <v>230</v>
      </c>
      <c r="J6" s="14">
        <f>IF(AND(ISNUMBER(F6),ISNUMBER(I6),F6&gt;0),I6/F6-1,"")</f>
        <v/>
      </c>
      <c r="K6" s="13" t="n">
        <v>405</v>
      </c>
      <c r="L6" s="14">
        <f>IF(AND(ISNUMBER(F6),ISNUMBER(K6),F6&gt;0),K6/F6-1,"")</f>
        <v/>
      </c>
      <c r="M6" s="15" t="n">
        <v>58</v>
      </c>
      <c r="N6" s="16" t="n"/>
      <c r="O6" s="17">
        <f>IF(AND(ISNUMBER(F6),ISNUMBER(N6),F6&gt;0),N6/F6,"")</f>
        <v/>
      </c>
      <c r="P6" s="18" t="n"/>
      <c r="Q6" s="18" t="n">
        <v>46324</v>
      </c>
      <c r="R6" s="16" t="n">
        <v>12.43</v>
      </c>
      <c r="S6" s="19">
        <f>IF(AND(ISNUMBER(F6),ISNUMBER(R6),R6&gt;0),F6/R6,"")</f>
        <v/>
      </c>
      <c r="T6" s="18" t="n">
        <v>46323</v>
      </c>
    </row>
    <row r="7">
      <c r="A7" s="20" t="inlineStr">
        <is>
          <t>TSM</t>
        </is>
      </c>
      <c r="B7" s="20" t="inlineStr">
        <is>
          <t>Taiwan Semiconductor Manufactur</t>
        </is>
      </c>
      <c r="C7" s="20" t="inlineStr">
        <is>
          <t>Semiconductors</t>
        </is>
      </c>
      <c r="D7" s="20" t="inlineStr">
        <is>
          <t>Taiwan</t>
        </is>
      </c>
      <c r="E7" s="21" t="n">
        <v>2265.81</v>
      </c>
      <c r="F7" s="22" t="n">
        <v>436.87</v>
      </c>
      <c r="G7" s="22" t="n">
        <v>584.39294</v>
      </c>
      <c r="H7" s="23">
        <f>IF(AND(ISNUMBER(F7),ISNUMBER(G7),F7&gt;0),G7/F7-1,"")</f>
        <v/>
      </c>
      <c r="I7" s="22" t="n">
        <v>440</v>
      </c>
      <c r="J7" s="23">
        <f>IF(AND(ISNUMBER(F7),ISNUMBER(I7),F7&gt;0),I7/F7-1,"")</f>
        <v/>
      </c>
      <c r="K7" s="22" t="n">
        <v>1000</v>
      </c>
      <c r="L7" s="23">
        <f>IF(AND(ISNUMBER(F7),ISNUMBER(K7),F7&gt;0),K7/F7-1,"")</f>
        <v/>
      </c>
      <c r="M7" s="24" t="n">
        <v>20</v>
      </c>
      <c r="N7" s="25" t="n">
        <v>3.77</v>
      </c>
      <c r="O7" s="26">
        <f>IF(AND(ISNUMBER(F7),ISNUMBER(N7),F7&gt;0),N7/F7,"")</f>
        <v/>
      </c>
      <c r="P7" s="27" t="n">
        <v>46366</v>
      </c>
      <c r="Q7" s="27" t="n">
        <v>46401</v>
      </c>
      <c r="R7" s="25" t="n">
        <v>15.43</v>
      </c>
      <c r="S7" s="28">
        <f>IF(AND(ISNUMBER(F7),ISNUMBER(R7),R7&gt;0),F7/R7,"")</f>
        <v/>
      </c>
      <c r="T7" s="27" t="n">
        <v>46323</v>
      </c>
    </row>
    <row r="8">
      <c r="A8" s="11" t="inlineStr">
        <is>
          <t>SPCX</t>
        </is>
      </c>
      <c r="B8" s="11" t="inlineStr">
        <is>
          <t xml:space="preserve">Space Exploration Technologies </t>
        </is>
      </c>
      <c r="C8" s="11" t="inlineStr">
        <is>
          <t>Aerospace &amp; Defense</t>
        </is>
      </c>
      <c r="D8" s="11" t="inlineStr">
        <is>
          <t>United States</t>
        </is>
      </c>
      <c r="E8" s="12" t="n">
        <v>2017.87</v>
      </c>
      <c r="F8" s="13" t="n">
        <v>148.58</v>
      </c>
      <c r="G8" s="13" t="n">
        <v>256.58667</v>
      </c>
      <c r="H8" s="14">
        <f>IF(AND(ISNUMBER(F8),ISNUMBER(G8),F8&gt;0),G8/F8-1,"")</f>
        <v/>
      </c>
      <c r="I8" s="13" t="n">
        <v>70</v>
      </c>
      <c r="J8" s="14">
        <f>IF(AND(ISNUMBER(F8),ISNUMBER(I8),F8&gt;0),I8/F8-1,"")</f>
        <v/>
      </c>
      <c r="K8" s="13" t="n">
        <v>800</v>
      </c>
      <c r="L8" s="14">
        <f>IF(AND(ISNUMBER(F8),ISNUMBER(K8),F8&gt;0),K8/F8-1,"")</f>
        <v/>
      </c>
      <c r="M8" s="15" t="n">
        <v>36</v>
      </c>
      <c r="N8" s="16" t="n"/>
      <c r="O8" s="17">
        <f>IF(AND(ISNUMBER(F8),ISNUMBER(N8),F8&gt;0),N8/F8,"")</f>
        <v/>
      </c>
      <c r="P8" s="18" t="n"/>
      <c r="Q8" s="18" t="n">
        <v>46315</v>
      </c>
      <c r="R8" s="16" t="n">
        <v>0.23</v>
      </c>
      <c r="S8" s="19">
        <f>IF(AND(ISNUMBER(F8),ISNUMBER(R8),R8&gt;0),F8/R8,"")</f>
        <v/>
      </c>
      <c r="T8" s="18" t="n">
        <v>46323</v>
      </c>
    </row>
    <row r="9">
      <c r="A9" s="20" t="inlineStr">
        <is>
          <t>AVGO</t>
        </is>
      </c>
      <c r="B9" s="20" t="inlineStr">
        <is>
          <t>Broadcom Inc.</t>
        </is>
      </c>
      <c r="C9" s="20" t="inlineStr">
        <is>
          <t>Semiconductors</t>
        </is>
      </c>
      <c r="D9" s="20" t="inlineStr">
        <is>
          <t>United States</t>
        </is>
      </c>
      <c r="E9" s="21" t="n">
        <v>1634.16</v>
      </c>
      <c r="F9" s="22" t="n">
        <v>342.33</v>
      </c>
      <c r="G9" s="22" t="n">
        <v>530.14166</v>
      </c>
      <c r="H9" s="23">
        <f>IF(AND(ISNUMBER(F9),ISNUMBER(G9),F9&gt;0),G9/F9-1,"")</f>
        <v/>
      </c>
      <c r="I9" s="22" t="n">
        <v>215.88</v>
      </c>
      <c r="J9" s="23">
        <f>IF(AND(ISNUMBER(F9),ISNUMBER(I9),F9&gt;0),I9/F9-1,"")</f>
        <v/>
      </c>
      <c r="K9" s="22" t="n">
        <v>660</v>
      </c>
      <c r="L9" s="23">
        <f>IF(AND(ISNUMBER(F9),ISNUMBER(K9),F9&gt;0),K9/F9-1,"")</f>
        <v/>
      </c>
      <c r="M9" s="24" t="n">
        <v>48</v>
      </c>
      <c r="N9" s="25" t="n">
        <v>2.6</v>
      </c>
      <c r="O9" s="26">
        <f>IF(AND(ISNUMBER(F9),ISNUMBER(N9),F9&gt;0),N9/F9,"")</f>
        <v/>
      </c>
      <c r="P9" s="27" t="n">
        <v>46286</v>
      </c>
      <c r="Q9" s="27" t="n">
        <v>46365</v>
      </c>
      <c r="R9" s="25" t="n">
        <v>7.83</v>
      </c>
      <c r="S9" s="28">
        <f>IF(AND(ISNUMBER(F9),ISNUMBER(R9),R9&gt;0),F9/R9,"")</f>
        <v/>
      </c>
      <c r="T9" s="27" t="n">
        <v>46323</v>
      </c>
    </row>
    <row r="10">
      <c r="A10" s="11" t="inlineStr">
        <is>
          <t>TSLA</t>
        </is>
      </c>
      <c r="B10" s="11" t="inlineStr">
        <is>
          <t>Tesla, Inc.</t>
        </is>
      </c>
      <c r="C10" s="11" t="inlineStr">
        <is>
          <t>Auto Manufacturers</t>
        </is>
      </c>
      <c r="D10" s="11" t="inlineStr">
        <is>
          <t>United States</t>
        </is>
      </c>
      <c r="E10" s="12" t="n">
        <v>1610.58</v>
      </c>
      <c r="F10" s="13" t="n">
        <v>407.46</v>
      </c>
      <c r="G10" s="13" t="n">
        <v>410.68256</v>
      </c>
      <c r="H10" s="14">
        <f>IF(AND(ISNUMBER(F10),ISNUMBER(G10),F10&gt;0),G10/F10-1,"")</f>
        <v/>
      </c>
      <c r="I10" s="13" t="n">
        <v>128.11</v>
      </c>
      <c r="J10" s="14">
        <f>IF(AND(ISNUMBER(F10),ISNUMBER(I10),F10&gt;0),I10/F10-1,"")</f>
        <v/>
      </c>
      <c r="K10" s="13" t="n">
        <v>600</v>
      </c>
      <c r="L10" s="14">
        <f>IF(AND(ISNUMBER(F10),ISNUMBER(K10),F10&gt;0),K10/F10-1,"")</f>
        <v/>
      </c>
      <c r="M10" s="15" t="n">
        <v>39</v>
      </c>
      <c r="N10" s="16" t="n"/>
      <c r="O10" s="17">
        <f>IF(AND(ISNUMBER(F10),ISNUMBER(N10),F10&gt;0),N10/F10,"")</f>
        <v/>
      </c>
      <c r="P10" s="18" t="n"/>
      <c r="Q10" s="18" t="n">
        <v>46316</v>
      </c>
      <c r="R10" s="16" t="n">
        <v>0.91</v>
      </c>
      <c r="S10" s="19">
        <f>IF(AND(ISNUMBER(F10),ISNUMBER(R10),R10&gt;0),F10/R10,"")</f>
        <v/>
      </c>
      <c r="T10" s="18" t="n">
        <v>46323</v>
      </c>
    </row>
    <row r="11">
      <c r="A11" s="20" t="inlineStr">
        <is>
          <t>META</t>
        </is>
      </c>
      <c r="B11" s="20" t="inlineStr">
        <is>
          <t>Meta Platforms, Inc.</t>
        </is>
      </c>
      <c r="C11" s="20" t="inlineStr">
        <is>
          <t>Internet Content &amp; Information</t>
        </is>
      </c>
      <c r="D11" s="20" t="inlineStr">
        <is>
          <t>United States</t>
        </is>
      </c>
      <c r="E11" s="21" t="n">
        <v>1585.72</v>
      </c>
      <c r="F11" s="22" t="n">
        <v>620.1900000000001</v>
      </c>
      <c r="G11" s="22" t="n">
        <v>846.79034</v>
      </c>
      <c r="H11" s="23">
        <f>IF(AND(ISNUMBER(F11),ISNUMBER(G11),F11&gt;0),G11/F11-1,"")</f>
        <v/>
      </c>
      <c r="I11" s="22" t="n">
        <v>629.0599999999999</v>
      </c>
      <c r="J11" s="23">
        <f>IF(AND(ISNUMBER(F11),ISNUMBER(I11),F11&gt;0),I11/F11-1,"")</f>
        <v/>
      </c>
      <c r="K11" s="22" t="n">
        <v>1050</v>
      </c>
      <c r="L11" s="23">
        <f>IF(AND(ISNUMBER(F11),ISNUMBER(K11),F11&gt;0),K11/F11-1,"")</f>
        <v/>
      </c>
      <c r="M11" s="24" t="n">
        <v>58</v>
      </c>
      <c r="N11" s="25" t="n">
        <v>2.1</v>
      </c>
      <c r="O11" s="26">
        <f>IF(AND(ISNUMBER(F11),ISNUMBER(N11),F11&gt;0),N11/F11,"")</f>
        <v/>
      </c>
      <c r="P11" s="27" t="n">
        <v>46286</v>
      </c>
      <c r="Q11" s="27" t="n">
        <v>46316</v>
      </c>
      <c r="R11" s="25" t="n">
        <v>29.31</v>
      </c>
      <c r="S11" s="28">
        <f>IF(AND(ISNUMBER(F11),ISNUMBER(R11),R11&gt;0),F11/R11,"")</f>
        <v/>
      </c>
      <c r="T11" s="27" t="n">
        <v>46323</v>
      </c>
    </row>
    <row r="12">
      <c r="A12" s="11" t="inlineStr">
        <is>
          <t>BRK.B</t>
        </is>
      </c>
      <c r="B12" s="11" t="inlineStr">
        <is>
          <t>Berkshire Hathaway Inc. New</t>
        </is>
      </c>
      <c r="C12" s="11" t="inlineStr">
        <is>
          <t>Insurance - Diversified</t>
        </is>
      </c>
      <c r="D12" s="11" t="inlineStr">
        <is>
          <t>United States</t>
        </is>
      </c>
      <c r="E12" s="12" t="n">
        <v>1162.38</v>
      </c>
      <c r="F12" s="13" t="n">
        <v>542.99</v>
      </c>
      <c r="G12" s="13" t="n">
        <v>555.6667</v>
      </c>
      <c r="H12" s="14">
        <f>IF(AND(ISNUMBER(F12),ISNUMBER(G12),F12&gt;0),G12/F12-1,"")</f>
        <v/>
      </c>
      <c r="I12" s="13" t="n">
        <v>510</v>
      </c>
      <c r="J12" s="14">
        <f>IF(AND(ISNUMBER(F12),ISNUMBER(I12),F12&gt;0),I12/F12-1,"")</f>
        <v/>
      </c>
      <c r="K12" s="13" t="n">
        <v>628</v>
      </c>
      <c r="L12" s="14">
        <f>IF(AND(ISNUMBER(F12),ISNUMBER(K12),F12&gt;0),K12/F12-1,"")</f>
        <v/>
      </c>
      <c r="M12" s="15" t="n">
        <v>3</v>
      </c>
      <c r="N12" s="16" t="n"/>
      <c r="O12" s="17">
        <f>IF(AND(ISNUMBER(F12),ISNUMBER(N12),F12&gt;0),N12/F12,"")</f>
        <v/>
      </c>
      <c r="P12" s="18" t="n"/>
      <c r="Q12" s="18" t="n">
        <v>46333</v>
      </c>
      <c r="R12" s="16" t="n">
        <v>39.76</v>
      </c>
      <c r="S12" s="19">
        <f>IF(AND(ISNUMBER(F12),ISNUMBER(R12),R12&gt;0),F12/R12,"")</f>
        <v/>
      </c>
      <c r="T12" s="18" t="n">
        <v>46323</v>
      </c>
    </row>
    <row r="13">
      <c r="A13" s="20" t="inlineStr">
        <is>
          <t>BRK.A</t>
        </is>
      </c>
      <c r="B13" s="20" t="inlineStr">
        <is>
          <t>Berkshire Hathaway Inc.</t>
        </is>
      </c>
      <c r="C13" s="20" t="inlineStr">
        <is>
          <t>Insurance - Diversified</t>
        </is>
      </c>
      <c r="D13" s="20" t="inlineStr">
        <is>
          <t>United States</t>
        </is>
      </c>
      <c r="E13" s="21" t="n">
        <v>1156.13</v>
      </c>
      <c r="F13" s="22" t="n">
        <v>810106</v>
      </c>
      <c r="G13" s="22" t="n">
        <v>808601.25</v>
      </c>
      <c r="H13" s="23">
        <f>IF(AND(ISNUMBER(F13),ISNUMBER(G13),F13&gt;0),G13/F13-1,"")</f>
        <v/>
      </c>
      <c r="I13" s="22" t="n">
        <v>735000</v>
      </c>
      <c r="J13" s="23">
        <f>IF(AND(ISNUMBER(F13),ISNUMBER(I13),F13&gt;0),I13/F13-1,"")</f>
        <v/>
      </c>
      <c r="K13" s="22" t="n">
        <v>942405</v>
      </c>
      <c r="L13" s="23">
        <f>IF(AND(ISNUMBER(F13),ISNUMBER(K13),F13&gt;0),K13/F13-1,"")</f>
        <v/>
      </c>
      <c r="M13" s="24" t="n">
        <v>4</v>
      </c>
      <c r="N13" s="25" t="n"/>
      <c r="O13" s="26">
        <f>IF(AND(ISNUMBER(F13),ISNUMBER(N13),F13&gt;0),N13/F13,"")</f>
        <v/>
      </c>
      <c r="P13" s="27" t="n"/>
      <c r="Q13" s="27" t="n">
        <v>46333</v>
      </c>
      <c r="R13" s="25" t="n">
        <v>59636.03</v>
      </c>
      <c r="S13" s="28">
        <f>IF(AND(ISNUMBER(F13),ISNUMBER(R13),R13&gt;0),F13/R13,"")</f>
        <v/>
      </c>
      <c r="T13" s="27" t="n">
        <v>46323</v>
      </c>
    </row>
    <row r="14">
      <c r="A14" s="11" t="inlineStr">
        <is>
          <t>LLY</t>
        </is>
      </c>
      <c r="B14" s="11" t="inlineStr">
        <is>
          <t>Eli Lilly and Company</t>
        </is>
      </c>
      <c r="C14" s="11" t="inlineStr">
        <is>
          <t>Drug Manufacturers - General</t>
        </is>
      </c>
      <c r="D14" s="11" t="inlineStr">
        <is>
          <t>United States</t>
        </is>
      </c>
      <c r="E14" s="12" t="n">
        <v>1143.13</v>
      </c>
      <c r="F14" s="13" t="n">
        <v>1281.91</v>
      </c>
      <c r="G14" s="13" t="n">
        <v>1333.7213</v>
      </c>
      <c r="H14" s="14">
        <f>IF(AND(ISNUMBER(F14),ISNUMBER(G14),F14&gt;0),G14/F14-1,"")</f>
        <v/>
      </c>
      <c r="I14" s="13" t="n">
        <v>930</v>
      </c>
      <c r="J14" s="14">
        <f>IF(AND(ISNUMBER(F14),ISNUMBER(I14),F14&gt;0),I14/F14-1,"")</f>
        <v/>
      </c>
      <c r="K14" s="13" t="n">
        <v>1600</v>
      </c>
      <c r="L14" s="14">
        <f>IF(AND(ISNUMBER(F14),ISNUMBER(K14),F14&gt;0),K14/F14-1,"")</f>
        <v/>
      </c>
      <c r="M14" s="15" t="n">
        <v>30</v>
      </c>
      <c r="N14" s="16" t="n">
        <v>6.92</v>
      </c>
      <c r="O14" s="17">
        <f>IF(AND(ISNUMBER(F14),ISNUMBER(N14),F14&gt;0),N14/F14,"")</f>
        <v/>
      </c>
      <c r="P14" s="18" t="n">
        <v>46339</v>
      </c>
      <c r="Q14" s="18" t="n">
        <v>46324</v>
      </c>
      <c r="R14" s="16" t="n">
        <v>29.79</v>
      </c>
      <c r="S14" s="19">
        <f>IF(AND(ISNUMBER(F14),ISNUMBER(R14),R14&gt;0),F14/R14,"")</f>
        <v/>
      </c>
      <c r="T14" s="18" t="n">
        <v>46323</v>
      </c>
    </row>
    <row r="15">
      <c r="A15" s="20" t="inlineStr">
        <is>
          <t>MU</t>
        </is>
      </c>
      <c r="B15" s="20" t="inlineStr">
        <is>
          <t>Micron Technology, Inc.</t>
        </is>
      </c>
      <c r="C15" s="20" t="inlineStr">
        <is>
          <t>Semiconductors</t>
        </is>
      </c>
      <c r="D15" s="20" t="inlineStr">
        <is>
          <t>United States</t>
        </is>
      </c>
      <c r="E15" s="21" t="n">
        <v>1050.82</v>
      </c>
      <c r="F15" s="22" t="n">
        <v>928.76</v>
      </c>
      <c r="G15" s="22" t="n">
        <v>1561.9111</v>
      </c>
      <c r="H15" s="23">
        <f>IF(AND(ISNUMBER(F15),ISNUMBER(G15),F15&gt;0),G15/F15-1,"")</f>
        <v/>
      </c>
      <c r="I15" s="22" t="n">
        <v>361</v>
      </c>
      <c r="J15" s="23">
        <f>IF(AND(ISNUMBER(F15),ISNUMBER(I15),F15&gt;0),I15/F15-1,"")</f>
        <v/>
      </c>
      <c r="K15" s="22" t="n">
        <v>3000</v>
      </c>
      <c r="L15" s="23">
        <f>IF(AND(ISNUMBER(F15),ISNUMBER(K15),F15&gt;0),K15/F15-1,"")</f>
        <v/>
      </c>
      <c r="M15" s="24" t="n">
        <v>45</v>
      </c>
      <c r="N15" s="25" t="n">
        <v>0.6</v>
      </c>
      <c r="O15" s="26">
        <f>IF(AND(ISNUMBER(F15),ISNUMBER(N15),F15&gt;0),N15/F15,"")</f>
        <v/>
      </c>
      <c r="P15" s="27" t="n">
        <v>46309</v>
      </c>
      <c r="Q15" s="27" t="n">
        <v>46379</v>
      </c>
      <c r="R15" s="25" t="n">
        <v>74.33</v>
      </c>
      <c r="S15" s="28">
        <f>IF(AND(ISNUMBER(F15),ISNUMBER(R15),R15&gt;0),F15/R15,"")</f>
        <v/>
      </c>
      <c r="T15" s="27" t="n">
        <v>46323</v>
      </c>
    </row>
    <row r="16">
      <c r="A16" s="11" t="inlineStr">
        <is>
          <t>SKHY</t>
        </is>
      </c>
      <c r="B16" s="11" t="inlineStr">
        <is>
          <t>SK hynix Inc.</t>
        </is>
      </c>
      <c r="C16" s="11" t="inlineStr">
        <is>
          <t>Semiconductors</t>
        </is>
      </c>
      <c r="D16" s="11" t="inlineStr">
        <is>
          <t>South Korea</t>
        </is>
      </c>
      <c r="E16" s="12" t="n">
        <v>1025.04</v>
      </c>
      <c r="F16" s="13" t="n">
        <v>145.36</v>
      </c>
      <c r="G16" s="13" t="n">
        <v>243.42857</v>
      </c>
      <c r="H16" s="14">
        <f>IF(AND(ISNUMBER(F16),ISNUMBER(G16),F16&gt;0),G16/F16-1,"")</f>
        <v/>
      </c>
      <c r="I16" s="13" t="n">
        <v>152</v>
      </c>
      <c r="J16" s="14">
        <f>IF(AND(ISNUMBER(F16),ISNUMBER(I16),F16&gt;0),I16/F16-1,"")</f>
        <v/>
      </c>
      <c r="K16" s="13" t="n">
        <v>320</v>
      </c>
      <c r="L16" s="14">
        <f>IF(AND(ISNUMBER(F16),ISNUMBER(K16),F16&gt;0),K16/F16-1,"")</f>
        <v/>
      </c>
      <c r="M16" s="15" t="n">
        <v>14</v>
      </c>
      <c r="N16" s="16" t="n">
        <v>0.11</v>
      </c>
      <c r="O16" s="17">
        <f>IF(AND(ISNUMBER(F16),ISNUMBER(N16),F16&gt;0),N16/F16,"")</f>
        <v/>
      </c>
      <c r="P16" s="18" t="n">
        <v>46265</v>
      </c>
      <c r="Q16" s="18" t="n">
        <v>46322</v>
      </c>
      <c r="R16" s="16" t="n">
        <v>15.68</v>
      </c>
      <c r="S16" s="19">
        <f>IF(AND(ISNUMBER(F16),ISNUMBER(R16),R16&gt;0),F16/R16,"")</f>
        <v/>
      </c>
      <c r="T16" s="18" t="n">
        <v>46323</v>
      </c>
    </row>
    <row r="17">
      <c r="A17" s="20" t="inlineStr">
        <is>
          <t>WMT</t>
        </is>
      </c>
      <c r="B17" s="20" t="inlineStr">
        <is>
          <t>Walmart Inc.</t>
        </is>
      </c>
      <c r="C17" s="20" t="inlineStr">
        <is>
          <t>Discount Stores</t>
        </is>
      </c>
      <c r="D17" s="20" t="inlineStr">
        <is>
          <t>United States</t>
        </is>
      </c>
      <c r="E17" s="21" t="n">
        <v>949.5599999999999</v>
      </c>
      <c r="F17" s="22" t="n">
        <v>119.32</v>
      </c>
      <c r="G17" s="22" t="n">
        <v>127.475</v>
      </c>
      <c r="H17" s="23">
        <f>IF(AND(ISNUMBER(F17),ISNUMBER(G17),F17&gt;0),G17/F17-1,"")</f>
        <v/>
      </c>
      <c r="I17" s="22" t="n">
        <v>81</v>
      </c>
      <c r="J17" s="23">
        <f>IF(AND(ISNUMBER(F17),ISNUMBER(I17),F17&gt;0),I17/F17-1,"")</f>
        <v/>
      </c>
      <c r="K17" s="22" t="n">
        <v>155</v>
      </c>
      <c r="L17" s="23">
        <f>IF(AND(ISNUMBER(F17),ISNUMBER(K17),F17&gt;0),K17/F17-1,"")</f>
        <v/>
      </c>
      <c r="M17" s="24" t="n">
        <v>40</v>
      </c>
      <c r="N17" s="25" t="n">
        <v>0.99</v>
      </c>
      <c r="O17" s="26">
        <f>IF(AND(ISNUMBER(F17),ISNUMBER(N17),F17&gt;0),N17/F17,"")</f>
        <v/>
      </c>
      <c r="P17" s="27" t="n">
        <v>46367</v>
      </c>
      <c r="Q17" s="27" t="n">
        <v>46345</v>
      </c>
      <c r="R17" s="25" t="n">
        <v>2.76</v>
      </c>
      <c r="S17" s="28">
        <f>IF(AND(ISNUMBER(F17),ISNUMBER(R17),R17&gt;0),F17/R17,"")</f>
        <v/>
      </c>
      <c r="T17" s="27" t="n">
        <v>46323</v>
      </c>
    </row>
    <row r="18">
      <c r="A18" s="11" t="inlineStr">
        <is>
          <t>AMD</t>
        </is>
      </c>
      <c r="B18" s="11" t="inlineStr">
        <is>
          <t>Advanced Micro Devices, Inc.</t>
        </is>
      </c>
      <c r="C18" s="11" t="inlineStr">
        <is>
          <t>Semiconductors</t>
        </is>
      </c>
      <c r="D18" s="11" t="inlineStr">
        <is>
          <t>United States</t>
        </is>
      </c>
      <c r="E18" s="12" t="n">
        <v>914.61</v>
      </c>
      <c r="F18" s="13" t="n">
        <v>560.26</v>
      </c>
      <c r="G18" s="13" t="n">
        <v>637.6079999999999</v>
      </c>
      <c r="H18" s="14">
        <f>IF(AND(ISNUMBER(F18),ISNUMBER(G18),F18&gt;0),G18/F18-1,"")</f>
        <v/>
      </c>
      <c r="I18" s="13" t="n">
        <v>365</v>
      </c>
      <c r="J18" s="14">
        <f>IF(AND(ISNUMBER(F18),ISNUMBER(I18),F18&gt;0),I18/F18-1,"")</f>
        <v/>
      </c>
      <c r="K18" s="13" t="n">
        <v>1250</v>
      </c>
      <c r="L18" s="14">
        <f>IF(AND(ISNUMBER(F18),ISNUMBER(K18),F18&gt;0),K18/F18-1,"")</f>
        <v/>
      </c>
      <c r="M18" s="15" t="n">
        <v>50</v>
      </c>
      <c r="N18" s="16" t="n"/>
      <c r="O18" s="17">
        <f>IF(AND(ISNUMBER(F18),ISNUMBER(N18),F18&gt;0),N18/F18,"")</f>
        <v/>
      </c>
      <c r="P18" s="18" t="n"/>
      <c r="Q18" s="18" t="n">
        <v>46329</v>
      </c>
      <c r="R18" s="16" t="n">
        <v>3.92</v>
      </c>
      <c r="S18" s="19">
        <f>IF(AND(ISNUMBER(F18),ISNUMBER(R18),R18&gt;0),F18/R18,"")</f>
        <v/>
      </c>
      <c r="T18" s="18" t="n">
        <v>46323</v>
      </c>
    </row>
    <row r="19">
      <c r="A19" s="20" t="inlineStr">
        <is>
          <t>JPM</t>
        </is>
      </c>
      <c r="B19" s="20" t="inlineStr">
        <is>
          <t>JP Morgan Chase &amp; Co.</t>
        </is>
      </c>
      <c r="C19" s="20" t="inlineStr">
        <is>
          <t>Banks - Diversified</t>
        </is>
      </c>
      <c r="D19" s="20" t="inlineStr">
        <is>
          <t>United States</t>
        </is>
      </c>
      <c r="E19" s="21" t="n">
        <v>891.72</v>
      </c>
      <c r="F19" s="22" t="n">
        <v>335.79</v>
      </c>
      <c r="G19" s="22" t="n">
        <v>372.26086</v>
      </c>
      <c r="H19" s="23">
        <f>IF(AND(ISNUMBER(F19),ISNUMBER(G19),F19&gt;0),G19/F19-1,"")</f>
        <v/>
      </c>
      <c r="I19" s="22" t="n">
        <v>312</v>
      </c>
      <c r="J19" s="23">
        <f>IF(AND(ISNUMBER(F19),ISNUMBER(I19),F19&gt;0),I19/F19-1,"")</f>
        <v/>
      </c>
      <c r="K19" s="22" t="n">
        <v>425</v>
      </c>
      <c r="L19" s="23">
        <f>IF(AND(ISNUMBER(F19),ISNUMBER(K19),F19&gt;0),K19/F19-1,"")</f>
        <v/>
      </c>
      <c r="M19" s="24" t="n">
        <v>23</v>
      </c>
      <c r="N19" s="25" t="n">
        <v>6.6</v>
      </c>
      <c r="O19" s="26">
        <f>IF(AND(ISNUMBER(F19),ISNUMBER(N19),F19&gt;0),N19/F19,"")</f>
        <v/>
      </c>
      <c r="P19" s="27" t="n">
        <v>46301</v>
      </c>
      <c r="Q19" s="27" t="n">
        <v>46401</v>
      </c>
      <c r="R19" s="25" t="n">
        <v>23.84</v>
      </c>
      <c r="S19" s="28">
        <f>IF(AND(ISNUMBER(F19),ISNUMBER(R19),R19&gt;0),F19/R19,"")</f>
        <v/>
      </c>
      <c r="T19" s="27" t="n">
        <v>46323</v>
      </c>
    </row>
    <row r="20">
      <c r="A20" s="11" t="inlineStr">
        <is>
          <t>V</t>
        </is>
      </c>
      <c r="B20" s="11" t="inlineStr">
        <is>
          <t>Visa Inc.</t>
        </is>
      </c>
      <c r="C20" s="11" t="inlineStr">
        <is>
          <t>Credit Services</t>
        </is>
      </c>
      <c r="D20" s="11" t="inlineStr">
        <is>
          <t>United States</t>
        </is>
      </c>
      <c r="E20" s="12" t="n">
        <v>754.4299999999999</v>
      </c>
      <c r="F20" s="13" t="n">
        <v>401.86</v>
      </c>
      <c r="G20" s="13" t="n">
        <v>426.82108</v>
      </c>
      <c r="H20" s="14">
        <f>IF(AND(ISNUMBER(F20),ISNUMBER(G20),F20&gt;0),G20/F20-1,"")</f>
        <v/>
      </c>
      <c r="I20" s="13" t="n">
        <v>330</v>
      </c>
      <c r="J20" s="14">
        <f>IF(AND(ISNUMBER(F20),ISNUMBER(I20),F20&gt;0),I20/F20-1,"")</f>
        <v/>
      </c>
      <c r="K20" s="13" t="n">
        <v>480</v>
      </c>
      <c r="L20" s="14">
        <f>IF(AND(ISNUMBER(F20),ISNUMBER(K20),F20&gt;0),K20/F20-1,"")</f>
        <v/>
      </c>
      <c r="M20" s="15" t="n">
        <v>37</v>
      </c>
      <c r="N20" s="16" t="n">
        <v>2.68</v>
      </c>
      <c r="O20" s="17">
        <f>IF(AND(ISNUMBER(F20),ISNUMBER(N20),F20&gt;0),N20/F20,"")</f>
        <v/>
      </c>
      <c r="P20" s="18" t="n">
        <v>46245</v>
      </c>
      <c r="Q20" s="18" t="n">
        <v>46322</v>
      </c>
      <c r="R20" s="16" t="n">
        <v>11.75</v>
      </c>
      <c r="S20" s="19">
        <f>IF(AND(ISNUMBER(F20),ISNUMBER(R20),R20&gt;0),F20/R20,"")</f>
        <v/>
      </c>
      <c r="T20" s="18" t="n">
        <v>46323</v>
      </c>
    </row>
    <row r="21">
      <c r="A21" s="20" t="inlineStr">
        <is>
          <t>XOM</t>
        </is>
      </c>
      <c r="B21" s="20" t="inlineStr">
        <is>
          <t>ExxonMobil Holdings Corporation</t>
        </is>
      </c>
      <c r="C21" s="20" t="inlineStr">
        <is>
          <t>Oil &amp; Gas Integrated</t>
        </is>
      </c>
      <c r="D21" s="20" t="inlineStr">
        <is>
          <t>United States</t>
        </is>
      </c>
      <c r="E21" s="21" t="n">
        <v>739.77</v>
      </c>
      <c r="F21" s="22" t="n">
        <v>179.91</v>
      </c>
      <c r="G21" s="22" t="n">
        <v>179.40909</v>
      </c>
      <c r="H21" s="23">
        <f>IF(AND(ISNUMBER(F21),ISNUMBER(G21),F21&gt;0),G21/F21-1,"")</f>
        <v/>
      </c>
      <c r="I21" s="22" t="n">
        <v>142</v>
      </c>
      <c r="J21" s="23">
        <f>IF(AND(ISNUMBER(F21),ISNUMBER(I21),F21&gt;0),I21/F21-1,"")</f>
        <v/>
      </c>
      <c r="K21" s="22" t="n">
        <v>206</v>
      </c>
      <c r="L21" s="23">
        <f>IF(AND(ISNUMBER(F21),ISNUMBER(K21),F21&gt;0),K21/F21-1,"")</f>
        <v/>
      </c>
      <c r="M21" s="24" t="n">
        <v>22</v>
      </c>
      <c r="N21" s="25" t="n">
        <v>4.12</v>
      </c>
      <c r="O21" s="26">
        <f>IF(AND(ISNUMBER(F21),ISNUMBER(N21),F21&gt;0),N21/F21,"")</f>
        <v/>
      </c>
      <c r="P21" s="27" t="n">
        <v>46251</v>
      </c>
      <c r="Q21" s="27" t="n">
        <v>46325</v>
      </c>
      <c r="R21" s="25" t="n">
        <v>7.77</v>
      </c>
      <c r="S21" s="28">
        <f>IF(AND(ISNUMBER(F21),ISNUMBER(R21),R21&gt;0),F21/R21,"")</f>
        <v/>
      </c>
      <c r="T21" s="27" t="n">
        <v>46323</v>
      </c>
    </row>
    <row r="22">
      <c r="A22" s="11" t="inlineStr">
        <is>
          <t>JNJ</t>
        </is>
      </c>
      <c r="B22" s="11" t="inlineStr">
        <is>
          <t>Johnson &amp; Johnson</t>
        </is>
      </c>
      <c r="C22" s="11" t="inlineStr">
        <is>
          <t>Drug Manufacturers - General</t>
        </is>
      </c>
      <c r="D22" s="11" t="inlineStr">
        <is>
          <t>United States</t>
        </is>
      </c>
      <c r="E22" s="12" t="n">
        <v>646.92</v>
      </c>
      <c r="F22" s="13" t="n">
        <v>268.73</v>
      </c>
      <c r="G22" s="13" t="n">
        <v>279.4091</v>
      </c>
      <c r="H22" s="14">
        <f>IF(AND(ISNUMBER(F22),ISNUMBER(G22),F22&gt;0),G22/F22-1,"")</f>
        <v/>
      </c>
      <c r="I22" s="13" t="n">
        <v>190</v>
      </c>
      <c r="J22" s="14">
        <f>IF(AND(ISNUMBER(F22),ISNUMBER(I22),F22&gt;0),I22/F22-1,"")</f>
        <v/>
      </c>
      <c r="K22" s="13" t="n">
        <v>320</v>
      </c>
      <c r="L22" s="14">
        <f>IF(AND(ISNUMBER(F22),ISNUMBER(K22),F22&gt;0),K22/F22-1,"")</f>
        <v/>
      </c>
      <c r="M22" s="15" t="n">
        <v>22</v>
      </c>
      <c r="N22" s="16" t="n">
        <v>5.36</v>
      </c>
      <c r="O22" s="17">
        <f>IF(AND(ISNUMBER(F22),ISNUMBER(N22),F22&gt;0),N22/F22,"")</f>
        <v/>
      </c>
      <c r="P22" s="18" t="n">
        <v>46350</v>
      </c>
      <c r="Q22" s="18" t="n">
        <v>46308</v>
      </c>
      <c r="R22" s="16" t="n">
        <v>6.59</v>
      </c>
      <c r="S22" s="19">
        <f>IF(AND(ISNUMBER(F22),ISNUMBER(R22),R22&gt;0),F22/R22,"")</f>
        <v/>
      </c>
      <c r="T22" s="18" t="n">
        <v>46323</v>
      </c>
    </row>
    <row r="23">
      <c r="A23" s="20" t="inlineStr">
        <is>
          <t>ASML</t>
        </is>
      </c>
      <c r="B23" s="20" t="inlineStr">
        <is>
          <t>ASML Holding N.V. - New York Re</t>
        </is>
      </c>
      <c r="C23" s="20" t="inlineStr">
        <is>
          <t>Semiconductor Equipment &amp; Materials</t>
        </is>
      </c>
      <c r="D23" s="20" t="inlineStr">
        <is>
          <t>Netherlands</t>
        </is>
      </c>
      <c r="E23" s="21" t="n">
        <v>630.38</v>
      </c>
      <c r="F23" s="22" t="n">
        <v>1635.57</v>
      </c>
      <c r="G23" s="22" t="n">
        <v>2134.3977</v>
      </c>
      <c r="H23" s="23">
        <f>IF(AND(ISNUMBER(F23),ISNUMBER(G23),F23&gt;0),G23/F23-1,"")</f>
        <v/>
      </c>
      <c r="I23" s="22" t="n">
        <v>860.9393</v>
      </c>
      <c r="J23" s="23">
        <f>IF(AND(ISNUMBER(F23),ISNUMBER(I23),F23&gt;0),I23/F23-1,"")</f>
        <v/>
      </c>
      <c r="K23" s="22" t="n">
        <v>2828.1382</v>
      </c>
      <c r="L23" s="23">
        <f>IF(AND(ISNUMBER(F23),ISNUMBER(K23),F23&gt;0),K23/F23-1,"")</f>
        <v/>
      </c>
      <c r="M23" s="24" t="n">
        <v>17</v>
      </c>
      <c r="N23" s="25" t="n">
        <v>9.08</v>
      </c>
      <c r="O23" s="26">
        <f>IF(AND(ISNUMBER(F23),ISNUMBER(N23),F23&gt;0),N23/F23,"")</f>
        <v/>
      </c>
      <c r="P23" s="27" t="n">
        <v>46322</v>
      </c>
      <c r="Q23" s="27" t="n">
        <v>46309</v>
      </c>
      <c r="R23" s="25" t="n">
        <v>40.64</v>
      </c>
      <c r="S23" s="28">
        <f>IF(AND(ISNUMBER(F23),ISNUMBER(R23),R23&gt;0),F23/R23,"")</f>
        <v/>
      </c>
      <c r="T23" s="27" t="n">
        <v>46323</v>
      </c>
    </row>
    <row r="24">
      <c r="A24" s="11" t="inlineStr">
        <is>
          <t>MA</t>
        </is>
      </c>
      <c r="B24" s="11" t="inlineStr">
        <is>
          <t>Mastercard Incorporated</t>
        </is>
      </c>
      <c r="C24" s="11" t="inlineStr">
        <is>
          <t>Credit Services</t>
        </is>
      </c>
      <c r="D24" s="11" t="inlineStr">
        <is>
          <t>United States</t>
        </is>
      </c>
      <c r="E24" s="12" t="n">
        <v>534.23</v>
      </c>
      <c r="F24" s="13" t="n">
        <v>609.85</v>
      </c>
      <c r="G24" s="13" t="n">
        <v>676.0381</v>
      </c>
      <c r="H24" s="14">
        <f>IF(AND(ISNUMBER(F24),ISNUMBER(G24),F24&gt;0),G24/F24-1,"")</f>
        <v/>
      </c>
      <c r="I24" s="13" t="n">
        <v>550</v>
      </c>
      <c r="J24" s="14">
        <f>IF(AND(ISNUMBER(F24),ISNUMBER(I24),F24&gt;0),I24/F24-1,"")</f>
        <v/>
      </c>
      <c r="K24" s="13" t="n">
        <v>765</v>
      </c>
      <c r="L24" s="14">
        <f>IF(AND(ISNUMBER(F24),ISNUMBER(K24),F24&gt;0),K24/F24-1,"")</f>
        <v/>
      </c>
      <c r="M24" s="15" t="n">
        <v>37</v>
      </c>
      <c r="N24" s="16" t="n">
        <v>3.48</v>
      </c>
      <c r="O24" s="17">
        <f>IF(AND(ISNUMBER(F24),ISNUMBER(N24),F24&gt;0),N24/F24,"")</f>
        <v/>
      </c>
      <c r="P24" s="18" t="n">
        <v>46304</v>
      </c>
      <c r="Q24" s="18" t="n">
        <v>46324</v>
      </c>
      <c r="R24" s="16" t="n">
        <v>18.18</v>
      </c>
      <c r="S24" s="19">
        <f>IF(AND(ISNUMBER(F24),ISNUMBER(R24),R24&gt;0),F24/R24,"")</f>
        <v/>
      </c>
      <c r="T24" s="18" t="n">
        <v>46323</v>
      </c>
    </row>
    <row r="25">
      <c r="A25" s="20" t="inlineStr">
        <is>
          <t>ABBV</t>
        </is>
      </c>
      <c r="B25" s="20" t="inlineStr">
        <is>
          <t>AbbVie Inc.</t>
        </is>
      </c>
      <c r="C25" s="20" t="inlineStr">
        <is>
          <t>Drug Manufacturers - General</t>
        </is>
      </c>
      <c r="D25" s="20" t="inlineStr">
        <is>
          <t>United States</t>
        </is>
      </c>
      <c r="E25" s="21" t="n">
        <v>506.08</v>
      </c>
      <c r="F25" s="22" t="n">
        <v>286.39</v>
      </c>
      <c r="G25" s="22" t="n">
        <v>283.18518</v>
      </c>
      <c r="H25" s="23">
        <f>IF(AND(ISNUMBER(F25),ISNUMBER(G25),F25&gt;0),G25/F25-1,"")</f>
        <v/>
      </c>
      <c r="I25" s="22" t="n">
        <v>200</v>
      </c>
      <c r="J25" s="23">
        <f>IF(AND(ISNUMBER(F25),ISNUMBER(I25),F25&gt;0),I25/F25-1,"")</f>
        <v/>
      </c>
      <c r="K25" s="22" t="n">
        <v>325</v>
      </c>
      <c r="L25" s="23">
        <f>IF(AND(ISNUMBER(F25),ISNUMBER(K25),F25&gt;0),K25/F25-1,"")</f>
        <v/>
      </c>
      <c r="M25" s="24" t="n">
        <v>27</v>
      </c>
      <c r="N25" s="25" t="n">
        <v>6.92</v>
      </c>
      <c r="O25" s="26">
        <f>IF(AND(ISNUMBER(F25),ISNUMBER(N25),F25&gt;0),N25/F25,"")</f>
        <v/>
      </c>
      <c r="P25" s="27" t="n">
        <v>46310</v>
      </c>
      <c r="Q25" s="27" t="n">
        <v>46325</v>
      </c>
      <c r="R25" s="25" t="n">
        <v>3.55</v>
      </c>
      <c r="S25" s="28">
        <f>IF(AND(ISNUMBER(F25),ISNUMBER(R25),R25&gt;0),F25/R25,"")</f>
        <v/>
      </c>
      <c r="T25" s="27" t="n">
        <v>46323</v>
      </c>
    </row>
    <row r="26">
      <c r="A26" s="11" t="inlineStr">
        <is>
          <t>INTC</t>
        </is>
      </c>
      <c r="B26" s="11" t="inlineStr">
        <is>
          <t>Intel Corporation</t>
        </is>
      </c>
      <c r="C26" s="11" t="inlineStr">
        <is>
          <t>Semiconductors</t>
        </is>
      </c>
      <c r="D26" s="11" t="inlineStr">
        <is>
          <t>United States</t>
        </is>
      </c>
      <c r="E26" s="12" t="n">
        <v>495.52</v>
      </c>
      <c r="F26" s="13" t="n">
        <v>93.73999999999999</v>
      </c>
      <c r="G26" s="13" t="n">
        <v>117.71429</v>
      </c>
      <c r="H26" s="14">
        <f>IF(AND(ISNUMBER(F26),ISNUMBER(G26),F26&gt;0),G26/F26-1,"")</f>
        <v/>
      </c>
      <c r="I26" s="13" t="n">
        <v>80</v>
      </c>
      <c r="J26" s="14">
        <f>IF(AND(ISNUMBER(F26),ISNUMBER(I26),F26&gt;0),I26/F26-1,"")</f>
        <v/>
      </c>
      <c r="K26" s="13" t="n">
        <v>200</v>
      </c>
      <c r="L26" s="14">
        <f>IF(AND(ISNUMBER(F26),ISNUMBER(K26),F26&gt;0),K26/F26-1,"")</f>
        <v/>
      </c>
      <c r="M26" s="15" t="n">
        <v>42</v>
      </c>
      <c r="N26" s="16" t="n"/>
      <c r="O26" s="17">
        <f>IF(AND(ISNUMBER(F26),ISNUMBER(N26),F26&gt;0),N26/F26,"")</f>
        <v/>
      </c>
      <c r="P26" s="18" t="n"/>
      <c r="Q26" s="18" t="n">
        <v>46324</v>
      </c>
      <c r="R26" s="16" t="n">
        <v>-2.12</v>
      </c>
      <c r="S26" s="19">
        <f>IF(AND(ISNUMBER(F26),ISNUMBER(R26),R26&gt;0),F26/R26,"")</f>
        <v/>
      </c>
      <c r="T26" s="18" t="n">
        <v>46323</v>
      </c>
    </row>
    <row r="27">
      <c r="A27" s="20" t="inlineStr">
        <is>
          <t>PLTR</t>
        </is>
      </c>
      <c r="B27" s="20" t="inlineStr">
        <is>
          <t>Palantir Technologies Inc.</t>
        </is>
      </c>
      <c r="C27" s="20" t="inlineStr">
        <is>
          <t>Software - Infrastructure</t>
        </is>
      </c>
      <c r="D27" s="20" t="inlineStr">
        <is>
          <t>United States</t>
        </is>
      </c>
      <c r="E27" s="21" t="n">
        <v>477.56</v>
      </c>
      <c r="F27" s="22" t="n">
        <v>198.73</v>
      </c>
      <c r="G27" s="22" t="n">
        <v>208.96538</v>
      </c>
      <c r="H27" s="23">
        <f>IF(AND(ISNUMBER(F27),ISNUMBER(G27),F27&gt;0),G27/F27-1,"")</f>
        <v/>
      </c>
      <c r="I27" s="22" t="n">
        <v>80</v>
      </c>
      <c r="J27" s="23">
        <f>IF(AND(ISNUMBER(F27),ISNUMBER(I27),F27&gt;0),I27/F27-1,"")</f>
        <v/>
      </c>
      <c r="K27" s="22" t="n">
        <v>265</v>
      </c>
      <c r="L27" s="23">
        <f>IF(AND(ISNUMBER(F27),ISNUMBER(K27),F27&gt;0),K27/F27-1,"")</f>
        <v/>
      </c>
      <c r="M27" s="24" t="n">
        <v>26</v>
      </c>
      <c r="N27" s="25" t="n"/>
      <c r="O27" s="26">
        <f>IF(AND(ISNUMBER(F27),ISNUMBER(N27),F27&gt;0),N27/F27,"")</f>
        <v/>
      </c>
      <c r="P27" s="27" t="n"/>
      <c r="Q27" s="27" t="n">
        <v>46328</v>
      </c>
      <c r="R27" s="25" t="n">
        <v>1.17</v>
      </c>
      <c r="S27" s="28">
        <f>IF(AND(ISNUMBER(F27),ISNUMBER(R27),R27&gt;0),F27/R27,"")</f>
        <v/>
      </c>
      <c r="T27" s="27" t="n">
        <v>46323</v>
      </c>
    </row>
    <row r="28">
      <c r="A28" s="11" t="inlineStr">
        <is>
          <t>CVX</t>
        </is>
      </c>
      <c r="B28" s="11" t="inlineStr">
        <is>
          <t>Chevron Corporation</t>
        </is>
      </c>
      <c r="C28" s="11" t="inlineStr">
        <is>
          <t>Oil &amp; Gas Integrated</t>
        </is>
      </c>
      <c r="D28" s="11" t="inlineStr">
        <is>
          <t>United States</t>
        </is>
      </c>
      <c r="E28" s="12" t="n">
        <v>447.7</v>
      </c>
      <c r="F28" s="13" t="n">
        <v>228.23</v>
      </c>
      <c r="G28" s="13" t="n">
        <v>232.5</v>
      </c>
      <c r="H28" s="14">
        <f>IF(AND(ISNUMBER(F28),ISNUMBER(G28),F28&gt;0),G28/F28-1,"")</f>
        <v/>
      </c>
      <c r="I28" s="13" t="n">
        <v>175</v>
      </c>
      <c r="J28" s="14">
        <f>IF(AND(ISNUMBER(F28),ISNUMBER(I28),F28&gt;0),I28/F28-1,"")</f>
        <v/>
      </c>
      <c r="K28" s="13" t="n">
        <v>272</v>
      </c>
      <c r="L28" s="14">
        <f>IF(AND(ISNUMBER(F28),ISNUMBER(K28),F28&gt;0),K28/F28-1,"")</f>
        <v/>
      </c>
      <c r="M28" s="15" t="n">
        <v>24</v>
      </c>
      <c r="N28" s="16" t="n">
        <v>7.12</v>
      </c>
      <c r="O28" s="17">
        <f>IF(AND(ISNUMBER(F28),ISNUMBER(N28),F28&gt;0),N28/F28,"")</f>
        <v/>
      </c>
      <c r="P28" s="18" t="n">
        <v>46253</v>
      </c>
      <c r="Q28" s="18" t="n">
        <v>46325</v>
      </c>
      <c r="R28" s="16" t="n">
        <v>10.39</v>
      </c>
      <c r="S28" s="19">
        <f>IF(AND(ISNUMBER(F28),ISNUMBER(R28),R28&gt;0),F28/R28,"")</f>
        <v/>
      </c>
      <c r="T28" s="18" t="n">
        <v>46323</v>
      </c>
    </row>
    <row r="29">
      <c r="A29" s="20" t="inlineStr">
        <is>
          <t>TCEHY</t>
        </is>
      </c>
      <c r="B29" s="20" t="inlineStr">
        <is>
          <t>Tencent Holding Ltd.</t>
        </is>
      </c>
      <c r="C29" s="20" t="inlineStr">
        <is>
          <t>Internet Content &amp; Information</t>
        </is>
      </c>
      <c r="D29" s="20" t="inlineStr">
        <is>
          <t>China</t>
        </is>
      </c>
      <c r="E29" s="21" t="n">
        <v>445.37</v>
      </c>
      <c r="F29" s="22" t="n">
        <v>49.46</v>
      </c>
      <c r="G29" s="22" t="n">
        <v>88.25606000000001</v>
      </c>
      <c r="H29" s="23">
        <f>IF(AND(ISNUMBER(F29),ISNUMBER(G29),F29&gt;0),G29/F29-1,"")</f>
        <v/>
      </c>
      <c r="I29" s="22" t="n">
        <v>80.06238999999999</v>
      </c>
      <c r="J29" s="23">
        <f>IF(AND(ISNUMBER(F29),ISNUMBER(I29),F29&gt;0),I29/F29-1,"")</f>
        <v/>
      </c>
      <c r="K29" s="22" t="n">
        <v>99.67856999999999</v>
      </c>
      <c r="L29" s="23">
        <f>IF(AND(ISNUMBER(F29),ISNUMBER(K29),F29&gt;0),K29/F29-1,"")</f>
        <v/>
      </c>
      <c r="M29" s="24" t="n">
        <v>4</v>
      </c>
      <c r="N29" s="25" t="n">
        <v>0.67</v>
      </c>
      <c r="O29" s="26">
        <f>IF(AND(ISNUMBER(F29),ISNUMBER(N29),F29&gt;0),N29/F29,"")</f>
        <v/>
      </c>
      <c r="P29" s="27" t="n">
        <v>46160</v>
      </c>
      <c r="Q29" s="27" t="n">
        <v>46344</v>
      </c>
      <c r="R29" s="25" t="n">
        <v>3.64</v>
      </c>
      <c r="S29" s="28">
        <f>IF(AND(ISNUMBER(F29),ISNUMBER(R29),R29&gt;0),F29/R29,"")</f>
        <v/>
      </c>
      <c r="T29" s="27" t="n">
        <v>46323</v>
      </c>
    </row>
    <row r="30">
      <c r="A30" s="11" t="inlineStr">
        <is>
          <t>COST</t>
        </is>
      </c>
      <c r="B30" s="11" t="inlineStr">
        <is>
          <t>Costco Wholesale Corporation</t>
        </is>
      </c>
      <c r="C30" s="11" t="inlineStr">
        <is>
          <t>Discount Stores</t>
        </is>
      </c>
      <c r="D30" s="11" t="inlineStr">
        <is>
          <t>United States</t>
        </is>
      </c>
      <c r="E30" s="12" t="n">
        <v>439.64</v>
      </c>
      <c r="F30" s="13" t="n">
        <v>992.13</v>
      </c>
      <c r="G30" s="13" t="n">
        <v>1067.5946</v>
      </c>
      <c r="H30" s="14">
        <f>IF(AND(ISNUMBER(F30),ISNUMBER(G30),F30&gt;0),G30/F30-1,"")</f>
        <v/>
      </c>
      <c r="I30" s="13" t="n">
        <v>770</v>
      </c>
      <c r="J30" s="14">
        <f>IF(AND(ISNUMBER(F30),ISNUMBER(I30),F30&gt;0),I30/F30-1,"")</f>
        <v/>
      </c>
      <c r="K30" s="13" t="n">
        <v>1315</v>
      </c>
      <c r="L30" s="14">
        <f>IF(AND(ISNUMBER(F30),ISNUMBER(K30),F30&gt;0),K30/F30-1,"")</f>
        <v/>
      </c>
      <c r="M30" s="15" t="n">
        <v>37</v>
      </c>
      <c r="N30" s="16" t="n">
        <v>5.88</v>
      </c>
      <c r="O30" s="17">
        <f>IF(AND(ISNUMBER(F30),ISNUMBER(N30),F30&gt;0),N30/F30,"")</f>
        <v/>
      </c>
      <c r="P30" s="18" t="n">
        <v>46325</v>
      </c>
      <c r="Q30" s="18" t="n">
        <v>46366</v>
      </c>
      <c r="R30" s="16" t="n">
        <v>20.76</v>
      </c>
      <c r="S30" s="19">
        <f>IF(AND(ISNUMBER(F30),ISNUMBER(R30),R30&gt;0),F30/R30,"")</f>
        <v/>
      </c>
      <c r="T30" s="18" t="n">
        <v>46323</v>
      </c>
    </row>
    <row r="31">
      <c r="A31" s="20" t="inlineStr">
        <is>
          <t>CSCO</t>
        </is>
      </c>
      <c r="B31" s="20" t="inlineStr">
        <is>
          <t>Cisco Systems, Inc.</t>
        </is>
      </c>
      <c r="C31" s="20" t="inlineStr">
        <is>
          <t>Communication Equipment</t>
        </is>
      </c>
      <c r="D31" s="20" t="inlineStr">
        <is>
          <t>United States</t>
        </is>
      </c>
      <c r="E31" s="21" t="n">
        <v>439.13</v>
      </c>
      <c r="F31" s="22" t="n">
        <v>111.38</v>
      </c>
      <c r="G31" s="22" t="n">
        <v>136.16</v>
      </c>
      <c r="H31" s="23">
        <f>IF(AND(ISNUMBER(F31),ISNUMBER(G31),F31&gt;0),G31/F31-1,"")</f>
        <v/>
      </c>
      <c r="I31" s="22" t="n">
        <v>110</v>
      </c>
      <c r="J31" s="23">
        <f>IF(AND(ISNUMBER(F31),ISNUMBER(I31),F31&gt;0),I31/F31-1,"")</f>
        <v/>
      </c>
      <c r="K31" s="22" t="n">
        <v>170</v>
      </c>
      <c r="L31" s="23">
        <f>IF(AND(ISNUMBER(F31),ISNUMBER(K31),F31&gt;0),K31/F31-1,"")</f>
        <v/>
      </c>
      <c r="M31" s="24" t="n">
        <v>25</v>
      </c>
      <c r="N31" s="25" t="n">
        <v>1.68</v>
      </c>
      <c r="O31" s="26">
        <f>IF(AND(ISNUMBER(F31),ISNUMBER(N31),F31&gt;0),N31/F31,"")</f>
        <v/>
      </c>
      <c r="P31" s="27" t="n">
        <v>46297</v>
      </c>
      <c r="Q31" s="27" t="n">
        <v>46338</v>
      </c>
      <c r="R31" s="25" t="n">
        <v>3.33</v>
      </c>
      <c r="S31" s="28">
        <f>IF(AND(ISNUMBER(F31),ISNUMBER(R31),R31&gt;0),F31/R31,"")</f>
        <v/>
      </c>
      <c r="T31" s="27" t="n">
        <v>46323</v>
      </c>
    </row>
    <row r="32">
      <c r="A32" s="11" t="inlineStr">
        <is>
          <t>ORCL</t>
        </is>
      </c>
      <c r="B32" s="11" t="inlineStr">
        <is>
          <t>Oracle Corporation</t>
        </is>
      </c>
      <c r="C32" s="11" t="inlineStr">
        <is>
          <t>Software - Infrastructure</t>
        </is>
      </c>
      <c r="D32" s="11" t="inlineStr">
        <is>
          <t>United States</t>
        </is>
      </c>
      <c r="E32" s="12" t="n">
        <v>395.7</v>
      </c>
      <c r="F32" s="13" t="n">
        <v>130.53</v>
      </c>
      <c r="G32" s="13" t="n">
        <v>235.8034</v>
      </c>
      <c r="H32" s="14">
        <f>IF(AND(ISNUMBER(F32),ISNUMBER(G32),F32&gt;0),G32/F32-1,"")</f>
        <v/>
      </c>
      <c r="I32" s="13" t="n">
        <v>110</v>
      </c>
      <c r="J32" s="14">
        <f>IF(AND(ISNUMBER(F32),ISNUMBER(I32),F32&gt;0),I32/F32-1,"")</f>
        <v/>
      </c>
      <c r="K32" s="13" t="n">
        <v>400</v>
      </c>
      <c r="L32" s="14">
        <f>IF(AND(ISNUMBER(F32),ISNUMBER(K32),F32&gt;0),K32/F32-1,"")</f>
        <v/>
      </c>
      <c r="M32" s="15" t="n">
        <v>41</v>
      </c>
      <c r="N32" s="16" t="n">
        <v>2</v>
      </c>
      <c r="O32" s="17">
        <f>IF(AND(ISNUMBER(F32),ISNUMBER(N32),F32&gt;0),N32/F32,"")</f>
        <v/>
      </c>
      <c r="P32" s="18" t="n">
        <v>46304</v>
      </c>
      <c r="Q32" s="18" t="n">
        <v>46370</v>
      </c>
      <c r="R32" s="16" t="n">
        <v>6.38</v>
      </c>
      <c r="S32" s="19">
        <f>IF(AND(ISNUMBER(F32),ISNUMBER(R32),R32&gt;0),F32/R32,"")</f>
        <v/>
      </c>
      <c r="T32" s="18" t="n">
        <v>46323</v>
      </c>
    </row>
    <row r="33">
      <c r="A33" s="20" t="inlineStr">
        <is>
          <t>KO</t>
        </is>
      </c>
      <c r="B33" s="20" t="inlineStr">
        <is>
          <t>Coca-Cola Company (The)</t>
        </is>
      </c>
      <c r="C33" s="20" t="inlineStr">
        <is>
          <t>Beverages - Non-Alcoholic</t>
        </is>
      </c>
      <c r="D33" s="20" t="inlineStr">
        <is>
          <t>United States</t>
        </is>
      </c>
      <c r="E33" s="21" t="n">
        <v>392.31</v>
      </c>
      <c r="F33" s="22" t="n">
        <v>91.18000000000001</v>
      </c>
      <c r="G33" s="22" t="n">
        <v>95.625</v>
      </c>
      <c r="H33" s="23">
        <f>IF(AND(ISNUMBER(F33),ISNUMBER(G33),F33&gt;0),G33/F33-1,"")</f>
        <v/>
      </c>
      <c r="I33" s="22" t="n">
        <v>80</v>
      </c>
      <c r="J33" s="23">
        <f>IF(AND(ISNUMBER(F33),ISNUMBER(I33),F33&gt;0),I33/F33-1,"")</f>
        <v/>
      </c>
      <c r="K33" s="22" t="n">
        <v>104</v>
      </c>
      <c r="L33" s="23">
        <f>IF(AND(ISNUMBER(F33),ISNUMBER(K33),F33&gt;0),K33/F33-1,"")</f>
        <v/>
      </c>
      <c r="M33" s="24" t="n">
        <v>24</v>
      </c>
      <c r="N33" s="25" t="n">
        <v>2.12</v>
      </c>
      <c r="O33" s="26">
        <f>IF(AND(ISNUMBER(F33),ISNUMBER(N33),F33&gt;0),N33/F33,"")</f>
        <v/>
      </c>
      <c r="P33" s="27" t="n">
        <v>46357</v>
      </c>
      <c r="Q33" s="27" t="n">
        <v>46322</v>
      </c>
      <c r="R33" s="25" t="n">
        <v>3.33</v>
      </c>
      <c r="S33" s="28">
        <f>IF(AND(ISNUMBER(F33),ISNUMBER(R33),R33&gt;0),F33/R33,"")</f>
        <v/>
      </c>
      <c r="T33" s="27" t="n">
        <v>46323</v>
      </c>
    </row>
    <row r="34">
      <c r="A34" s="11" t="inlineStr">
        <is>
          <t>RHHBY</t>
        </is>
      </c>
      <c r="B34" s="11" t="inlineStr">
        <is>
          <t>Roche Holding Ltd</t>
        </is>
      </c>
      <c r="C34" s="11" t="inlineStr">
        <is>
          <t>Drug Manufacturers - General</t>
        </is>
      </c>
      <c r="D34" s="11" t="inlineStr">
        <is>
          <t>Switzerland</t>
        </is>
      </c>
      <c r="E34" s="12" t="n">
        <v>384.42</v>
      </c>
      <c r="F34" s="13" t="n">
        <v>60.31</v>
      </c>
      <c r="G34" s="13" t="n">
        <v>60.01429</v>
      </c>
      <c r="H34" s="14">
        <f>IF(AND(ISNUMBER(F34),ISNUMBER(G34),F34&gt;0),G34/F34-1,"")</f>
        <v/>
      </c>
      <c r="I34" s="13" t="n">
        <v>52</v>
      </c>
      <c r="J34" s="14">
        <f>IF(AND(ISNUMBER(F34),ISNUMBER(I34),F34&gt;0),I34/F34-1,"")</f>
        <v/>
      </c>
      <c r="K34" s="13" t="n">
        <v>67.09999999999999</v>
      </c>
      <c r="L34" s="14">
        <f>IF(AND(ISNUMBER(F34),ISNUMBER(K34),F34&gt;0),K34/F34-1,"")</f>
        <v/>
      </c>
      <c r="M34" s="15" t="n">
        <v>7</v>
      </c>
      <c r="N34" s="16" t="n">
        <v>1.55</v>
      </c>
      <c r="O34" s="17">
        <f>IF(AND(ISNUMBER(F34),ISNUMBER(N34),F34&gt;0),N34/F34,"")</f>
        <v/>
      </c>
      <c r="P34" s="18" t="n">
        <v>46094</v>
      </c>
      <c r="Q34" s="18" t="n">
        <v>46051</v>
      </c>
      <c r="R34" s="16" t="n">
        <v>2.41</v>
      </c>
      <c r="S34" s="19">
        <f>IF(AND(ISNUMBER(F34),ISNUMBER(R34),R34&gt;0),F34/R34,"")</f>
        <v/>
      </c>
      <c r="T34" s="18" t="n">
        <v>46323</v>
      </c>
    </row>
    <row r="35">
      <c r="A35" s="20" t="inlineStr">
        <is>
          <t>PG</t>
        </is>
      </c>
      <c r="B35" s="20" t="inlineStr">
        <is>
          <t>Procter &amp; Gamble Company (The)</t>
        </is>
      </c>
      <c r="C35" s="20" t="inlineStr">
        <is>
          <t>Household &amp; Personal Products</t>
        </is>
      </c>
      <c r="D35" s="20" t="inlineStr">
        <is>
          <t>United States</t>
        </is>
      </c>
      <c r="E35" s="21" t="n">
        <v>369.06</v>
      </c>
      <c r="F35" s="22" t="n">
        <v>159.23</v>
      </c>
      <c r="G35" s="22" t="n">
        <v>173.30435</v>
      </c>
      <c r="H35" s="23">
        <f>IF(AND(ISNUMBER(F35),ISNUMBER(G35),F35&gt;0),G35/F35-1,"")</f>
        <v/>
      </c>
      <c r="I35" s="22" t="n">
        <v>143</v>
      </c>
      <c r="J35" s="23">
        <f>IF(AND(ISNUMBER(F35),ISNUMBER(I35),F35&gt;0),I35/F35-1,"")</f>
        <v/>
      </c>
      <c r="K35" s="22" t="n">
        <v>190</v>
      </c>
      <c r="L35" s="23">
        <f>IF(AND(ISNUMBER(F35),ISNUMBER(K35),F35&gt;0),K35/F35-1,"")</f>
        <v/>
      </c>
      <c r="M35" s="24" t="n">
        <v>23</v>
      </c>
      <c r="N35" s="25" t="n">
        <v>4.35</v>
      </c>
      <c r="O35" s="26">
        <f>IF(AND(ISNUMBER(F35),ISNUMBER(N35),F35&gt;0),N35/F35,"")</f>
        <v/>
      </c>
      <c r="P35" s="27" t="n">
        <v>46318</v>
      </c>
      <c r="Q35" s="27" t="n">
        <v>46408</v>
      </c>
      <c r="R35" s="25" t="n">
        <v>6.64</v>
      </c>
      <c r="S35" s="28">
        <f>IF(AND(ISNUMBER(F35),ISNUMBER(R35),R35&gt;0),F35/R35,"")</f>
        <v/>
      </c>
      <c r="T35" s="27" t="n">
        <v>46323</v>
      </c>
    </row>
    <row r="36">
      <c r="A36" s="11" t="inlineStr">
        <is>
          <t>UNH</t>
        </is>
      </c>
      <c r="B36" s="11" t="inlineStr">
        <is>
          <t>UnitedHealth Group Incorporated</t>
        </is>
      </c>
      <c r="C36" s="11" t="inlineStr">
        <is>
          <t>Healthcare Plans</t>
        </is>
      </c>
      <c r="D36" s="11" t="inlineStr">
        <is>
          <t>United States</t>
        </is>
      </c>
      <c r="E36" s="12" t="n">
        <v>368.36</v>
      </c>
      <c r="F36" s="13" t="n">
        <v>410.39</v>
      </c>
      <c r="G36" s="13" t="n">
        <v>476.64</v>
      </c>
      <c r="H36" s="14">
        <f>IF(AND(ISNUMBER(F36),ISNUMBER(G36),F36&gt;0),G36/F36-1,"")</f>
        <v/>
      </c>
      <c r="I36" s="13" t="n">
        <v>380</v>
      </c>
      <c r="J36" s="14">
        <f>IF(AND(ISNUMBER(F36),ISNUMBER(I36),F36&gt;0),I36/F36-1,"")</f>
        <v/>
      </c>
      <c r="K36" s="13" t="n">
        <v>531</v>
      </c>
      <c r="L36" s="14">
        <f>IF(AND(ISNUMBER(F36),ISNUMBER(K36),F36&gt;0),K36/F36-1,"")</f>
        <v/>
      </c>
      <c r="M36" s="15" t="n">
        <v>25</v>
      </c>
      <c r="N36" s="16" t="n">
        <v>9.279999999999999</v>
      </c>
      <c r="O36" s="17">
        <f>IF(AND(ISNUMBER(F36),ISNUMBER(N36),F36&gt;0),N36/F36,"")</f>
        <v/>
      </c>
      <c r="P36" s="18" t="n">
        <v>46279</v>
      </c>
      <c r="Q36" s="18" t="n">
        <v>46399</v>
      </c>
      <c r="R36" s="16" t="n">
        <v>15.55</v>
      </c>
      <c r="S36" s="19">
        <f>IF(AND(ISNUMBER(F36),ISNUMBER(R36),R36&gt;0),F36/R36,"")</f>
        <v/>
      </c>
      <c r="T36" s="18" t="n">
        <v>46323</v>
      </c>
    </row>
    <row r="37">
      <c r="A37" s="20" t="inlineStr">
        <is>
          <t>BAC</t>
        </is>
      </c>
      <c r="B37" s="20" t="inlineStr">
        <is>
          <t>Bank of America Corporation</t>
        </is>
      </c>
      <c r="C37" s="20" t="inlineStr">
        <is>
          <t>Banks - Diversified</t>
        </is>
      </c>
      <c r="D37" s="20" t="inlineStr">
        <is>
          <t>United States</t>
        </is>
      </c>
      <c r="E37" s="21" t="n">
        <v>350.84</v>
      </c>
      <c r="F37" s="22" t="n">
        <v>50.68</v>
      </c>
      <c r="G37" s="22" t="n">
        <v>62.95455</v>
      </c>
      <c r="H37" s="23">
        <f>IF(AND(ISNUMBER(F37),ISNUMBER(G37),F37&gt;0),G37/F37-1,"")</f>
        <v/>
      </c>
      <c r="I37" s="22" t="n">
        <v>56</v>
      </c>
      <c r="J37" s="23">
        <f>IF(AND(ISNUMBER(F37),ISNUMBER(I37),F37&gt;0),I37/F37-1,"")</f>
        <v/>
      </c>
      <c r="K37" s="22" t="n">
        <v>71</v>
      </c>
      <c r="L37" s="23">
        <f>IF(AND(ISNUMBER(F37),ISNUMBER(K37),F37&gt;0),K37/F37-1,"")</f>
        <v/>
      </c>
      <c r="M37" s="24" t="n">
        <v>22</v>
      </c>
      <c r="N37" s="25" t="n">
        <v>1.28</v>
      </c>
      <c r="O37" s="26">
        <f>IF(AND(ISNUMBER(F37),ISNUMBER(N37),F37&gt;0),N37/F37,"")</f>
        <v/>
      </c>
      <c r="P37" s="27" t="n">
        <v>46360</v>
      </c>
      <c r="Q37" s="27" t="n">
        <v>46402</v>
      </c>
      <c r="R37" s="25" t="n">
        <v>4.19</v>
      </c>
      <c r="S37" s="28">
        <f>IF(AND(ISNUMBER(F37),ISNUMBER(R37),R37&gt;0),F37/R37,"")</f>
        <v/>
      </c>
      <c r="T37" s="27" t="n">
        <v>46323</v>
      </c>
    </row>
    <row r="38">
      <c r="A38" s="11" t="inlineStr">
        <is>
          <t>MRK</t>
        </is>
      </c>
      <c r="B38" s="11" t="inlineStr">
        <is>
          <t>Merck &amp; Company, Inc.</t>
        </is>
      </c>
      <c r="C38" s="11" t="inlineStr">
        <is>
          <t>Drug Manufacturers - General</t>
        </is>
      </c>
      <c r="D38" s="11" t="inlineStr">
        <is>
          <t>United States</t>
        </is>
      </c>
      <c r="E38" s="12" t="n">
        <v>349.89</v>
      </c>
      <c r="F38" s="13" t="n">
        <v>141.82</v>
      </c>
      <c r="G38" s="13" t="n">
        <v>159.76</v>
      </c>
      <c r="H38" s="14">
        <f>IF(AND(ISNUMBER(F38),ISNUMBER(G38),F38&gt;0),G38/F38-1,"")</f>
        <v/>
      </c>
      <c r="I38" s="13" t="n">
        <v>105</v>
      </c>
      <c r="J38" s="14">
        <f>IF(AND(ISNUMBER(F38),ISNUMBER(I38),F38&gt;0),I38/F38-1,"")</f>
        <v/>
      </c>
      <c r="K38" s="13" t="n">
        <v>186</v>
      </c>
      <c r="L38" s="14">
        <f>IF(AND(ISNUMBER(F38),ISNUMBER(K38),F38&gt;0),K38/F38-1,"")</f>
        <v/>
      </c>
      <c r="M38" s="15" t="n">
        <v>25</v>
      </c>
      <c r="N38" s="16" t="n">
        <v>3.4</v>
      </c>
      <c r="O38" s="17">
        <f>IF(AND(ISNUMBER(F38),ISNUMBER(N38),F38&gt;0),N38/F38,"")</f>
        <v/>
      </c>
      <c r="P38" s="18" t="n">
        <v>46280</v>
      </c>
      <c r="Q38" s="18" t="n">
        <v>46324</v>
      </c>
      <c r="R38" s="16" t="n">
        <v>1.24</v>
      </c>
      <c r="S38" s="19">
        <f>IF(AND(ISNUMBER(F38),ISNUMBER(R38),R38&gt;0),F38/R38,"")</f>
        <v/>
      </c>
      <c r="T38" s="18" t="n">
        <v>46323</v>
      </c>
    </row>
    <row r="39">
      <c r="A39" s="20" t="inlineStr">
        <is>
          <t>PANW</t>
        </is>
      </c>
      <c r="B39" s="20" t="inlineStr">
        <is>
          <t>Palo Alto Networks, Inc.</t>
        </is>
      </c>
      <c r="C39" s="20" t="inlineStr">
        <is>
          <t>Software - Infrastructure</t>
        </is>
      </c>
      <c r="D39" s="20" t="inlineStr">
        <is>
          <t>United States</t>
        </is>
      </c>
      <c r="E39" s="21" t="n">
        <v>328.59</v>
      </c>
      <c r="F39" s="22" t="n">
        <v>401.7</v>
      </c>
      <c r="G39" s="22" t="n">
        <v>398.52</v>
      </c>
      <c r="H39" s="23">
        <f>IF(AND(ISNUMBER(F39),ISNUMBER(G39),F39&gt;0),G39/F39-1,"")</f>
        <v/>
      </c>
      <c r="I39" s="22" t="n">
        <v>190</v>
      </c>
      <c r="J39" s="23">
        <f>IF(AND(ISNUMBER(F39),ISNUMBER(I39),F39&gt;0),I39/F39-1,"")</f>
        <v/>
      </c>
      <c r="K39" s="22" t="n">
        <v>525</v>
      </c>
      <c r="L39" s="23">
        <f>IF(AND(ISNUMBER(F39),ISNUMBER(K39),F39&gt;0),K39/F39-1,"")</f>
        <v/>
      </c>
      <c r="M39" s="24" t="n">
        <v>50</v>
      </c>
      <c r="N39" s="25" t="n"/>
      <c r="O39" s="26">
        <f>IF(AND(ISNUMBER(F39),ISNUMBER(N39),F39&gt;0),N39/F39,"")</f>
        <v/>
      </c>
      <c r="P39" s="27" t="n"/>
      <c r="Q39" s="27" t="n">
        <v>46345</v>
      </c>
      <c r="R39" s="25" t="n">
        <v>0.4</v>
      </c>
      <c r="S39" s="28">
        <f>IF(AND(ISNUMBER(F39),ISNUMBER(R39),R39&gt;0),F39/R39,"")</f>
        <v/>
      </c>
      <c r="T39" s="27" t="n">
        <v>46323</v>
      </c>
    </row>
    <row r="40">
      <c r="A40" s="11" t="inlineStr">
        <is>
          <t>CAT</t>
        </is>
      </c>
      <c r="B40" s="11" t="inlineStr">
        <is>
          <t>Caterpillar, Inc.</t>
        </is>
      </c>
      <c r="C40" s="11" t="inlineStr">
        <is>
          <t>Farm &amp; Heavy Construction Machinery</t>
        </is>
      </c>
      <c r="D40" s="11" t="inlineStr">
        <is>
          <t>United States</t>
        </is>
      </c>
      <c r="E40" s="12" t="n">
        <v>327.89</v>
      </c>
      <c r="F40" s="13" t="n">
        <v>713.3099999999999</v>
      </c>
      <c r="G40" s="13" t="n">
        <v>926.9139</v>
      </c>
      <c r="H40" s="14">
        <f>IF(AND(ISNUMBER(F40),ISNUMBER(G40),F40&gt;0),G40/F40-1,"")</f>
        <v/>
      </c>
      <c r="I40" s="13" t="n">
        <v>575</v>
      </c>
      <c r="J40" s="14">
        <f>IF(AND(ISNUMBER(F40),ISNUMBER(I40),F40&gt;0),I40/F40-1,"")</f>
        <v/>
      </c>
      <c r="K40" s="13" t="n">
        <v>1150</v>
      </c>
      <c r="L40" s="14">
        <f>IF(AND(ISNUMBER(F40),ISNUMBER(K40),F40&gt;0),K40/F40-1,"")</f>
        <v/>
      </c>
      <c r="M40" s="15" t="n">
        <v>26</v>
      </c>
      <c r="N40" s="16" t="n">
        <v>6.52</v>
      </c>
      <c r="O40" s="17">
        <f>IF(AND(ISNUMBER(F40),ISNUMBER(N40),F40&gt;0),N40/F40,"")</f>
        <v/>
      </c>
      <c r="P40" s="18" t="n">
        <v>46321</v>
      </c>
      <c r="Q40" s="18" t="n">
        <v>46324</v>
      </c>
      <c r="R40" s="16" t="n">
        <v>23.23</v>
      </c>
      <c r="S40" s="19">
        <f>IF(AND(ISNUMBER(F40),ISNUMBER(R40),R40&gt;0),F40/R40,"")</f>
        <v/>
      </c>
      <c r="T40" s="18" t="n">
        <v>46323</v>
      </c>
    </row>
    <row r="41">
      <c r="A41" s="20" t="inlineStr">
        <is>
          <t>DELL</t>
        </is>
      </c>
      <c r="B41" s="20" t="inlineStr">
        <is>
          <t>Dell Technologies Inc.</t>
        </is>
      </c>
      <c r="C41" s="20" t="inlineStr">
        <is>
          <t>Computer Hardware</t>
        </is>
      </c>
      <c r="D41" s="20" t="inlineStr">
        <is>
          <t>United States</t>
        </is>
      </c>
      <c r="E41" s="21" t="n">
        <v>319.15</v>
      </c>
      <c r="F41" s="22" t="n">
        <v>501.96</v>
      </c>
      <c r="G41" s="22" t="n">
        <v>595</v>
      </c>
      <c r="H41" s="23">
        <f>IF(AND(ISNUMBER(F41),ISNUMBER(G41),F41&gt;0),G41/F41-1,"")</f>
        <v/>
      </c>
      <c r="I41" s="22" t="n">
        <v>490</v>
      </c>
      <c r="J41" s="23">
        <f>IF(AND(ISNUMBER(F41),ISNUMBER(I41),F41&gt;0),I41/F41-1,"")</f>
        <v/>
      </c>
      <c r="K41" s="22" t="n">
        <v>735</v>
      </c>
      <c r="L41" s="23">
        <f>IF(AND(ISNUMBER(F41),ISNUMBER(K41),F41&gt;0),K41/F41-1,"")</f>
        <v/>
      </c>
      <c r="M41" s="24" t="n">
        <v>25</v>
      </c>
      <c r="N41" s="25" t="n">
        <v>2.52</v>
      </c>
      <c r="O41" s="26">
        <f>IF(AND(ISNUMBER(F41),ISNUMBER(N41),F41&gt;0),N41/F41,"")</f>
        <v/>
      </c>
      <c r="P41" s="27" t="n">
        <v>46315</v>
      </c>
      <c r="Q41" s="27" t="n">
        <v>46353</v>
      </c>
      <c r="R41" s="25" t="n">
        <v>17.2</v>
      </c>
      <c r="S41" s="28">
        <f>IF(AND(ISNUMBER(F41),ISNUMBER(R41),R41&gt;0),F41/R41,"")</f>
        <v/>
      </c>
      <c r="T41" s="27" t="n">
        <v>46323</v>
      </c>
    </row>
    <row r="42">
      <c r="A42" s="11" t="inlineStr">
        <is>
          <t>HD</t>
        </is>
      </c>
      <c r="B42" s="11" t="inlineStr">
        <is>
          <t>Home Depot, Inc. (The)</t>
        </is>
      </c>
      <c r="C42" s="11" t="inlineStr">
        <is>
          <t>Home Improvement Retail</t>
        </is>
      </c>
      <c r="D42" s="11" t="inlineStr">
        <is>
          <t>United States</t>
        </is>
      </c>
      <c r="E42" s="12" t="n">
        <v>317.76</v>
      </c>
      <c r="F42" s="13" t="n">
        <v>318.5</v>
      </c>
      <c r="G42" s="13" t="n">
        <v>379</v>
      </c>
      <c r="H42" s="14">
        <f>IF(AND(ISNUMBER(F42),ISNUMBER(G42),F42&gt;0),G42/F42-1,"")</f>
        <v/>
      </c>
      <c r="I42" s="13" t="n">
        <v>310</v>
      </c>
      <c r="J42" s="14">
        <f>IF(AND(ISNUMBER(F42),ISNUMBER(I42),F42&gt;0),I42/F42-1,"")</f>
        <v/>
      </c>
      <c r="K42" s="13" t="n">
        <v>425</v>
      </c>
      <c r="L42" s="14">
        <f>IF(AND(ISNUMBER(F42),ISNUMBER(K42),F42&gt;0),K42/F42-1,"")</f>
        <v/>
      </c>
      <c r="M42" s="15" t="n">
        <v>32</v>
      </c>
      <c r="N42" s="16" t="n">
        <v>9.32</v>
      </c>
      <c r="O42" s="17">
        <f>IF(AND(ISNUMBER(F42),ISNUMBER(N42),F42&gt;0),N42/F42,"")</f>
        <v/>
      </c>
      <c r="P42" s="18" t="n">
        <v>46268</v>
      </c>
      <c r="Q42" s="18" t="n">
        <v>46343</v>
      </c>
      <c r="R42" s="16" t="n">
        <v>14.29</v>
      </c>
      <c r="S42" s="19">
        <f>IF(AND(ISNUMBER(F42),ISNUMBER(R42),R42&gt;0),F42/R42,"")</f>
        <v/>
      </c>
      <c r="T42" s="18" t="n">
        <v>46323</v>
      </c>
    </row>
    <row r="43">
      <c r="A43" s="20" t="inlineStr">
        <is>
          <t>PM</t>
        </is>
      </c>
      <c r="B43" s="20" t="inlineStr">
        <is>
          <t>Philip Morris International Inc</t>
        </is>
      </c>
      <c r="C43" s="20" t="inlineStr">
        <is>
          <t>Tobacco</t>
        </is>
      </c>
      <c r="D43" s="20" t="inlineStr">
        <is>
          <t>United States</t>
        </is>
      </c>
      <c r="E43" s="21" t="n">
        <v>315.81</v>
      </c>
      <c r="F43" s="22" t="n">
        <v>202.62</v>
      </c>
      <c r="G43" s="22" t="n">
        <v>210.46667</v>
      </c>
      <c r="H43" s="23">
        <f>IF(AND(ISNUMBER(F43),ISNUMBER(G43),F43&gt;0),G43/F43-1,"")</f>
        <v/>
      </c>
      <c r="I43" s="22" t="n">
        <v>175</v>
      </c>
      <c r="J43" s="23">
        <f>IF(AND(ISNUMBER(F43),ISNUMBER(I43),F43&gt;0),I43/F43-1,"")</f>
        <v/>
      </c>
      <c r="K43" s="22" t="n">
        <v>230</v>
      </c>
      <c r="L43" s="23">
        <f>IF(AND(ISNUMBER(F43),ISNUMBER(K43),F43&gt;0),K43/F43-1,"")</f>
        <v/>
      </c>
      <c r="M43" s="24" t="n">
        <v>15</v>
      </c>
      <c r="N43" s="25" t="n">
        <v>6.4</v>
      </c>
      <c r="O43" s="26">
        <f>IF(AND(ISNUMBER(F43),ISNUMBER(N43),F43&gt;0),N43/F43,"")</f>
        <v/>
      </c>
      <c r="P43" s="27" t="n">
        <v>46297</v>
      </c>
      <c r="Q43" s="27" t="n">
        <v>46316</v>
      </c>
      <c r="R43" s="25" t="n">
        <v>6.85</v>
      </c>
      <c r="S43" s="28">
        <f>IF(AND(ISNUMBER(F43),ISNUMBER(R43),R43&gt;0),F43/R43,"")</f>
        <v/>
      </c>
      <c r="T43" s="27" t="n">
        <v>46323</v>
      </c>
    </row>
    <row r="44">
      <c r="A44" s="11" t="inlineStr">
        <is>
          <t>AMAT</t>
        </is>
      </c>
      <c r="B44" s="11" t="inlineStr">
        <is>
          <t>Applied Materials, Inc.</t>
        </is>
      </c>
      <c r="C44" s="11" t="inlineStr">
        <is>
          <t>Semiconductor Equipment &amp; Materials</t>
        </is>
      </c>
      <c r="D44" s="11" t="inlineStr">
        <is>
          <t>United States</t>
        </is>
      </c>
      <c r="E44" s="12" t="n">
        <v>314.21</v>
      </c>
      <c r="F44" s="13" t="n">
        <v>395.93</v>
      </c>
      <c r="G44" s="13" t="n">
        <v>627.8333</v>
      </c>
      <c r="H44" s="14">
        <f>IF(AND(ISNUMBER(F44),ISNUMBER(G44),F44&gt;0),G44/F44-1,"")</f>
        <v/>
      </c>
      <c r="I44" s="13" t="n">
        <v>358</v>
      </c>
      <c r="J44" s="14">
        <f>IF(AND(ISNUMBER(F44),ISNUMBER(I44),F44&gt;0),I44/F44-1,"")</f>
        <v/>
      </c>
      <c r="K44" s="13" t="n">
        <v>900</v>
      </c>
      <c r="L44" s="14">
        <f>IF(AND(ISNUMBER(F44),ISNUMBER(K44),F44&gt;0),K44/F44-1,"")</f>
        <v/>
      </c>
      <c r="M44" s="15" t="n">
        <v>36</v>
      </c>
      <c r="N44" s="16" t="n">
        <v>2.12</v>
      </c>
      <c r="O44" s="17">
        <f>IF(AND(ISNUMBER(F44),ISNUMBER(N44),F44&gt;0),N44/F44,"")</f>
        <v/>
      </c>
      <c r="P44" s="18" t="n">
        <v>46345</v>
      </c>
      <c r="Q44" s="18" t="n">
        <v>46338</v>
      </c>
      <c r="R44" s="16" t="n">
        <v>11.59</v>
      </c>
      <c r="S44" s="19">
        <f>IF(AND(ISNUMBER(F44),ISNUMBER(R44),R44&gt;0),F44/R44,"")</f>
        <v/>
      </c>
      <c r="T44" s="18" t="n">
        <v>46323</v>
      </c>
    </row>
    <row r="45">
      <c r="A45" s="20" t="inlineStr">
        <is>
          <t>GE</t>
        </is>
      </c>
      <c r="B45" s="20" t="inlineStr">
        <is>
          <t>GE Aerospace</t>
        </is>
      </c>
      <c r="C45" s="20" t="inlineStr">
        <is>
          <t>Aerospace &amp; Defense</t>
        </is>
      </c>
      <c r="D45" s="20" t="inlineStr">
        <is>
          <t>United States</t>
        </is>
      </c>
      <c r="E45" s="21" t="n">
        <v>308.84</v>
      </c>
      <c r="F45" s="22" t="n">
        <v>297.66</v>
      </c>
      <c r="G45" s="22" t="n">
        <v>378.42856</v>
      </c>
      <c r="H45" s="23">
        <f>IF(AND(ISNUMBER(F45),ISNUMBER(G45),F45&gt;0),G45/F45-1,"")</f>
        <v/>
      </c>
      <c r="I45" s="22" t="n">
        <v>280</v>
      </c>
      <c r="J45" s="23">
        <f>IF(AND(ISNUMBER(F45),ISNUMBER(I45),F45&gt;0),I45/F45-1,"")</f>
        <v/>
      </c>
      <c r="K45" s="22" t="n">
        <v>431</v>
      </c>
      <c r="L45" s="23">
        <f>IF(AND(ISNUMBER(F45),ISNUMBER(K45),F45&gt;0),K45/F45-1,"")</f>
        <v/>
      </c>
      <c r="M45" s="24" t="n">
        <v>21</v>
      </c>
      <c r="N45" s="25" t="n">
        <v>1.88</v>
      </c>
      <c r="O45" s="26">
        <f>IF(AND(ISNUMBER(F45),ISNUMBER(N45),F45&gt;0),N45/F45,"")</f>
        <v/>
      </c>
      <c r="P45" s="27" t="n">
        <v>46300</v>
      </c>
      <c r="Q45" s="27" t="n">
        <v>46408</v>
      </c>
      <c r="R45" s="25" t="n">
        <v>8.75</v>
      </c>
      <c r="S45" s="28">
        <f>IF(AND(ISNUMBER(F45),ISNUMBER(R45),R45&gt;0),F45/R45,"")</f>
        <v/>
      </c>
      <c r="T45" s="27" t="n">
        <v>46323</v>
      </c>
    </row>
    <row r="46">
      <c r="A46" s="11" t="inlineStr">
        <is>
          <t>LRCX</t>
        </is>
      </c>
      <c r="B46" s="11" t="inlineStr">
        <is>
          <t>Lam Research Corporation</t>
        </is>
      </c>
      <c r="C46" s="11" t="inlineStr">
        <is>
          <t>Semiconductor Equipment &amp; Materials</t>
        </is>
      </c>
      <c r="D46" s="11" t="inlineStr">
        <is>
          <t>United States</t>
        </is>
      </c>
      <c r="E46" s="12" t="n">
        <v>301.41</v>
      </c>
      <c r="F46" s="13" t="n">
        <v>240.85</v>
      </c>
      <c r="G46" s="13" t="n">
        <v>364.03333</v>
      </c>
      <c r="H46" s="14">
        <f>IF(AND(ISNUMBER(F46),ISNUMBER(G46),F46&gt;0),G46/F46-1,"")</f>
        <v/>
      </c>
      <c r="I46" s="13" t="n">
        <v>255</v>
      </c>
      <c r="J46" s="14">
        <f>IF(AND(ISNUMBER(F46),ISNUMBER(I46),F46&gt;0),I46/F46-1,"")</f>
        <v/>
      </c>
      <c r="K46" s="13" t="n">
        <v>500</v>
      </c>
      <c r="L46" s="14">
        <f>IF(AND(ISNUMBER(F46),ISNUMBER(K46),F46&gt;0),K46/F46-1,"")</f>
        <v/>
      </c>
      <c r="M46" s="15" t="n">
        <v>30</v>
      </c>
      <c r="N46" s="16" t="n">
        <v>1.32</v>
      </c>
      <c r="O46" s="17">
        <f>IF(AND(ISNUMBER(F46),ISNUMBER(N46),F46&gt;0),N46/F46,"")</f>
        <v/>
      </c>
      <c r="P46" s="18" t="n">
        <v>46288</v>
      </c>
      <c r="Q46" s="18" t="n">
        <v>46316</v>
      </c>
      <c r="R46" s="16" t="n">
        <v>6.93</v>
      </c>
      <c r="S46" s="19">
        <f>IF(AND(ISNUMBER(F46),ISNUMBER(R46),R46&gt;0),F46/R46,"")</f>
        <v/>
      </c>
      <c r="T46" s="18" t="n">
        <v>46323</v>
      </c>
    </row>
    <row r="47">
      <c r="A47" s="20" t="inlineStr">
        <is>
          <t>NVS</t>
        </is>
      </c>
      <c r="B47" s="20" t="inlineStr">
        <is>
          <t>Novartis AG</t>
        </is>
      </c>
      <c r="C47" s="20" t="inlineStr">
        <is>
          <t>Drug Manufacturers - General</t>
        </is>
      </c>
      <c r="D47" s="20" t="inlineStr">
        <is>
          <t>Switzerland</t>
        </is>
      </c>
      <c r="E47" s="21" t="n">
        <v>298.15</v>
      </c>
      <c r="F47" s="22" t="n">
        <v>156.86</v>
      </c>
      <c r="G47" s="22" t="n">
        <v>154.65</v>
      </c>
      <c r="H47" s="23">
        <f>IF(AND(ISNUMBER(F47),ISNUMBER(G47),F47&gt;0),G47/F47-1,"")</f>
        <v/>
      </c>
      <c r="I47" s="22" t="n">
        <v>130</v>
      </c>
      <c r="J47" s="23">
        <f>IF(AND(ISNUMBER(F47),ISNUMBER(I47),F47&gt;0),I47/F47-1,"")</f>
        <v/>
      </c>
      <c r="K47" s="22" t="n">
        <v>185</v>
      </c>
      <c r="L47" s="23">
        <f>IF(AND(ISNUMBER(F47),ISNUMBER(K47),F47&gt;0),K47/F47-1,"")</f>
        <v/>
      </c>
      <c r="M47" s="24" t="n">
        <v>11</v>
      </c>
      <c r="N47" s="25" t="n">
        <v>4.74</v>
      </c>
      <c r="O47" s="26">
        <f>IF(AND(ISNUMBER(F47),ISNUMBER(N47),F47&gt;0),N47/F47,"")</f>
        <v/>
      </c>
      <c r="P47" s="27" t="n">
        <v>46092</v>
      </c>
      <c r="Q47" s="27" t="n">
        <v>46322</v>
      </c>
      <c r="R47" s="25" t="n">
        <v>6.62</v>
      </c>
      <c r="S47" s="28">
        <f>IF(AND(ISNUMBER(F47),ISNUMBER(R47),R47&gt;0),F47/R47,"")</f>
        <v/>
      </c>
      <c r="T47" s="27" t="n">
        <v>46323</v>
      </c>
    </row>
    <row r="48">
      <c r="A48" s="11" t="inlineStr">
        <is>
          <t>SHEL</t>
        </is>
      </c>
      <c r="B48" s="11" t="inlineStr">
        <is>
          <t>Shell PLC</t>
        </is>
      </c>
      <c r="C48" s="11" t="inlineStr">
        <is>
          <t>Oil &amp; Gas Integrated</t>
        </is>
      </c>
      <c r="D48" s="11" t="inlineStr">
        <is>
          <t>United Kingdom</t>
        </is>
      </c>
      <c r="E48" s="12" t="n">
        <v>297.56</v>
      </c>
      <c r="F48" s="13" t="n">
        <v>104.78</v>
      </c>
      <c r="G48" s="13" t="n">
        <v>105.56</v>
      </c>
      <c r="H48" s="14">
        <f>IF(AND(ISNUMBER(F48),ISNUMBER(G48),F48&gt;0),G48/F48-1,"")</f>
        <v/>
      </c>
      <c r="I48" s="13" t="n">
        <v>83</v>
      </c>
      <c r="J48" s="14">
        <f>IF(AND(ISNUMBER(F48),ISNUMBER(I48),F48&gt;0),I48/F48-1,"")</f>
        <v/>
      </c>
      <c r="K48" s="13" t="n">
        <v>123</v>
      </c>
      <c r="L48" s="14">
        <f>IF(AND(ISNUMBER(F48),ISNUMBER(K48),F48&gt;0),K48/F48-1,"")</f>
        <v/>
      </c>
      <c r="M48" s="15" t="n">
        <v>15</v>
      </c>
      <c r="N48" s="16" t="n">
        <v>3.12</v>
      </c>
      <c r="O48" s="17">
        <f>IF(AND(ISNUMBER(F48),ISNUMBER(N48),F48&gt;0),N48/F48,"")</f>
        <v/>
      </c>
      <c r="P48" s="18" t="n">
        <v>46248</v>
      </c>
      <c r="Q48" s="18" t="n">
        <v>46324</v>
      </c>
      <c r="R48" s="16" t="n">
        <v>8.949999999999999</v>
      </c>
      <c r="S48" s="19">
        <f>IF(AND(ISNUMBER(F48),ISNUMBER(R48),R48&gt;0),F48/R48,"")</f>
        <v/>
      </c>
      <c r="T48" s="18" t="n">
        <v>46323</v>
      </c>
    </row>
    <row r="49">
      <c r="A49" s="20" t="inlineStr">
        <is>
          <t>HSBC</t>
        </is>
      </c>
      <c r="B49" s="20" t="inlineStr">
        <is>
          <t>HSBC Holdings, plc.</t>
        </is>
      </c>
      <c r="C49" s="20" t="inlineStr">
        <is>
          <t>Banks - Diversified</t>
        </is>
      </c>
      <c r="D49" s="20" t="inlineStr">
        <is>
          <t>United Kingdom</t>
        </is>
      </c>
      <c r="E49" s="21" t="n">
        <v>294.15</v>
      </c>
      <c r="F49" s="22" t="n">
        <v>86.01000000000001</v>
      </c>
      <c r="G49" s="22" t="n">
        <v>105.01667</v>
      </c>
      <c r="H49" s="23">
        <f>IF(AND(ISNUMBER(F49),ISNUMBER(G49),F49&gt;0),G49/F49-1,"")</f>
        <v/>
      </c>
      <c r="I49" s="22" t="n">
        <v>101</v>
      </c>
      <c r="J49" s="23">
        <f>IF(AND(ISNUMBER(F49),ISNUMBER(I49),F49&gt;0),I49/F49-1,"")</f>
        <v/>
      </c>
      <c r="K49" s="22" t="n">
        <v>112.05</v>
      </c>
      <c r="L49" s="23">
        <f>IF(AND(ISNUMBER(F49),ISNUMBER(K49),F49&gt;0),K49/F49-1,"")</f>
        <v/>
      </c>
      <c r="M49" s="24" t="n">
        <v>3</v>
      </c>
      <c r="N49" s="25" t="n">
        <v>3.75</v>
      </c>
      <c r="O49" s="26">
        <f>IF(AND(ISNUMBER(F49),ISNUMBER(N49),F49&gt;0),N49/F49,"")</f>
        <v/>
      </c>
      <c r="P49" s="27" t="n">
        <v>46248</v>
      </c>
      <c r="Q49" s="27" t="n">
        <v>46322</v>
      </c>
      <c r="R49" s="25" t="n">
        <v>7</v>
      </c>
      <c r="S49" s="28">
        <f>IF(AND(ISNUMBER(F49),ISNUMBER(R49),R49&gt;0),F49/R49,"")</f>
        <v/>
      </c>
      <c r="T49" s="27" t="n">
        <v>46323</v>
      </c>
    </row>
    <row r="50">
      <c r="A50" s="11" t="inlineStr">
        <is>
          <t>MS</t>
        </is>
      </c>
      <c r="B50" s="11" t="inlineStr">
        <is>
          <t>Morgan Stanley</t>
        </is>
      </c>
      <c r="C50" s="11" t="inlineStr">
        <is>
          <t>Capital Markets</t>
        </is>
      </c>
      <c r="D50" s="11" t="inlineStr">
        <is>
          <t>United States</t>
        </is>
      </c>
      <c r="E50" s="12" t="n">
        <v>292.51</v>
      </c>
      <c r="F50" s="13" t="n">
        <v>186.91</v>
      </c>
      <c r="G50" s="13" t="n">
        <v>211.04546</v>
      </c>
      <c r="H50" s="14">
        <f>IF(AND(ISNUMBER(F50),ISNUMBER(G50),F50&gt;0),G50/F50-1,"")</f>
        <v/>
      </c>
      <c r="I50" s="13" t="n">
        <v>185</v>
      </c>
      <c r="J50" s="14">
        <f>IF(AND(ISNUMBER(F50),ISNUMBER(I50),F50&gt;0),I50/F50-1,"")</f>
        <v/>
      </c>
      <c r="K50" s="13" t="n">
        <v>262</v>
      </c>
      <c r="L50" s="14">
        <f>IF(AND(ISNUMBER(F50),ISNUMBER(K50),F50&gt;0),K50/F50-1,"")</f>
        <v/>
      </c>
      <c r="M50" s="15" t="n">
        <v>22</v>
      </c>
      <c r="N50" s="16" t="n">
        <v>4.6</v>
      </c>
      <c r="O50" s="17">
        <f>IF(AND(ISNUMBER(F50),ISNUMBER(N50),F50&gt;0),N50/F50,"")</f>
        <v/>
      </c>
      <c r="P50" s="18" t="n">
        <v>46325</v>
      </c>
      <c r="Q50" s="18" t="n">
        <v>46401</v>
      </c>
      <c r="R50" s="16" t="n">
        <v>12.61</v>
      </c>
      <c r="S50" s="19">
        <f>IF(AND(ISNUMBER(F50),ISNUMBER(R50),R50&gt;0),F50/R50,"")</f>
        <v/>
      </c>
      <c r="T50" s="18" t="n">
        <v>46323</v>
      </c>
    </row>
    <row r="51">
      <c r="A51" s="20" t="inlineStr">
        <is>
          <t>TXN</t>
        </is>
      </c>
      <c r="B51" s="20" t="inlineStr">
        <is>
          <t>Texas Instruments Incorporated</t>
        </is>
      </c>
      <c r="C51" s="20" t="inlineStr">
        <is>
          <t>Semiconductors</t>
        </is>
      </c>
      <c r="D51" s="20" t="inlineStr">
        <is>
          <t>United States</t>
        </is>
      </c>
      <c r="E51" s="21" t="n">
        <v>282.42</v>
      </c>
      <c r="F51" s="22" t="n">
        <v>308.91</v>
      </c>
      <c r="G51" s="22" t="n">
        <v>336.86206</v>
      </c>
      <c r="H51" s="23">
        <f>IF(AND(ISNUMBER(F51),ISNUMBER(G51),F51&gt;0),G51/F51-1,"")</f>
        <v/>
      </c>
      <c r="I51" s="22" t="n">
        <v>250</v>
      </c>
      <c r="J51" s="23">
        <f>IF(AND(ISNUMBER(F51),ISNUMBER(I51),F51&gt;0),I51/F51-1,"")</f>
        <v/>
      </c>
      <c r="K51" s="22" t="n">
        <v>400</v>
      </c>
      <c r="L51" s="23">
        <f>IF(AND(ISNUMBER(F51),ISNUMBER(K51),F51&gt;0),K51/F51-1,"")</f>
        <v/>
      </c>
      <c r="M51" s="24" t="n">
        <v>29</v>
      </c>
      <c r="N51" s="25" t="n">
        <v>6.08</v>
      </c>
      <c r="O51" s="26">
        <f>IF(AND(ISNUMBER(F51),ISNUMBER(N51),F51&gt;0),N51/F51,"")</f>
        <v/>
      </c>
      <c r="P51" s="27" t="n">
        <v>46325</v>
      </c>
      <c r="Q51" s="27" t="n">
        <v>46316</v>
      </c>
      <c r="R51" s="25" t="n">
        <v>7.71</v>
      </c>
      <c r="S51" s="28">
        <f>IF(AND(ISNUMBER(F51),ISNUMBER(R51),R51&gt;0),F51/R51,"")</f>
        <v/>
      </c>
      <c r="T51" s="27" t="n">
        <v>46323</v>
      </c>
    </row>
    <row r="52">
      <c r="A52" s="11" t="inlineStr">
        <is>
          <t>RY</t>
        </is>
      </c>
      <c r="B52" s="11" t="inlineStr">
        <is>
          <t>Royal Bank Of Canada</t>
        </is>
      </c>
      <c r="C52" s="11" t="inlineStr">
        <is>
          <t>Banks - Diversified</t>
        </is>
      </c>
      <c r="D52" s="11" t="inlineStr">
        <is>
          <t>Canada</t>
        </is>
      </c>
      <c r="E52" s="12" t="n">
        <v>281.07</v>
      </c>
      <c r="F52" s="13" t="n">
        <v>203.02</v>
      </c>
      <c r="G52" s="13" t="n">
        <v>212.10191</v>
      </c>
      <c r="H52" s="14">
        <f>IF(AND(ISNUMBER(F52),ISNUMBER(G52),F52&gt;0),G52/F52-1,"")</f>
        <v/>
      </c>
      <c r="I52" s="13" t="n">
        <v>185.12103</v>
      </c>
      <c r="J52" s="14">
        <f>IF(AND(ISNUMBER(F52),ISNUMBER(I52),F52&gt;0),I52/F52-1,"")</f>
        <v/>
      </c>
      <c r="K52" s="13" t="n">
        <v>233.28403</v>
      </c>
      <c r="L52" s="14">
        <f>IF(AND(ISNUMBER(F52),ISNUMBER(K52),F52&gt;0),K52/F52-1,"")</f>
        <v/>
      </c>
      <c r="M52" s="15" t="n">
        <v>3</v>
      </c>
      <c r="N52" s="16" t="n">
        <v>5.02</v>
      </c>
      <c r="O52" s="17">
        <f>IF(AND(ISNUMBER(F52),ISNUMBER(N52),F52&gt;0),N52/F52,"")</f>
        <v/>
      </c>
      <c r="P52" s="18" t="n">
        <v>46321</v>
      </c>
      <c r="Q52" s="18" t="n">
        <v>46359</v>
      </c>
      <c r="R52" s="16" t="n">
        <v>11.44</v>
      </c>
      <c r="S52" s="19">
        <f>IF(AND(ISNUMBER(F52),ISNUMBER(R52),R52&gt;0),F52/R52,"")</f>
        <v/>
      </c>
      <c r="T52" s="18" t="n">
        <v>46323</v>
      </c>
    </row>
    <row r="53">
      <c r="A53" s="20" t="inlineStr">
        <is>
          <t>CRWD</t>
        </is>
      </c>
      <c r="B53" s="20" t="inlineStr">
        <is>
          <t>CrowdStrike Holdings, Inc.</t>
        </is>
      </c>
      <c r="C53" s="20" t="inlineStr">
        <is>
          <t>Software - Infrastructure</t>
        </is>
      </c>
      <c r="D53" s="20" t="inlineStr">
        <is>
          <t>United States</t>
        </is>
      </c>
      <c r="E53" s="21" t="n">
        <v>274.44</v>
      </c>
      <c r="F53" s="22" t="n">
        <v>268.02</v>
      </c>
      <c r="G53" s="22" t="n">
        <v>247.25</v>
      </c>
      <c r="H53" s="23">
        <f>IF(AND(ISNUMBER(F53),ISNUMBER(G53),F53&gt;0),G53/F53-1,"")</f>
        <v/>
      </c>
      <c r="I53" s="22" t="n">
        <v>132</v>
      </c>
      <c r="J53" s="23">
        <f>IF(AND(ISNUMBER(F53),ISNUMBER(I53),F53&gt;0),I53/F53-1,"")</f>
        <v/>
      </c>
      <c r="K53" s="22" t="n">
        <v>325</v>
      </c>
      <c r="L53" s="23">
        <f>IF(AND(ISNUMBER(F53),ISNUMBER(K53),F53&gt;0),K53/F53-1,"")</f>
        <v/>
      </c>
      <c r="M53" s="24" t="n">
        <v>50</v>
      </c>
      <c r="N53" s="25" t="n"/>
      <c r="O53" s="26">
        <f>IF(AND(ISNUMBER(F53),ISNUMBER(N53),F53&gt;0),N53/F53,"")</f>
        <v/>
      </c>
      <c r="P53" s="27" t="n"/>
      <c r="Q53" s="27" t="n">
        <v>46357</v>
      </c>
      <c r="R53" s="25" t="n">
        <v>0.05</v>
      </c>
      <c r="S53" s="28">
        <f>IF(AND(ISNUMBER(F53),ISNUMBER(R53),R53&gt;0),F53/R53,"")</f>
        <v/>
      </c>
      <c r="T53" s="27" t="n">
        <v>46323</v>
      </c>
    </row>
    <row r="54">
      <c r="A54" s="11" t="inlineStr">
        <is>
          <t>SAP</t>
        </is>
      </c>
      <c r="B54" s="11" t="inlineStr">
        <is>
          <t>SAP  SE</t>
        </is>
      </c>
      <c r="C54" s="11" t="inlineStr">
        <is>
          <t>Software - Application</t>
        </is>
      </c>
      <c r="D54" s="11" t="inlineStr">
        <is>
          <t>Germany</t>
        </is>
      </c>
      <c r="E54" s="12" t="n">
        <v>272.16</v>
      </c>
      <c r="F54" s="13" t="n">
        <v>235.8</v>
      </c>
      <c r="G54" s="13" t="n">
        <v>280.83334</v>
      </c>
      <c r="H54" s="14">
        <f>IF(AND(ISNUMBER(F54),ISNUMBER(G54),F54&gt;0),G54/F54-1,"")</f>
        <v/>
      </c>
      <c r="I54" s="13" t="n">
        <v>258</v>
      </c>
      <c r="J54" s="14">
        <f>IF(AND(ISNUMBER(F54),ISNUMBER(I54),F54&gt;0),I54/F54-1,"")</f>
        <v/>
      </c>
      <c r="K54" s="13" t="n">
        <v>333</v>
      </c>
      <c r="L54" s="14">
        <f>IF(AND(ISNUMBER(F54),ISNUMBER(K54),F54&gt;0),K54/F54-1,"")</f>
        <v/>
      </c>
      <c r="M54" s="15" t="n">
        <v>12</v>
      </c>
      <c r="N54" s="16" t="n">
        <v>2.93</v>
      </c>
      <c r="O54" s="17">
        <f>IF(AND(ISNUMBER(F54),ISNUMBER(N54),F54&gt;0),N54/F54,"")</f>
        <v/>
      </c>
      <c r="P54" s="18" t="n">
        <v>46147</v>
      </c>
      <c r="Q54" s="18" t="n">
        <v>46316</v>
      </c>
      <c r="R54" s="16" t="n">
        <v>8.029999999999999</v>
      </c>
      <c r="S54" s="19">
        <f>IF(AND(ISNUMBER(F54),ISNUMBER(R54),R54&gt;0),F54/R54,"")</f>
        <v/>
      </c>
      <c r="T54" s="18" t="n">
        <v>46323</v>
      </c>
    </row>
    <row r="55">
      <c r="A55" s="20" t="inlineStr">
        <is>
          <t>GS</t>
        </is>
      </c>
      <c r="B55" s="20" t="inlineStr">
        <is>
          <t>Goldman Sachs Group, Inc. (The)</t>
        </is>
      </c>
      <c r="C55" s="20" t="inlineStr">
        <is>
          <t>Capital Markets</t>
        </is>
      </c>
      <c r="D55" s="20" t="inlineStr">
        <is>
          <t>United States</t>
        </is>
      </c>
      <c r="E55" s="21" t="n">
        <v>265.48</v>
      </c>
      <c r="F55" s="22" t="n">
        <v>911.77</v>
      </c>
      <c r="G55" s="22" t="n">
        <v>1031.1428</v>
      </c>
      <c r="H55" s="23">
        <f>IF(AND(ISNUMBER(F55),ISNUMBER(G55),F55&gt;0),G55/F55-1,"")</f>
        <v/>
      </c>
      <c r="I55" s="22" t="n">
        <v>730</v>
      </c>
      <c r="J55" s="23">
        <f>IF(AND(ISNUMBER(F55),ISNUMBER(I55),F55&gt;0),I55/F55-1,"")</f>
        <v/>
      </c>
      <c r="K55" s="22" t="n">
        <v>1250</v>
      </c>
      <c r="L55" s="23">
        <f>IF(AND(ISNUMBER(F55),ISNUMBER(K55),F55&gt;0),K55/F55-1,"")</f>
        <v/>
      </c>
      <c r="M55" s="24" t="n">
        <v>21</v>
      </c>
      <c r="N55" s="25" t="n">
        <v>20</v>
      </c>
      <c r="O55" s="26">
        <f>IF(AND(ISNUMBER(F55),ISNUMBER(N55),F55&gt;0),N55/F55,"")</f>
        <v/>
      </c>
      <c r="P55" s="27" t="n">
        <v>46358</v>
      </c>
      <c r="Q55" s="27" t="n">
        <v>46406</v>
      </c>
      <c r="R55" s="25" t="n">
        <v>69.55</v>
      </c>
      <c r="S55" s="28">
        <f>IF(AND(ISNUMBER(F55),ISNUMBER(R55),R55&gt;0),F55/R55,"")</f>
        <v/>
      </c>
      <c r="T55" s="27" t="n">
        <v>46323</v>
      </c>
    </row>
    <row r="56">
      <c r="A56" s="11" t="inlineStr">
        <is>
          <t>AZN</t>
        </is>
      </c>
      <c r="B56" s="11" t="inlineStr">
        <is>
          <t>AstraZeneca PLC</t>
        </is>
      </c>
      <c r="C56" s="11" t="inlineStr">
        <is>
          <t>Drug Manufacturers - General</t>
        </is>
      </c>
      <c r="D56" s="11" t="inlineStr">
        <is>
          <t>United Kingdom</t>
        </is>
      </c>
      <c r="E56" s="12" t="n">
        <v>263.78</v>
      </c>
      <c r="F56" s="13" t="n">
        <v>170.08</v>
      </c>
      <c r="G56" s="13" t="n">
        <v>206.65833</v>
      </c>
      <c r="H56" s="14">
        <f>IF(AND(ISNUMBER(F56),ISNUMBER(G56),F56&gt;0),G56/F56-1,"")</f>
        <v/>
      </c>
      <c r="I56" s="13" t="n">
        <v>158</v>
      </c>
      <c r="J56" s="14">
        <f>IF(AND(ISNUMBER(F56),ISNUMBER(I56),F56&gt;0),I56/F56-1,"")</f>
        <v/>
      </c>
      <c r="K56" s="13" t="n">
        <v>240</v>
      </c>
      <c r="L56" s="14">
        <f>IF(AND(ISNUMBER(F56),ISNUMBER(K56),F56&gt;0),K56/F56-1,"")</f>
        <v/>
      </c>
      <c r="M56" s="15" t="n">
        <v>12</v>
      </c>
      <c r="N56" s="16" t="n">
        <v>3.2</v>
      </c>
      <c r="O56" s="17">
        <f>IF(AND(ISNUMBER(F56),ISNUMBER(N56),F56&gt;0),N56/F56,"")</f>
        <v/>
      </c>
      <c r="P56" s="18" t="n">
        <v>46241</v>
      </c>
      <c r="Q56" s="18" t="n">
        <v>46325</v>
      </c>
      <c r="R56" s="16" t="n">
        <v>6.69</v>
      </c>
      <c r="S56" s="19">
        <f>IF(AND(ISNUMBER(F56),ISNUMBER(R56),R56&gt;0),F56/R56,"")</f>
        <v/>
      </c>
      <c r="T56" s="18" t="n">
        <v>46323</v>
      </c>
    </row>
    <row r="57">
      <c r="A57" s="20" t="inlineStr">
        <is>
          <t>RTX</t>
        </is>
      </c>
      <c r="B57" s="20" t="inlineStr">
        <is>
          <t>RTX Corporation</t>
        </is>
      </c>
      <c r="C57" s="20" t="inlineStr">
        <is>
          <t>Aerospace &amp; Defense</t>
        </is>
      </c>
      <c r="D57" s="20" t="inlineStr">
        <is>
          <t>United States</t>
        </is>
      </c>
      <c r="E57" s="21" t="n">
        <v>262.6</v>
      </c>
      <c r="F57" s="22" t="n">
        <v>194.6</v>
      </c>
      <c r="G57" s="22" t="n">
        <v>229.1739</v>
      </c>
      <c r="H57" s="23">
        <f>IF(AND(ISNUMBER(F57),ISNUMBER(G57),F57&gt;0),G57/F57-1,"")</f>
        <v/>
      </c>
      <c r="I57" s="22" t="n">
        <v>200</v>
      </c>
      <c r="J57" s="23">
        <f>IF(AND(ISNUMBER(F57),ISNUMBER(I57),F57&gt;0),I57/F57-1,"")</f>
        <v/>
      </c>
      <c r="K57" s="22" t="n">
        <v>250</v>
      </c>
      <c r="L57" s="23">
        <f>IF(AND(ISNUMBER(F57),ISNUMBER(K57),F57&gt;0),K57/F57-1,"")</f>
        <v/>
      </c>
      <c r="M57" s="24" t="n">
        <v>23</v>
      </c>
      <c r="N57" s="25" t="n">
        <v>2.92</v>
      </c>
      <c r="O57" s="26">
        <f>IF(AND(ISNUMBER(F57),ISNUMBER(N57),F57&gt;0),N57/F57,"")</f>
        <v/>
      </c>
      <c r="P57" s="27" t="n">
        <v>46248</v>
      </c>
      <c r="Q57" s="27" t="n">
        <v>46315</v>
      </c>
      <c r="R57" s="25" t="n">
        <v>6.15</v>
      </c>
      <c r="S57" s="28">
        <f>IF(AND(ISNUMBER(F57),ISNUMBER(R57),R57&gt;0),F57/R57,"")</f>
        <v/>
      </c>
      <c r="T57" s="27" t="n">
        <v>46323</v>
      </c>
    </row>
    <row r="58">
      <c r="A58" s="11" t="inlineStr">
        <is>
          <t>NFLX</t>
        </is>
      </c>
      <c r="B58" s="11" t="inlineStr">
        <is>
          <t>Netflix, Inc.</t>
        </is>
      </c>
      <c r="C58" s="11" t="inlineStr">
        <is>
          <t>Entertainment</t>
        </is>
      </c>
      <c r="D58" s="11" t="inlineStr">
        <is>
          <t>United States</t>
        </is>
      </c>
      <c r="E58" s="12" t="n">
        <v>260.33</v>
      </c>
      <c r="F58" s="13" t="n">
        <v>62.52</v>
      </c>
      <c r="G58" s="13" t="n">
        <v>84.76326</v>
      </c>
      <c r="H58" s="14">
        <f>IF(AND(ISNUMBER(F58),ISNUMBER(G58),F58&gt;0),G58/F58-1,"")</f>
        <v/>
      </c>
      <c r="I58" s="13" t="n">
        <v>57</v>
      </c>
      <c r="J58" s="14">
        <f>IF(AND(ISNUMBER(F58),ISNUMBER(I58),F58&gt;0),I58/F58-1,"")</f>
        <v/>
      </c>
      <c r="K58" s="13" t="n">
        <v>126</v>
      </c>
      <c r="L58" s="14">
        <f>IF(AND(ISNUMBER(F58),ISNUMBER(K58),F58&gt;0),K58/F58-1,"")</f>
        <v/>
      </c>
      <c r="M58" s="15" t="n">
        <v>43</v>
      </c>
      <c r="N58" s="16" t="n"/>
      <c r="O58" s="17">
        <f>IF(AND(ISNUMBER(F58),ISNUMBER(N58),F58&gt;0),N58/F58,"")</f>
        <v/>
      </c>
      <c r="P58" s="18" t="n"/>
      <c r="Q58" s="18" t="n">
        <v>46406</v>
      </c>
      <c r="R58" s="16" t="n">
        <v>3.46</v>
      </c>
      <c r="S58" s="19">
        <f>IF(AND(ISNUMBER(F58),ISNUMBER(R58),R58&gt;0),F58/R58,"")</f>
        <v/>
      </c>
      <c r="T58" s="18" t="n">
        <v>46323</v>
      </c>
    </row>
    <row r="59">
      <c r="A59" s="20" t="inlineStr">
        <is>
          <t>NSRGY</t>
        </is>
      </c>
      <c r="B59" s="20" t="inlineStr">
        <is>
          <t>Nestle S.A.</t>
        </is>
      </c>
      <c r="C59" s="20" t="inlineStr">
        <is>
          <t>Packaged Foods</t>
        </is>
      </c>
      <c r="D59" s="20" t="inlineStr">
        <is>
          <t>Switzerland</t>
        </is>
      </c>
      <c r="E59" s="21" t="n">
        <v>258.02</v>
      </c>
      <c r="F59" s="22" t="n">
        <v>100.31</v>
      </c>
      <c r="G59" s="22" t="n">
        <v>107.96</v>
      </c>
      <c r="H59" s="23">
        <f>IF(AND(ISNUMBER(F59),ISNUMBER(G59),F59&gt;0),G59/F59-1,"")</f>
        <v/>
      </c>
      <c r="I59" s="22" t="n">
        <v>92</v>
      </c>
      <c r="J59" s="23">
        <f>IF(AND(ISNUMBER(F59),ISNUMBER(I59),F59&gt;0),I59/F59-1,"")</f>
        <v/>
      </c>
      <c r="K59" s="22" t="n">
        <v>128</v>
      </c>
      <c r="L59" s="23">
        <f>IF(AND(ISNUMBER(F59),ISNUMBER(K59),F59&gt;0),K59/F59-1,"")</f>
        <v/>
      </c>
      <c r="M59" s="24" t="n">
        <v>5</v>
      </c>
      <c r="N59" s="25" t="n">
        <v>3.94</v>
      </c>
      <c r="O59" s="26">
        <f>IF(AND(ISNUMBER(F59),ISNUMBER(N59),F59&gt;0),N59/F59,"")</f>
        <v/>
      </c>
      <c r="P59" s="27" t="n">
        <v>46133</v>
      </c>
      <c r="Q59" s="27" t="n">
        <v>46072</v>
      </c>
      <c r="R59" s="25" t="n">
        <v>3.63</v>
      </c>
      <c r="S59" s="28">
        <f>IF(AND(ISNUMBER(F59),ISNUMBER(R59),R59&gt;0),F59/R59,"")</f>
        <v/>
      </c>
      <c r="T59" s="27" t="n">
        <v>46323</v>
      </c>
    </row>
    <row r="60">
      <c r="A60" s="11" t="inlineStr">
        <is>
          <t>TMO</t>
        </is>
      </c>
      <c r="B60" s="11" t="inlineStr">
        <is>
          <t>Thermo Fisher Scientific Inc</t>
        </is>
      </c>
      <c r="C60" s="11" t="inlineStr">
        <is>
          <t>Diagnostics &amp; Research</t>
        </is>
      </c>
      <c r="D60" s="11" t="inlineStr">
        <is>
          <t>United States</t>
        </is>
      </c>
      <c r="E60" s="12" t="n">
        <v>256.24</v>
      </c>
      <c r="F60" s="13" t="n">
        <v>693.02</v>
      </c>
      <c r="G60" s="13" t="n">
        <v>750.92</v>
      </c>
      <c r="H60" s="14">
        <f>IF(AND(ISNUMBER(F60),ISNUMBER(G60),F60&gt;0),G60/F60-1,"")</f>
        <v/>
      </c>
      <c r="I60" s="13" t="n">
        <v>560</v>
      </c>
      <c r="J60" s="14">
        <f>IF(AND(ISNUMBER(F60),ISNUMBER(I60),F60&gt;0),I60/F60-1,"")</f>
        <v/>
      </c>
      <c r="K60" s="13" t="n">
        <v>830</v>
      </c>
      <c r="L60" s="14">
        <f>IF(AND(ISNUMBER(F60),ISNUMBER(K60),F60&gt;0),K60/F60-1,"")</f>
        <v/>
      </c>
      <c r="M60" s="15" t="n">
        <v>25</v>
      </c>
      <c r="N60" s="16" t="n">
        <v>1.88</v>
      </c>
      <c r="O60" s="17">
        <f>IF(AND(ISNUMBER(F60),ISNUMBER(N60),F60&gt;0),N60/F60,"")</f>
        <v/>
      </c>
      <c r="P60" s="18" t="n">
        <v>46280</v>
      </c>
      <c r="Q60" s="18" t="n">
        <v>46316</v>
      </c>
      <c r="R60" s="16" t="n">
        <v>18.96</v>
      </c>
      <c r="S60" s="19">
        <f>IF(AND(ISNUMBER(F60),ISNUMBER(R60),R60&gt;0),F60/R60,"")</f>
        <v/>
      </c>
      <c r="T60" s="18" t="n">
        <v>46323</v>
      </c>
    </row>
    <row r="61">
      <c r="A61" s="20" t="inlineStr">
        <is>
          <t>BABA</t>
        </is>
      </c>
      <c r="B61" s="20" t="inlineStr">
        <is>
          <t>Alibaba Group Holding Limited</t>
        </is>
      </c>
      <c r="C61" s="20" t="inlineStr">
        <is>
          <t>Internet Retail</t>
        </is>
      </c>
      <c r="D61" s="20" t="inlineStr">
        <is>
          <t>China</t>
        </is>
      </c>
      <c r="E61" s="21" t="n">
        <v>249.37</v>
      </c>
      <c r="F61" s="22" t="n">
        <v>100.24</v>
      </c>
      <c r="G61" s="22" t="n">
        <v>185.93835</v>
      </c>
      <c r="H61" s="23">
        <f>IF(AND(ISNUMBER(F61),ISNUMBER(G61),F61&gt;0),G61/F61-1,"")</f>
        <v/>
      </c>
      <c r="I61" s="22" t="n">
        <v>95.80372</v>
      </c>
      <c r="J61" s="23">
        <f>IF(AND(ISNUMBER(F61),ISNUMBER(I61),F61&gt;0),I61/F61-1,"")</f>
        <v/>
      </c>
      <c r="K61" s="22" t="n">
        <v>239.72446</v>
      </c>
      <c r="L61" s="23">
        <f>IF(AND(ISNUMBER(F61),ISNUMBER(K61),F61&gt;0),K61/F61-1,"")</f>
        <v/>
      </c>
      <c r="M61" s="24" t="n">
        <v>41</v>
      </c>
      <c r="N61" s="25" t="n">
        <v>1.05</v>
      </c>
      <c r="O61" s="26">
        <f>IF(AND(ISNUMBER(F61),ISNUMBER(N61),F61&gt;0),N61/F61,"")</f>
        <v/>
      </c>
      <c r="P61" s="27" t="n">
        <v>46184</v>
      </c>
      <c r="Q61" s="27" t="n">
        <v>46350</v>
      </c>
      <c r="R61" s="25" t="n">
        <v>4.13</v>
      </c>
      <c r="S61" s="28">
        <f>IF(AND(ISNUMBER(F61),ISNUMBER(R61),R61&gt;0),F61/R61,"")</f>
        <v/>
      </c>
      <c r="T61" s="27" t="n">
        <v>46323</v>
      </c>
    </row>
    <row r="62">
      <c r="A62" s="11" t="inlineStr">
        <is>
          <t>WFC</t>
        </is>
      </c>
      <c r="B62" s="11" t="inlineStr">
        <is>
          <t>Wells Fargo &amp; Company</t>
        </is>
      </c>
      <c r="C62" s="11" t="inlineStr">
        <is>
          <t>Banks - Diversified</t>
        </is>
      </c>
      <c r="D62" s="11" t="inlineStr">
        <is>
          <t>United States</t>
        </is>
      </c>
      <c r="E62" s="12" t="n">
        <v>248.12</v>
      </c>
      <c r="F62" s="13" t="n">
        <v>82.66</v>
      </c>
      <c r="G62" s="13" t="n">
        <v>97.02083</v>
      </c>
      <c r="H62" s="14">
        <f>IF(AND(ISNUMBER(F62),ISNUMBER(G62),F62&gt;0),G62/F62-1,"")</f>
        <v/>
      </c>
      <c r="I62" s="13" t="n">
        <v>88</v>
      </c>
      <c r="J62" s="14">
        <f>IF(AND(ISNUMBER(F62),ISNUMBER(I62),F62&gt;0),I62/F62-1,"")</f>
        <v/>
      </c>
      <c r="K62" s="13" t="n">
        <v>108</v>
      </c>
      <c r="L62" s="14">
        <f>IF(AND(ISNUMBER(F62),ISNUMBER(K62),F62&gt;0),K62/F62-1,"")</f>
        <v/>
      </c>
      <c r="M62" s="15" t="n">
        <v>24</v>
      </c>
      <c r="N62" s="16" t="n">
        <v>2</v>
      </c>
      <c r="O62" s="17">
        <f>IF(AND(ISNUMBER(F62),ISNUMBER(N62),F62&gt;0),N62/F62,"")</f>
        <v/>
      </c>
      <c r="P62" s="18" t="n">
        <v>46241</v>
      </c>
      <c r="Q62" s="18" t="n">
        <v>46401</v>
      </c>
      <c r="R62" s="16" t="n">
        <v>7.09</v>
      </c>
      <c r="S62" s="19">
        <f>IF(AND(ISNUMBER(F62),ISNUMBER(R62),R62&gt;0),F62/R62,"")</f>
        <v/>
      </c>
      <c r="T62" s="18" t="n">
        <v>46323</v>
      </c>
    </row>
    <row r="63">
      <c r="A63" s="20" t="inlineStr">
        <is>
          <t>AMGN</t>
        </is>
      </c>
      <c r="B63" s="20" t="inlineStr">
        <is>
          <t>Amgen Inc.</t>
        </is>
      </c>
      <c r="C63" s="20" t="inlineStr">
        <is>
          <t>Drug Manufacturers - General</t>
        </is>
      </c>
      <c r="D63" s="20" t="inlineStr">
        <is>
          <t>United States</t>
        </is>
      </c>
      <c r="E63" s="21" t="n">
        <v>242.18</v>
      </c>
      <c r="F63" s="22" t="n">
        <v>447.95</v>
      </c>
      <c r="G63" s="22" t="n">
        <v>397.3231</v>
      </c>
      <c r="H63" s="23">
        <f>IF(AND(ISNUMBER(F63),ISNUMBER(G63),F63&gt;0),G63/F63-1,"")</f>
        <v/>
      </c>
      <c r="I63" s="22" t="n">
        <v>225</v>
      </c>
      <c r="J63" s="23">
        <f>IF(AND(ISNUMBER(F63),ISNUMBER(I63),F63&gt;0),I63/F63-1,"")</f>
        <v/>
      </c>
      <c r="K63" s="22" t="n">
        <v>500</v>
      </c>
      <c r="L63" s="23">
        <f>IF(AND(ISNUMBER(F63),ISNUMBER(K63),F63&gt;0),K63/F63-1,"")</f>
        <v/>
      </c>
      <c r="M63" s="24" t="n">
        <v>29</v>
      </c>
      <c r="N63" s="25" t="n">
        <v>10.08</v>
      </c>
      <c r="O63" s="26">
        <f>IF(AND(ISNUMBER(F63),ISNUMBER(N63),F63&gt;0),N63/F63,"")</f>
        <v/>
      </c>
      <c r="P63" s="27" t="n">
        <v>46255</v>
      </c>
      <c r="Q63" s="27" t="n">
        <v>46329</v>
      </c>
      <c r="R63" s="25" t="n">
        <v>16.1</v>
      </c>
      <c r="S63" s="28">
        <f>IF(AND(ISNUMBER(F63),ISNUMBER(R63),R63&gt;0),F63/R63,"")</f>
        <v/>
      </c>
      <c r="T63" s="27" t="n">
        <v>46323</v>
      </c>
    </row>
    <row r="64">
      <c r="A64" s="11" t="inlineStr">
        <is>
          <t>ARM</t>
        </is>
      </c>
      <c r="B64" s="11" t="inlineStr">
        <is>
          <t>Arm Holdings plc</t>
        </is>
      </c>
      <c r="C64" s="11" t="inlineStr">
        <is>
          <t>Semiconductors</t>
        </is>
      </c>
      <c r="D64" s="11" t="inlineStr">
        <is>
          <t>United Kingdom</t>
        </is>
      </c>
      <c r="E64" s="12" t="n">
        <v>242.01</v>
      </c>
      <c r="F64" s="13" t="n">
        <v>226.6</v>
      </c>
      <c r="G64" s="13" t="n">
        <v>290.705</v>
      </c>
      <c r="H64" s="14">
        <f>IF(AND(ISNUMBER(F64),ISNUMBER(G64),F64&gt;0),G64/F64-1,"")</f>
        <v/>
      </c>
      <c r="I64" s="13" t="n">
        <v>125</v>
      </c>
      <c r="J64" s="14">
        <f>IF(AND(ISNUMBER(F64),ISNUMBER(I64),F64&gt;0),I64/F64-1,"")</f>
        <v/>
      </c>
      <c r="K64" s="13" t="n">
        <v>500</v>
      </c>
      <c r="L64" s="14">
        <f>IF(AND(ISNUMBER(F64),ISNUMBER(K64),F64&gt;0),K64/F64-1,"")</f>
        <v/>
      </c>
      <c r="M64" s="15" t="n">
        <v>40</v>
      </c>
      <c r="N64" s="16" t="n"/>
      <c r="O64" s="17">
        <f>IF(AND(ISNUMBER(F64),ISNUMBER(N64),F64&gt;0),N64/F64,"")</f>
        <v/>
      </c>
      <c r="P64" s="18" t="n"/>
      <c r="Q64" s="18" t="n">
        <v>46330</v>
      </c>
      <c r="R64" s="16" t="n">
        <v>0.97</v>
      </c>
      <c r="S64" s="19">
        <f>IF(AND(ISNUMBER(F64),ISNUMBER(R64),R64&gt;0),F64/R64,"")</f>
        <v/>
      </c>
      <c r="T64" s="18" t="n">
        <v>46323</v>
      </c>
    </row>
    <row r="65">
      <c r="A65" s="20" t="inlineStr">
        <is>
          <t>GEV</t>
        </is>
      </c>
      <c r="B65" s="20" t="inlineStr">
        <is>
          <t>GE Vernova Inc.</t>
        </is>
      </c>
      <c r="C65" s="20" t="inlineStr">
        <is>
          <t>Specialty Industrial Machinery</t>
        </is>
      </c>
      <c r="D65" s="20" t="inlineStr">
        <is>
          <t>United States</t>
        </is>
      </c>
      <c r="E65" s="21" t="n">
        <v>238.39</v>
      </c>
      <c r="F65" s="22" t="n">
        <v>895.08</v>
      </c>
      <c r="G65" s="22" t="n">
        <v>1223.9697</v>
      </c>
      <c r="H65" s="23">
        <f>IF(AND(ISNUMBER(F65),ISNUMBER(G65),F65&gt;0),G65/F65-1,"")</f>
        <v/>
      </c>
      <c r="I65" s="22" t="n">
        <v>940</v>
      </c>
      <c r="J65" s="23">
        <f>IF(AND(ISNUMBER(F65),ISNUMBER(I65),F65&gt;0),I65/F65-1,"")</f>
        <v/>
      </c>
      <c r="K65" s="22" t="n">
        <v>1450</v>
      </c>
      <c r="L65" s="23">
        <f>IF(AND(ISNUMBER(F65),ISNUMBER(K65),F65&gt;0),K65/F65-1,"")</f>
        <v/>
      </c>
      <c r="M65" s="24" t="n">
        <v>33</v>
      </c>
      <c r="N65" s="25" t="n">
        <v>2</v>
      </c>
      <c r="O65" s="26">
        <f>IF(AND(ISNUMBER(F65),ISNUMBER(N65),F65&gt;0),N65/F65,"")</f>
        <v/>
      </c>
      <c r="P65" s="27" t="n">
        <v>46322</v>
      </c>
      <c r="Q65" s="27" t="n">
        <v>46323</v>
      </c>
      <c r="R65" s="25" t="n">
        <v>34.88</v>
      </c>
      <c r="S65" s="28">
        <f>IF(AND(ISNUMBER(F65),ISNUMBER(R65),R65&gt;0),F65/R65,"")</f>
        <v/>
      </c>
      <c r="T65" s="27" t="n">
        <v>46323</v>
      </c>
    </row>
    <row r="66">
      <c r="A66" s="11" t="inlineStr">
        <is>
          <t>IBM</t>
        </is>
      </c>
      <c r="B66" s="11" t="inlineStr">
        <is>
          <t>International Business Machines</t>
        </is>
      </c>
      <c r="C66" s="11" t="inlineStr">
        <is>
          <t>Information Technology Services</t>
        </is>
      </c>
      <c r="D66" s="11" t="inlineStr">
        <is>
          <t>United States</t>
        </is>
      </c>
      <c r="E66" s="12" t="n">
        <v>236.52</v>
      </c>
      <c r="F66" s="13" t="n">
        <v>250.25</v>
      </c>
      <c r="G66" s="13" t="n">
        <v>257.21652</v>
      </c>
      <c r="H66" s="14">
        <f>IF(AND(ISNUMBER(F66),ISNUMBER(G66),F66&gt;0),G66/F66-1,"")</f>
        <v/>
      </c>
      <c r="I66" s="13" t="n">
        <v>174</v>
      </c>
      <c r="J66" s="14">
        <f>IF(AND(ISNUMBER(F66),ISNUMBER(I66),F66&gt;0),I66/F66-1,"")</f>
        <v/>
      </c>
      <c r="K66" s="13" t="n">
        <v>300</v>
      </c>
      <c r="L66" s="14">
        <f>IF(AND(ISNUMBER(F66),ISNUMBER(K66),F66&gt;0),K66/F66-1,"")</f>
        <v/>
      </c>
      <c r="M66" s="15" t="n">
        <v>23</v>
      </c>
      <c r="N66" s="16" t="n">
        <v>6.76</v>
      </c>
      <c r="O66" s="17">
        <f>IF(AND(ISNUMBER(F66),ISNUMBER(N66),F66&gt;0),N66/F66,"")</f>
        <v/>
      </c>
      <c r="P66" s="18" t="n">
        <v>46336</v>
      </c>
      <c r="Q66" s="18" t="n">
        <v>46316</v>
      </c>
      <c r="R66" s="16" t="n">
        <v>11.72</v>
      </c>
      <c r="S66" s="19">
        <f>IF(AND(ISNUMBER(F66),ISNUMBER(R66),R66&gt;0),F66/R66,"")</f>
        <v/>
      </c>
      <c r="T66" s="18" t="n">
        <v>46323</v>
      </c>
    </row>
    <row r="67">
      <c r="A67" s="20" t="inlineStr">
        <is>
          <t>ANET</t>
        </is>
      </c>
      <c r="B67" s="20" t="inlineStr">
        <is>
          <t>Arista Networks, Inc.</t>
        </is>
      </c>
      <c r="C67" s="20" t="inlineStr">
        <is>
          <t>Computer Hardware</t>
        </is>
      </c>
      <c r="D67" s="20" t="inlineStr">
        <is>
          <t>United States</t>
        </is>
      </c>
      <c r="E67" s="21" t="n">
        <v>235.85</v>
      </c>
      <c r="F67" s="22" t="n">
        <v>187</v>
      </c>
      <c r="G67" s="22" t="n">
        <v>243.58655</v>
      </c>
      <c r="H67" s="23">
        <f>IF(AND(ISNUMBER(F67),ISNUMBER(G67),F67&gt;0),G67/F67-1,"")</f>
        <v/>
      </c>
      <c r="I67" s="22" t="n">
        <v>190</v>
      </c>
      <c r="J67" s="23">
        <f>IF(AND(ISNUMBER(F67),ISNUMBER(I67),F67&gt;0),I67/F67-1,"")</f>
        <v/>
      </c>
      <c r="K67" s="22" t="n">
        <v>290</v>
      </c>
      <c r="L67" s="23">
        <f>IF(AND(ISNUMBER(F67),ISNUMBER(K67),F67&gt;0),K67/F67-1,"")</f>
        <v/>
      </c>
      <c r="M67" s="24" t="n">
        <v>29</v>
      </c>
      <c r="N67" s="25" t="n"/>
      <c r="O67" s="26">
        <f>IF(AND(ISNUMBER(F67),ISNUMBER(N67),F67&gt;0),N67/F67,"")</f>
        <v/>
      </c>
      <c r="P67" s="27" t="n"/>
      <c r="Q67" s="27" t="n">
        <v>46329</v>
      </c>
      <c r="R67" s="25" t="n">
        <v>3.17</v>
      </c>
      <c r="S67" s="28">
        <f>IF(AND(ISNUMBER(F67),ISNUMBER(R67),R67&gt;0),F67/R67,"")</f>
        <v/>
      </c>
      <c r="T67" s="27" t="n">
        <v>46323</v>
      </c>
    </row>
    <row r="68">
      <c r="A68" s="11" t="inlineStr">
        <is>
          <t>LIN</t>
        </is>
      </c>
      <c r="B68" s="11" t="inlineStr">
        <is>
          <t>Linde plc</t>
        </is>
      </c>
      <c r="C68" s="11" t="inlineStr">
        <is>
          <t>Specialty Chemicals</t>
        </is>
      </c>
      <c r="D68" s="11" t="inlineStr">
        <is>
          <t>United Kingdom</t>
        </is>
      </c>
      <c r="E68" s="12" t="n">
        <v>234.48</v>
      </c>
      <c r="F68" s="13" t="n">
        <v>508.65</v>
      </c>
      <c r="G68" s="13" t="n">
        <v>545.2593000000001</v>
      </c>
      <c r="H68" s="14">
        <f>IF(AND(ISNUMBER(F68),ISNUMBER(G68),F68&gt;0),G68/F68-1,"")</f>
        <v/>
      </c>
      <c r="I68" s="13" t="n">
        <v>400</v>
      </c>
      <c r="J68" s="14">
        <f>IF(AND(ISNUMBER(F68),ISNUMBER(I68),F68&gt;0),I68/F68-1,"")</f>
        <v/>
      </c>
      <c r="K68" s="13" t="n">
        <v>591</v>
      </c>
      <c r="L68" s="14">
        <f>IF(AND(ISNUMBER(F68),ISNUMBER(K68),F68&gt;0),K68/F68-1,"")</f>
        <v/>
      </c>
      <c r="M68" s="15" t="n">
        <v>27</v>
      </c>
      <c r="N68" s="16" t="n">
        <v>6.4</v>
      </c>
      <c r="O68" s="17">
        <f>IF(AND(ISNUMBER(F68),ISNUMBER(N68),F68&gt;0),N68/F68,"")</f>
        <v/>
      </c>
      <c r="P68" s="18" t="n">
        <v>46359</v>
      </c>
      <c r="Q68" s="18" t="n">
        <v>46324</v>
      </c>
      <c r="R68" s="16" t="n">
        <v>15.49</v>
      </c>
      <c r="S68" s="19">
        <f>IF(AND(ISNUMBER(F68),ISNUMBER(R68),R68&gt;0),F68/R68,"")</f>
        <v/>
      </c>
      <c r="T68" s="18" t="n">
        <v>46323</v>
      </c>
    </row>
    <row r="69">
      <c r="A69" s="20" t="inlineStr">
        <is>
          <t>TM</t>
        </is>
      </c>
      <c r="B69" s="20" t="inlineStr">
        <is>
          <t>Toyota Motor Corporation</t>
        </is>
      </c>
      <c r="C69" s="20" t="inlineStr">
        <is>
          <t>Auto Manufacturers</t>
        </is>
      </c>
      <c r="D69" s="20" t="inlineStr">
        <is>
          <t>Japan</t>
        </is>
      </c>
      <c r="E69" s="21" t="n">
        <v>231.51</v>
      </c>
      <c r="F69" s="22" t="n">
        <v>196.56</v>
      </c>
      <c r="G69" s="22" t="n">
        <v>234.07802</v>
      </c>
      <c r="H69" s="23">
        <f>IF(AND(ISNUMBER(F69),ISNUMBER(G69),F69&gt;0),G69/F69-1,"")</f>
        <v/>
      </c>
      <c r="I69" s="22" t="n">
        <v>230</v>
      </c>
      <c r="J69" s="23">
        <f>IF(AND(ISNUMBER(F69),ISNUMBER(I69),F69&gt;0),I69/F69-1,"")</f>
        <v/>
      </c>
      <c r="K69" s="22" t="n">
        <v>239.31209</v>
      </c>
      <c r="L69" s="23">
        <f>IF(AND(ISNUMBER(F69),ISNUMBER(K69),F69&gt;0),K69/F69-1,"")</f>
        <v/>
      </c>
      <c r="M69" s="24" t="n">
        <v>4</v>
      </c>
      <c r="N69" s="25" t="n">
        <v>6.27</v>
      </c>
      <c r="O69" s="26">
        <f>IF(AND(ISNUMBER(F69),ISNUMBER(N69),F69&gt;0),N69/F69,"")</f>
        <v/>
      </c>
      <c r="P69" s="27" t="n">
        <v>46112</v>
      </c>
      <c r="Q69" s="27" t="n">
        <v>46331</v>
      </c>
      <c r="R69" s="25" t="n">
        <v>22.76</v>
      </c>
      <c r="S69" s="28">
        <f>IF(AND(ISNUMBER(F69),ISNUMBER(R69),R69&gt;0),F69/R69,"")</f>
        <v/>
      </c>
      <c r="T69" s="27" t="n">
        <v>46323</v>
      </c>
    </row>
    <row r="70">
      <c r="A70" s="11" t="inlineStr">
        <is>
          <t>SIEGY</t>
        </is>
      </c>
      <c r="B70" s="11" t="inlineStr">
        <is>
          <t>Siemens AG</t>
        </is>
      </c>
      <c r="C70" s="11" t="inlineStr">
        <is>
          <t>Specialty Industrial Machinery</t>
        </is>
      </c>
      <c r="D70" s="11" t="inlineStr">
        <is>
          <t>Germany</t>
        </is>
      </c>
      <c r="E70" s="12" t="n">
        <v>226.59</v>
      </c>
      <c r="F70" s="13" t="n">
        <v>148.25</v>
      </c>
      <c r="G70" s="13" t="n">
        <v>175.6</v>
      </c>
      <c r="H70" s="14">
        <f>IF(AND(ISNUMBER(F70),ISNUMBER(G70),F70&gt;0),G70/F70-1,"")</f>
        <v/>
      </c>
      <c r="I70" s="13" t="n">
        <v>139</v>
      </c>
      <c r="J70" s="14">
        <f>IF(AND(ISNUMBER(F70),ISNUMBER(I70),F70&gt;0),I70/F70-1,"")</f>
        <v/>
      </c>
      <c r="K70" s="13" t="n">
        <v>195</v>
      </c>
      <c r="L70" s="14">
        <f>IF(AND(ISNUMBER(F70),ISNUMBER(K70),F70&gt;0),K70/F70-1,"")</f>
        <v/>
      </c>
      <c r="M70" s="15" t="n">
        <v>4</v>
      </c>
      <c r="N70" s="16" t="n">
        <v>3.17</v>
      </c>
      <c r="O70" s="17">
        <f>IF(AND(ISNUMBER(F70),ISNUMBER(N70),F70&gt;0),N70/F70,"")</f>
        <v/>
      </c>
      <c r="P70" s="18" t="n">
        <v>46066</v>
      </c>
      <c r="Q70" s="18" t="n">
        <v>46338</v>
      </c>
      <c r="R70" s="16" t="n">
        <v>5.83</v>
      </c>
      <c r="S70" s="19">
        <f>IF(AND(ISNUMBER(F70),ISNUMBER(R70),R70&gt;0),F70/R70,"")</f>
        <v/>
      </c>
      <c r="T70" s="18" t="n">
        <v>46323</v>
      </c>
    </row>
    <row r="71">
      <c r="A71" s="20" t="inlineStr">
        <is>
          <t>MRVL</t>
        </is>
      </c>
      <c r="B71" s="20" t="inlineStr">
        <is>
          <t>Marvell Technology, Inc.</t>
        </is>
      </c>
      <c r="C71" s="20" t="inlineStr">
        <is>
          <t>Semiconductors</t>
        </is>
      </c>
      <c r="D71" s="20" t="inlineStr">
        <is>
          <t>United States</t>
        </is>
      </c>
      <c r="E71" s="21" t="n">
        <v>218.9</v>
      </c>
      <c r="F71" s="22" t="n">
        <v>243.57</v>
      </c>
      <c r="G71" s="22" t="n">
        <v>341.43552</v>
      </c>
      <c r="H71" s="23">
        <f>IF(AND(ISNUMBER(F71),ISNUMBER(G71),F71&gt;0),G71/F71-1,"")</f>
        <v/>
      </c>
      <c r="I71" s="22" t="n">
        <v>229.95</v>
      </c>
      <c r="J71" s="23">
        <f>IF(AND(ISNUMBER(F71),ISNUMBER(I71),F71&gt;0),I71/F71-1,"")</f>
        <v/>
      </c>
      <c r="K71" s="22" t="n">
        <v>450</v>
      </c>
      <c r="L71" s="23">
        <f>IF(AND(ISNUMBER(F71),ISNUMBER(K71),F71&gt;0),K71/F71-1,"")</f>
        <v/>
      </c>
      <c r="M71" s="24" t="n">
        <v>43</v>
      </c>
      <c r="N71" s="25" t="n">
        <v>0.24</v>
      </c>
      <c r="O71" s="26">
        <f>IF(AND(ISNUMBER(F71),ISNUMBER(N71),F71&gt;0),N71/F71,"")</f>
        <v/>
      </c>
      <c r="P71" s="27" t="n">
        <v>46304</v>
      </c>
      <c r="Q71" s="27" t="n">
        <v>46357</v>
      </c>
      <c r="R71" s="25" t="n">
        <v>3.04</v>
      </c>
      <c r="S71" s="28">
        <f>IF(AND(ISNUMBER(F71),ISNUMBER(R71),R71&gt;0),F71/R71,"")</f>
        <v/>
      </c>
      <c r="T71" s="27" t="n">
        <v>46323</v>
      </c>
    </row>
    <row r="72">
      <c r="A72" s="11" t="inlineStr">
        <is>
          <t>SHOP</t>
        </is>
      </c>
      <c r="B72" s="11" t="inlineStr">
        <is>
          <t>Shopify Inc.</t>
        </is>
      </c>
      <c r="C72" s="11" t="inlineStr">
        <is>
          <t>Software - Application</t>
        </is>
      </c>
      <c r="D72" s="11" t="inlineStr">
        <is>
          <t>Canada</t>
        </is>
      </c>
      <c r="E72" s="12" t="n">
        <v>215.16</v>
      </c>
      <c r="F72" s="13" t="n">
        <v>165.81</v>
      </c>
      <c r="G72" s="13" t="n">
        <v>176.35417</v>
      </c>
      <c r="H72" s="14">
        <f>IF(AND(ISNUMBER(F72),ISNUMBER(G72),F72&gt;0),G72/F72-1,"")</f>
        <v/>
      </c>
      <c r="I72" s="13" t="n">
        <v>120</v>
      </c>
      <c r="J72" s="14">
        <f>IF(AND(ISNUMBER(F72),ISNUMBER(I72),F72&gt;0),I72/F72-1,"")</f>
        <v/>
      </c>
      <c r="K72" s="13" t="n">
        <v>220</v>
      </c>
      <c r="L72" s="14">
        <f>IF(AND(ISNUMBER(F72),ISNUMBER(K72),F72&gt;0),K72/F72-1,"")</f>
        <v/>
      </c>
      <c r="M72" s="15" t="n">
        <v>48</v>
      </c>
      <c r="N72" s="16" t="n"/>
      <c r="O72" s="17">
        <f>IF(AND(ISNUMBER(F72),ISNUMBER(N72),F72&gt;0),N72/F72,"")</f>
        <v/>
      </c>
      <c r="P72" s="18" t="n"/>
      <c r="Q72" s="18" t="n">
        <v>46329</v>
      </c>
      <c r="R72" s="16" t="n">
        <v>1.48</v>
      </c>
      <c r="S72" s="19">
        <f>IF(AND(ISNUMBER(F72),ISNUMBER(R72),R72&gt;0),F72/R72,"")</f>
        <v/>
      </c>
      <c r="T72" s="18" t="n">
        <v>46323</v>
      </c>
    </row>
    <row r="73">
      <c r="A73" s="20" t="inlineStr">
        <is>
          <t>LVMUY</t>
        </is>
      </c>
      <c r="B73" s="20" t="inlineStr">
        <is>
          <t>LVMH-Moet Hennessy Louis Vuitto</t>
        </is>
      </c>
      <c r="C73" s="20" t="inlineStr">
        <is>
          <t>Luxury Goods</t>
        </is>
      </c>
      <c r="D73" s="20" t="inlineStr">
        <is>
          <t>France</t>
        </is>
      </c>
      <c r="E73" s="21" t="n">
        <v>213.18</v>
      </c>
      <c r="F73" s="22" t="n">
        <v>86.48999999999999</v>
      </c>
      <c r="G73" s="22" t="n">
        <v>106.83333</v>
      </c>
      <c r="H73" s="23">
        <f>IF(AND(ISNUMBER(F73),ISNUMBER(G73),F73&gt;0),G73/F73-1,"")</f>
        <v/>
      </c>
      <c r="I73" s="22" t="n">
        <v>95.5</v>
      </c>
      <c r="J73" s="23">
        <f>IF(AND(ISNUMBER(F73),ISNUMBER(I73),F73&gt;0),I73/F73-1,"")</f>
        <v/>
      </c>
      <c r="K73" s="22" t="n">
        <v>121</v>
      </c>
      <c r="L73" s="23">
        <f>IF(AND(ISNUMBER(F73),ISNUMBER(K73),F73&gt;0),K73/F73-1,"")</f>
        <v/>
      </c>
      <c r="M73" s="24" t="n">
        <v>3</v>
      </c>
      <c r="N73" s="25" t="n">
        <v>3.04</v>
      </c>
      <c r="O73" s="26">
        <f>IF(AND(ISNUMBER(F73),ISNUMBER(N73),F73&gt;0),N73/F73,"")</f>
        <v/>
      </c>
      <c r="P73" s="27" t="n">
        <v>46356</v>
      </c>
      <c r="Q73" s="27" t="n">
        <v>46230</v>
      </c>
      <c r="R73" s="25" t="n">
        <v>5.12</v>
      </c>
      <c r="S73" s="28">
        <f>IF(AND(ISNUMBER(F73),ISNUMBER(R73),R73&gt;0),F73/R73,"")</f>
        <v/>
      </c>
      <c r="T73" s="27" t="n">
        <v>46323</v>
      </c>
    </row>
    <row r="74">
      <c r="A74" s="11" t="inlineStr">
        <is>
          <t>BHP</t>
        </is>
      </c>
      <c r="B74" s="11" t="inlineStr">
        <is>
          <t>BHP Group Limited</t>
        </is>
      </c>
      <c r="C74" s="11" t="inlineStr">
        <is>
          <t>Other Industrial Metals &amp; Mining</t>
        </is>
      </c>
      <c r="D74" s="11" t="inlineStr">
        <is>
          <t>Australia</t>
        </is>
      </c>
      <c r="E74" s="12" t="n">
        <v>209.93</v>
      </c>
      <c r="F74" s="13" t="n">
        <v>82.59999999999999</v>
      </c>
      <c r="G74" s="13" t="n">
        <v>78.14286</v>
      </c>
      <c r="H74" s="14">
        <f>IF(AND(ISNUMBER(F74),ISNUMBER(G74),F74&gt;0),G74/F74-1,"")</f>
        <v/>
      </c>
      <c r="I74" s="13" t="n">
        <v>62</v>
      </c>
      <c r="J74" s="14">
        <f>IF(AND(ISNUMBER(F74),ISNUMBER(I74),F74&gt;0),I74/F74-1,"")</f>
        <v/>
      </c>
      <c r="K74" s="13" t="n">
        <v>96</v>
      </c>
      <c r="L74" s="14">
        <f>IF(AND(ISNUMBER(F74),ISNUMBER(K74),F74&gt;0),K74/F74-1,"")</f>
        <v/>
      </c>
      <c r="M74" s="15" t="n">
        <v>7</v>
      </c>
      <c r="N74" s="16" t="n">
        <v>3.96</v>
      </c>
      <c r="O74" s="17">
        <f>IF(AND(ISNUMBER(F74),ISNUMBER(N74),F74&gt;0),N74/F74,"")</f>
        <v/>
      </c>
      <c r="P74" s="18" t="n">
        <v>46269</v>
      </c>
      <c r="Q74" s="18" t="n">
        <v>46251</v>
      </c>
      <c r="R74" s="16" t="n">
        <v>3.86</v>
      </c>
      <c r="S74" s="19">
        <f>IF(AND(ISNUMBER(F74),ISNUMBER(R74),R74&gt;0),F74/R74,"")</f>
        <v/>
      </c>
      <c r="T74" s="18" t="n">
        <v>46323</v>
      </c>
    </row>
    <row r="75">
      <c r="A75" s="20" t="inlineStr">
        <is>
          <t>AXP</t>
        </is>
      </c>
      <c r="B75" s="20" t="inlineStr">
        <is>
          <t>American Express Company</t>
        </is>
      </c>
      <c r="C75" s="20" t="inlineStr">
        <is>
          <t>Credit Services</t>
        </is>
      </c>
      <c r="D75" s="20" t="inlineStr">
        <is>
          <t>United States</t>
        </is>
      </c>
      <c r="E75" s="21" t="n">
        <v>209.82</v>
      </c>
      <c r="F75" s="22" t="n">
        <v>312.91</v>
      </c>
      <c r="G75" s="22" t="n">
        <v>369.3156</v>
      </c>
      <c r="H75" s="23">
        <f>IF(AND(ISNUMBER(F75),ISNUMBER(G75),F75&gt;0),G75/F75-1,"")</f>
        <v/>
      </c>
      <c r="I75" s="22" t="n">
        <v>329</v>
      </c>
      <c r="J75" s="23">
        <f>IF(AND(ISNUMBER(F75),ISNUMBER(I75),F75&gt;0),I75/F75-1,"")</f>
        <v/>
      </c>
      <c r="K75" s="22" t="n">
        <v>450</v>
      </c>
      <c r="L75" s="23">
        <f>IF(AND(ISNUMBER(F75),ISNUMBER(K75),F75&gt;0),K75/F75-1,"")</f>
        <v/>
      </c>
      <c r="M75" s="24" t="n">
        <v>25</v>
      </c>
      <c r="N75" s="25" t="n">
        <v>3.8</v>
      </c>
      <c r="O75" s="26">
        <f>IF(AND(ISNUMBER(F75),ISNUMBER(N75),F75&gt;0),N75/F75,"")</f>
        <v/>
      </c>
      <c r="P75" s="27" t="n">
        <v>46304</v>
      </c>
      <c r="Q75" s="27" t="n">
        <v>46318</v>
      </c>
      <c r="R75" s="25" t="n">
        <v>16.48</v>
      </c>
      <c r="S75" s="28">
        <f>IF(AND(ISNUMBER(F75),ISNUMBER(R75),R75&gt;0),F75/R75,"")</f>
        <v/>
      </c>
      <c r="T75" s="27" t="n">
        <v>46323</v>
      </c>
    </row>
    <row r="76">
      <c r="A76" s="11" t="inlineStr">
        <is>
          <t>ADI</t>
        </is>
      </c>
      <c r="B76" s="11" t="inlineStr">
        <is>
          <t>Analog Devices, Inc.</t>
        </is>
      </c>
      <c r="C76" s="11" t="inlineStr">
        <is>
          <t>Semiconductors</t>
        </is>
      </c>
      <c r="D76" s="11" t="inlineStr">
        <is>
          <t>United States</t>
        </is>
      </c>
      <c r="E76" s="12" t="n">
        <v>206.11</v>
      </c>
      <c r="F76" s="13" t="n">
        <v>425.35</v>
      </c>
      <c r="G76" s="13" t="n">
        <v>472.4375</v>
      </c>
      <c r="H76" s="14">
        <f>IF(AND(ISNUMBER(F76),ISNUMBER(G76),F76&gt;0),G76/F76-1,"")</f>
        <v/>
      </c>
      <c r="I76" s="13" t="n">
        <v>365</v>
      </c>
      <c r="J76" s="14">
        <f>IF(AND(ISNUMBER(F76),ISNUMBER(I76),F76&gt;0),I76/F76-1,"")</f>
        <v/>
      </c>
      <c r="K76" s="13" t="n">
        <v>675</v>
      </c>
      <c r="L76" s="14">
        <f>IF(AND(ISNUMBER(F76),ISNUMBER(K76),F76&gt;0),K76/F76-1,"")</f>
        <v/>
      </c>
      <c r="M76" s="15" t="n">
        <v>32</v>
      </c>
      <c r="N76" s="16" t="n">
        <v>4.4</v>
      </c>
      <c r="O76" s="17">
        <f>IF(AND(ISNUMBER(F76),ISNUMBER(N76),F76&gt;0),N76/F76,"")</f>
        <v/>
      </c>
      <c r="P76" s="18" t="n">
        <v>46266</v>
      </c>
      <c r="Q76" s="18" t="n">
        <v>46350</v>
      </c>
      <c r="R76" s="16" t="n">
        <v>8.42</v>
      </c>
      <c r="S76" s="19">
        <f>IF(AND(ISNUMBER(F76),ISNUMBER(R76),R76&gt;0),F76/R76,"")</f>
        <v/>
      </c>
      <c r="T76" s="18" t="n">
        <v>46323</v>
      </c>
    </row>
    <row r="77">
      <c r="A77" s="20" t="inlineStr">
        <is>
          <t>TD</t>
        </is>
      </c>
      <c r="B77" s="20" t="inlineStr">
        <is>
          <t>Toronto Dominion Bank (The)</t>
        </is>
      </c>
      <c r="C77" s="20" t="inlineStr">
        <is>
          <t>Banks - Diversified</t>
        </is>
      </c>
      <c r="D77" s="20" t="inlineStr">
        <is>
          <t>Canada</t>
        </is>
      </c>
      <c r="E77" s="21" t="n">
        <v>205.4</v>
      </c>
      <c r="F77" s="22" t="n">
        <v>125.78</v>
      </c>
      <c r="G77" s="22" t="n">
        <v>121.1053</v>
      </c>
      <c r="H77" s="23">
        <f>IF(AND(ISNUMBER(F77),ISNUMBER(G77),F77&gt;0),G77/F77-1,"")</f>
        <v/>
      </c>
      <c r="I77" s="22" t="n">
        <v>96.64096000000001</v>
      </c>
      <c r="J77" s="23">
        <f>IF(AND(ISNUMBER(F77),ISNUMBER(I77),F77&gt;0),I77/F77-1,"")</f>
        <v/>
      </c>
      <c r="K77" s="22" t="n">
        <v>137.07318</v>
      </c>
      <c r="L77" s="23">
        <f>IF(AND(ISNUMBER(F77),ISNUMBER(K77),F77&gt;0),K77/F77-1,"")</f>
        <v/>
      </c>
      <c r="M77" s="24" t="n">
        <v>3</v>
      </c>
      <c r="N77" s="25" t="n">
        <v>3.2</v>
      </c>
      <c r="O77" s="26">
        <f>IF(AND(ISNUMBER(F77),ISNUMBER(N77),F77&gt;0),N77/F77,"")</f>
        <v/>
      </c>
      <c r="P77" s="27" t="n">
        <v>46304</v>
      </c>
      <c r="Q77" s="27" t="n">
        <v>46359</v>
      </c>
      <c r="R77" s="25" t="n">
        <v>6.74</v>
      </c>
      <c r="S77" s="28">
        <f>IF(AND(ISNUMBER(F77),ISNUMBER(R77),R77&gt;0),F77/R77,"")</f>
        <v/>
      </c>
      <c r="T77" s="27" t="n">
        <v>46323</v>
      </c>
    </row>
    <row r="78">
      <c r="A78" s="11" t="inlineStr">
        <is>
          <t>TTE</t>
        </is>
      </c>
      <c r="B78" s="11" t="inlineStr">
        <is>
          <t>TotalEnergies SE</t>
        </is>
      </c>
      <c r="C78" s="11" t="inlineStr">
        <is>
          <t>Oil &amp; Gas Integrated</t>
        </is>
      </c>
      <c r="D78" s="11" t="inlineStr">
        <is>
          <t>France</t>
        </is>
      </c>
      <c r="E78" s="12" t="n">
        <v>203.62</v>
      </c>
      <c r="F78" s="13" t="n">
        <v>92.34999999999999</v>
      </c>
      <c r="G78" s="13" t="n">
        <v>99.65000000000001</v>
      </c>
      <c r="H78" s="14">
        <f>IF(AND(ISNUMBER(F78),ISNUMBER(G78),F78&gt;0),G78/F78-1,"")</f>
        <v/>
      </c>
      <c r="I78" s="13" t="n">
        <v>81</v>
      </c>
      <c r="J78" s="14">
        <f>IF(AND(ISNUMBER(F78),ISNUMBER(I78),F78&gt;0),I78/F78-1,"")</f>
        <v/>
      </c>
      <c r="K78" s="13" t="n">
        <v>119</v>
      </c>
      <c r="L78" s="14">
        <f>IF(AND(ISNUMBER(F78),ISNUMBER(K78),F78&gt;0),K78/F78-1,"")</f>
        <v/>
      </c>
      <c r="M78" s="15" t="n">
        <v>10</v>
      </c>
      <c r="N78" s="16" t="n">
        <v>4.04</v>
      </c>
      <c r="O78" s="17">
        <f>IF(AND(ISNUMBER(F78),ISNUMBER(N78),F78&gt;0),N78/F78,"")</f>
        <v/>
      </c>
      <c r="P78" s="18" t="n">
        <v>46387</v>
      </c>
      <c r="Q78" s="18" t="n">
        <v>46324</v>
      </c>
      <c r="R78" s="16" t="n">
        <v>7.99</v>
      </c>
      <c r="S78" s="19">
        <f>IF(AND(ISNUMBER(F78),ISNUMBER(R78),R78&gt;0),F78/R78,"")</f>
        <v/>
      </c>
      <c r="T78" s="18" t="n">
        <v>46323</v>
      </c>
    </row>
    <row r="79">
      <c r="A79" s="20" t="inlineStr">
        <is>
          <t>C</t>
        </is>
      </c>
      <c r="B79" s="20" t="inlineStr">
        <is>
          <t>Citigroup, Inc.</t>
        </is>
      </c>
      <c r="C79" s="20" t="inlineStr">
        <is>
          <t>Banks - Diversified</t>
        </is>
      </c>
      <c r="D79" s="20" t="inlineStr">
        <is>
          <t>United States</t>
        </is>
      </c>
      <c r="E79" s="21" t="n">
        <v>203.08</v>
      </c>
      <c r="F79" s="22" t="n">
        <v>122.69</v>
      </c>
      <c r="G79" s="22" t="n">
        <v>150.7143</v>
      </c>
      <c r="H79" s="23">
        <f>IF(AND(ISNUMBER(F79),ISNUMBER(G79),F79&gt;0),G79/F79-1,"")</f>
        <v/>
      </c>
      <c r="I79" s="22" t="n">
        <v>127</v>
      </c>
      <c r="J79" s="23">
        <f>IF(AND(ISNUMBER(F79),ISNUMBER(I79),F79&gt;0),I79/F79-1,"")</f>
        <v/>
      </c>
      <c r="K79" s="22" t="n">
        <v>170</v>
      </c>
      <c r="L79" s="23">
        <f>IF(AND(ISNUMBER(F79),ISNUMBER(K79),F79&gt;0),K79/F79-1,"")</f>
        <v/>
      </c>
      <c r="M79" s="24" t="n">
        <v>21</v>
      </c>
      <c r="N79" s="25" t="n">
        <v>2.68</v>
      </c>
      <c r="O79" s="26">
        <f>IF(AND(ISNUMBER(F79),ISNUMBER(N79),F79&gt;0),N79/F79,"")</f>
        <v/>
      </c>
      <c r="P79" s="27" t="n">
        <v>46328</v>
      </c>
      <c r="Q79" s="27" t="n">
        <v>46401</v>
      </c>
      <c r="R79" s="25" t="n">
        <v>10.26</v>
      </c>
      <c r="S79" s="28">
        <f>IF(AND(ISNUMBER(F79),ISNUMBER(R79),R79&gt;0),F79/R79,"")</f>
        <v/>
      </c>
      <c r="T79" s="27" t="n">
        <v>46323</v>
      </c>
    </row>
    <row r="80">
      <c r="A80" s="11" t="inlineStr">
        <is>
          <t>KLAC</t>
        </is>
      </c>
      <c r="B80" s="11" t="inlineStr">
        <is>
          <t>KLA Corporation</t>
        </is>
      </c>
      <c r="C80" s="11" t="inlineStr">
        <is>
          <t>Semiconductor Equipment &amp; Materials</t>
        </is>
      </c>
      <c r="D80" s="11" t="inlineStr">
        <is>
          <t>United States</t>
        </is>
      </c>
      <c r="E80" s="12" t="n">
        <v>200.53</v>
      </c>
      <c r="F80" s="13" t="n">
        <v>153.66</v>
      </c>
      <c r="G80" s="13" t="n">
        <v>232.38461</v>
      </c>
      <c r="H80" s="14">
        <f>IF(AND(ISNUMBER(F80),ISNUMBER(G80),F80&gt;0),G80/F80-1,"")</f>
        <v/>
      </c>
      <c r="I80" s="13" t="n">
        <v>175</v>
      </c>
      <c r="J80" s="14">
        <f>IF(AND(ISNUMBER(F80),ISNUMBER(I80),F80&gt;0),I80/F80-1,"")</f>
        <v/>
      </c>
      <c r="K80" s="13" t="n">
        <v>325</v>
      </c>
      <c r="L80" s="14">
        <f>IF(AND(ISNUMBER(F80),ISNUMBER(K80),F80&gt;0),K80/F80-1,"")</f>
        <v/>
      </c>
      <c r="M80" s="15" t="n">
        <v>26</v>
      </c>
      <c r="N80" s="16" t="n">
        <v>0.92</v>
      </c>
      <c r="O80" s="17">
        <f>IF(AND(ISNUMBER(F80),ISNUMBER(N80),F80&gt;0),N80/F80,"")</f>
        <v/>
      </c>
      <c r="P80" s="18" t="n">
        <v>46251</v>
      </c>
      <c r="Q80" s="18" t="n">
        <v>46323</v>
      </c>
      <c r="R80" s="16" t="n">
        <v>3.66</v>
      </c>
      <c r="S80" s="19">
        <f>IF(AND(ISNUMBER(F80),ISNUMBER(R80),R80&gt;0),F80/R80,"")</f>
        <v/>
      </c>
      <c r="T80" s="18" t="n">
        <v>46323</v>
      </c>
    </row>
    <row r="81">
      <c r="A81" s="20" t="inlineStr">
        <is>
          <t>CRM</t>
        </is>
      </c>
      <c r="B81" s="20" t="inlineStr">
        <is>
          <t>Salesforce, Inc.</t>
        </is>
      </c>
      <c r="C81" s="20" t="inlineStr">
        <is>
          <t>Software - Application</t>
        </is>
      </c>
      <c r="D81" s="20" t="inlineStr">
        <is>
          <t>United States</t>
        </is>
      </c>
      <c r="E81" s="21" t="n">
        <v>198.25</v>
      </c>
      <c r="F81" s="22" t="n">
        <v>240.89</v>
      </c>
      <c r="G81" s="22" t="n">
        <v>287.0836</v>
      </c>
      <c r="H81" s="23">
        <f>IF(AND(ISNUMBER(F81),ISNUMBER(G81),F81&gt;0),G81/F81-1,"")</f>
        <v/>
      </c>
      <c r="I81" s="22" t="n">
        <v>165</v>
      </c>
      <c r="J81" s="23">
        <f>IF(AND(ISNUMBER(F81),ISNUMBER(I81),F81&gt;0),I81/F81-1,"")</f>
        <v/>
      </c>
      <c r="K81" s="22" t="n">
        <v>475</v>
      </c>
      <c r="L81" s="23">
        <f>IF(AND(ISNUMBER(F81),ISNUMBER(K81),F81&gt;0),K81/F81-1,"")</f>
        <v/>
      </c>
      <c r="M81" s="24" t="n">
        <v>53</v>
      </c>
      <c r="N81" s="25" t="n">
        <v>1.76</v>
      </c>
      <c r="O81" s="26">
        <f>IF(AND(ISNUMBER(F81),ISNUMBER(N81),F81&gt;0),N81/F81,"")</f>
        <v/>
      </c>
      <c r="P81" s="27" t="n">
        <v>46282</v>
      </c>
      <c r="Q81" s="27" t="n">
        <v>46358</v>
      </c>
      <c r="R81" s="25" t="n">
        <v>10.93</v>
      </c>
      <c r="S81" s="28">
        <f>IF(AND(ISNUMBER(F81),ISNUMBER(R81),R81&gt;0),F81/R81,"")</f>
        <v/>
      </c>
      <c r="T81" s="27" t="n">
        <v>46323</v>
      </c>
    </row>
    <row r="82">
      <c r="A82" s="11" t="inlineStr">
        <is>
          <t>GILD</t>
        </is>
      </c>
      <c r="B82" s="11" t="inlineStr">
        <is>
          <t>Gilead Sciences, Inc.</t>
        </is>
      </c>
      <c r="C82" s="11" t="inlineStr">
        <is>
          <t>Drug Manufacturers - General</t>
        </is>
      </c>
      <c r="D82" s="11" t="inlineStr">
        <is>
          <t>United States</t>
        </is>
      </c>
      <c r="E82" s="12" t="n">
        <v>197.25</v>
      </c>
      <c r="F82" s="13" t="n">
        <v>159.08</v>
      </c>
      <c r="G82" s="13" t="n">
        <v>160.1923</v>
      </c>
      <c r="H82" s="14">
        <f>IF(AND(ISNUMBER(F82),ISNUMBER(G82),F82&gt;0),G82/F82-1,"")</f>
        <v/>
      </c>
      <c r="I82" s="13" t="n">
        <v>126</v>
      </c>
      <c r="J82" s="14">
        <f>IF(AND(ISNUMBER(F82),ISNUMBER(I82),F82&gt;0),I82/F82-1,"")</f>
        <v/>
      </c>
      <c r="K82" s="13" t="n">
        <v>185</v>
      </c>
      <c r="L82" s="14">
        <f>IF(AND(ISNUMBER(F82),ISNUMBER(K82),F82&gt;0),K82/F82-1,"")</f>
        <v/>
      </c>
      <c r="M82" s="15" t="n">
        <v>26</v>
      </c>
      <c r="N82" s="16" t="n">
        <v>3.28</v>
      </c>
      <c r="O82" s="17">
        <f>IF(AND(ISNUMBER(F82),ISNUMBER(N82),F82&gt;0),N82/F82,"")</f>
        <v/>
      </c>
      <c r="P82" s="18" t="n">
        <v>46280</v>
      </c>
      <c r="Q82" s="18" t="n">
        <v>46324</v>
      </c>
      <c r="R82" s="16" t="n">
        <v>-2.65</v>
      </c>
      <c r="S82" s="19">
        <f>IF(AND(ISNUMBER(F82),ISNUMBER(R82),R82&gt;0),F82/R82,"")</f>
        <v/>
      </c>
      <c r="T82" s="18" t="n">
        <v>46323</v>
      </c>
    </row>
    <row r="83">
      <c r="A83" s="20" t="inlineStr">
        <is>
          <t>QCOM</t>
        </is>
      </c>
      <c r="B83" s="20" t="inlineStr">
        <is>
          <t>QUALCOMM Incorporated</t>
        </is>
      </c>
      <c r="C83" s="20" t="inlineStr">
        <is>
          <t>Semiconductors</t>
        </is>
      </c>
      <c r="D83" s="20" t="inlineStr">
        <is>
          <t>United States</t>
        </is>
      </c>
      <c r="E83" s="21" t="n">
        <v>196.66</v>
      </c>
      <c r="F83" s="22" t="n">
        <v>184.17</v>
      </c>
      <c r="G83" s="22" t="n">
        <v>196.3</v>
      </c>
      <c r="H83" s="23">
        <f>IF(AND(ISNUMBER(F83),ISNUMBER(G83),F83&gt;0),G83/F83-1,"")</f>
        <v/>
      </c>
      <c r="I83" s="22" t="n">
        <v>100</v>
      </c>
      <c r="J83" s="23">
        <f>IF(AND(ISNUMBER(F83),ISNUMBER(I83),F83&gt;0),I83/F83-1,"")</f>
        <v/>
      </c>
      <c r="K83" s="22" t="n">
        <v>400</v>
      </c>
      <c r="L83" s="23">
        <f>IF(AND(ISNUMBER(F83),ISNUMBER(K83),F83&gt;0),K83/F83-1,"")</f>
        <v/>
      </c>
      <c r="M83" s="24" t="n">
        <v>30</v>
      </c>
      <c r="N83" s="25" t="n">
        <v>3.68</v>
      </c>
      <c r="O83" s="26">
        <f>IF(AND(ISNUMBER(F83),ISNUMBER(N83),F83&gt;0),N83/F83,"")</f>
        <v/>
      </c>
      <c r="P83" s="27" t="n">
        <v>46359</v>
      </c>
      <c r="Q83" s="27" t="n">
        <v>46330</v>
      </c>
      <c r="R83" s="25" t="n">
        <v>8.640000000000001</v>
      </c>
      <c r="S83" s="28">
        <f>IF(AND(ISNUMBER(F83),ISNUMBER(R83),R83&gt;0),F83/R83,"")</f>
        <v/>
      </c>
      <c r="T83" s="27" t="n">
        <v>46323</v>
      </c>
    </row>
    <row r="84">
      <c r="A84" s="11" t="inlineStr">
        <is>
          <t>APH</t>
        </is>
      </c>
      <c r="B84" s="11" t="inlineStr">
        <is>
          <t>Amphenol Corporation</t>
        </is>
      </c>
      <c r="C84" s="11" t="inlineStr">
        <is>
          <t>Electronic Components</t>
        </is>
      </c>
      <c r="D84" s="11" t="inlineStr">
        <is>
          <t>United States</t>
        </is>
      </c>
      <c r="E84" s="12" t="n">
        <v>192.86</v>
      </c>
      <c r="F84" s="13" t="n">
        <v>78.20999999999999</v>
      </c>
      <c r="G84" s="13" t="n">
        <v>102.97368</v>
      </c>
      <c r="H84" s="14">
        <f>IF(AND(ISNUMBER(F84),ISNUMBER(G84),F84&gt;0),G84/F84-1,"")</f>
        <v/>
      </c>
      <c r="I84" s="13" t="n">
        <v>85</v>
      </c>
      <c r="J84" s="14">
        <f>IF(AND(ISNUMBER(F84),ISNUMBER(I84),F84&gt;0),I84/F84-1,"")</f>
        <v/>
      </c>
      <c r="K84" s="13" t="n">
        <v>116</v>
      </c>
      <c r="L84" s="14">
        <f>IF(AND(ISNUMBER(F84),ISNUMBER(K84),F84&gt;0),K84/F84-1,"")</f>
        <v/>
      </c>
      <c r="M84" s="15" t="n">
        <v>19</v>
      </c>
      <c r="N84" s="16" t="n">
        <v>0.5</v>
      </c>
      <c r="O84" s="17">
        <f>IF(AND(ISNUMBER(F84),ISNUMBER(N84),F84&gt;0),N84/F84,"")</f>
        <v/>
      </c>
      <c r="P84" s="18" t="n">
        <v>46287</v>
      </c>
      <c r="Q84" s="18" t="n">
        <v>46323</v>
      </c>
      <c r="R84" s="16" t="n">
        <v>2</v>
      </c>
      <c r="S84" s="19">
        <f>IF(AND(ISNUMBER(F84),ISNUMBER(R84),R84&gt;0),F84/R84,"")</f>
        <v/>
      </c>
      <c r="T84" s="18" t="n">
        <v>46323</v>
      </c>
    </row>
    <row r="85">
      <c r="A85" s="20" t="inlineStr">
        <is>
          <t>DIS</t>
        </is>
      </c>
      <c r="B85" s="20" t="inlineStr">
        <is>
          <t>Walt Disney Company (The)</t>
        </is>
      </c>
      <c r="C85" s="20" t="inlineStr">
        <is>
          <t>Entertainment</t>
        </is>
      </c>
      <c r="D85" s="20" t="inlineStr">
        <is>
          <t>United States</t>
        </is>
      </c>
      <c r="E85" s="21" t="n">
        <v>190.33</v>
      </c>
      <c r="F85" s="22" t="n">
        <v>110.23</v>
      </c>
      <c r="G85" s="22" t="n">
        <v>126.58281</v>
      </c>
      <c r="H85" s="23">
        <f>IF(AND(ISNUMBER(F85),ISNUMBER(G85),F85&gt;0),G85/F85-1,"")</f>
        <v/>
      </c>
      <c r="I85" s="22" t="n">
        <v>86</v>
      </c>
      <c r="J85" s="23">
        <f>IF(AND(ISNUMBER(F85),ISNUMBER(I85),F85&gt;0),I85/F85-1,"")</f>
        <v/>
      </c>
      <c r="K85" s="22" t="n">
        <v>144</v>
      </c>
      <c r="L85" s="23">
        <f>IF(AND(ISNUMBER(F85),ISNUMBER(K85),F85&gt;0),K85/F85-1,"")</f>
        <v/>
      </c>
      <c r="M85" s="24" t="n">
        <v>32</v>
      </c>
      <c r="N85" s="25" t="n">
        <v>1.5</v>
      </c>
      <c r="O85" s="26">
        <f>IF(AND(ISNUMBER(F85),ISNUMBER(N85),F85&gt;0),N85/F85,"")</f>
        <v/>
      </c>
      <c r="P85" s="27" t="n">
        <v>46203</v>
      </c>
      <c r="Q85" s="27" t="n">
        <v>46343</v>
      </c>
      <c r="R85" s="25" t="n">
        <v>4.85</v>
      </c>
      <c r="S85" s="28">
        <f>IF(AND(ISNUMBER(F85),ISNUMBER(R85),R85&gt;0),F85/R85,"")</f>
        <v/>
      </c>
      <c r="T85" s="27" t="n">
        <v>46323</v>
      </c>
    </row>
    <row r="86">
      <c r="A86" s="11" t="inlineStr">
        <is>
          <t>SNDK</t>
        </is>
      </c>
      <c r="B86" s="11" t="inlineStr">
        <is>
          <t>Sandisk Corporation</t>
        </is>
      </c>
      <c r="C86" s="11" t="inlineStr">
        <is>
          <t>Computer Hardware</t>
        </is>
      </c>
      <c r="D86" s="11" t="inlineStr">
        <is>
          <t>United States</t>
        </is>
      </c>
      <c r="E86" s="12" t="n">
        <v>188.59</v>
      </c>
      <c r="F86" s="13" t="n">
        <v>1304.84</v>
      </c>
      <c r="G86" s="13" t="n">
        <v>2143.8333</v>
      </c>
      <c r="H86" s="14">
        <f>IF(AND(ISNUMBER(F86),ISNUMBER(G86),F86&gt;0),G86/F86-1,"")</f>
        <v/>
      </c>
      <c r="I86" s="13" t="n">
        <v>1000</v>
      </c>
      <c r="J86" s="14">
        <f>IF(AND(ISNUMBER(F86),ISNUMBER(I86),F86&gt;0),I86/F86-1,"")</f>
        <v/>
      </c>
      <c r="K86" s="13" t="n">
        <v>3600</v>
      </c>
      <c r="L86" s="14">
        <f>IF(AND(ISNUMBER(F86),ISNUMBER(K86),F86&gt;0),K86/F86-1,"")</f>
        <v/>
      </c>
      <c r="M86" s="15" t="n">
        <v>24</v>
      </c>
      <c r="N86" s="16" t="n"/>
      <c r="O86" s="17">
        <f>IF(AND(ISNUMBER(F86),ISNUMBER(N86),F86&gt;0),N86/F86,"")</f>
        <v/>
      </c>
      <c r="P86" s="18" t="n"/>
      <c r="Q86" s="18" t="n">
        <v>46324</v>
      </c>
      <c r="R86" s="16" t="n">
        <v>73.76000000000001</v>
      </c>
      <c r="S86" s="19">
        <f>IF(AND(ISNUMBER(F86),ISNUMBER(R86),R86&gt;0),F86/R86,"")</f>
        <v/>
      </c>
      <c r="T86" s="18" t="n">
        <v>46323</v>
      </c>
    </row>
    <row r="87">
      <c r="A87" s="20" t="inlineStr">
        <is>
          <t>BLK</t>
        </is>
      </c>
      <c r="B87" s="20" t="inlineStr">
        <is>
          <t>BlackRock, Inc.</t>
        </is>
      </c>
      <c r="C87" s="20" t="inlineStr">
        <is>
          <t>Asset Management</t>
        </is>
      </c>
      <c r="D87" s="20" t="inlineStr">
        <is>
          <t>United States</t>
        </is>
      </c>
      <c r="E87" s="21" t="n">
        <v>184.58</v>
      </c>
      <c r="F87" s="22" t="n">
        <v>1136.05</v>
      </c>
      <c r="G87" s="22" t="n">
        <v>1351</v>
      </c>
      <c r="H87" s="23">
        <f>IF(AND(ISNUMBER(F87),ISNUMBER(G87),F87&gt;0),G87/F87-1,"")</f>
        <v/>
      </c>
      <c r="I87" s="22" t="n">
        <v>1250</v>
      </c>
      <c r="J87" s="23">
        <f>IF(AND(ISNUMBER(F87),ISNUMBER(I87),F87&gt;0),I87/F87-1,"")</f>
        <v/>
      </c>
      <c r="K87" s="22" t="n">
        <v>1531</v>
      </c>
      <c r="L87" s="23">
        <f>IF(AND(ISNUMBER(F87),ISNUMBER(K87),F87&gt;0),K87/F87-1,"")</f>
        <v/>
      </c>
      <c r="M87" s="24" t="n">
        <v>17</v>
      </c>
      <c r="N87" s="25" t="n">
        <v>22.92</v>
      </c>
      <c r="O87" s="26">
        <f>IF(AND(ISNUMBER(F87),ISNUMBER(N87),F87&gt;0),N87/F87,"")</f>
        <v/>
      </c>
      <c r="P87" s="27" t="n">
        <v>46273</v>
      </c>
      <c r="Q87" s="27" t="n">
        <v>46401</v>
      </c>
      <c r="R87" s="25" t="n">
        <v>43.92</v>
      </c>
      <c r="S87" s="28">
        <f>IF(AND(ISNUMBER(F87),ISNUMBER(R87),R87&gt;0),F87/R87,"")</f>
        <v/>
      </c>
      <c r="T87" s="27" t="n">
        <v>46323</v>
      </c>
    </row>
    <row r="88">
      <c r="A88" s="11" t="inlineStr">
        <is>
          <t>ALIZY</t>
        </is>
      </c>
      <c r="B88" s="11" t="inlineStr">
        <is>
          <t>Allianz SE</t>
        </is>
      </c>
      <c r="C88" s="11" t="inlineStr">
        <is>
          <t>Insurance - Diversified</t>
        </is>
      </c>
      <c r="D88" s="11" t="inlineStr">
        <is>
          <t>Germany</t>
        </is>
      </c>
      <c r="E88" s="12" t="n">
        <v>183.42</v>
      </c>
      <c r="F88" s="13" t="n">
        <v>48.36</v>
      </c>
      <c r="G88" s="13" t="n">
        <v>63.69212</v>
      </c>
      <c r="H88" s="14">
        <f>IF(AND(ISNUMBER(F88),ISNUMBER(G88),F88&gt;0),G88/F88-1,"")</f>
        <v/>
      </c>
      <c r="I88" s="13" t="n">
        <v>48.48425</v>
      </c>
      <c r="J88" s="14">
        <f>IF(AND(ISNUMBER(F88),ISNUMBER(I88),F88&gt;0),I88/F88-1,"")</f>
        <v/>
      </c>
      <c r="K88" s="13" t="n">
        <v>78.90000000000001</v>
      </c>
      <c r="L88" s="14">
        <f>IF(AND(ISNUMBER(F88),ISNUMBER(K88),F88&gt;0),K88/F88-1,"")</f>
        <v/>
      </c>
      <c r="M88" s="15" t="n">
        <v>2</v>
      </c>
      <c r="N88" s="16" t="n">
        <v>2</v>
      </c>
      <c r="O88" s="17">
        <f>IF(AND(ISNUMBER(F88),ISNUMBER(N88),F88&gt;0),N88/F88,"")</f>
        <v/>
      </c>
      <c r="P88" s="18" t="n">
        <v>46153</v>
      </c>
      <c r="Q88" s="18" t="n">
        <v>46338</v>
      </c>
      <c r="R88" s="16" t="n">
        <v>3.56</v>
      </c>
      <c r="S88" s="19">
        <f>IF(AND(ISNUMBER(F88),ISNUMBER(R88),R88&gt;0),F88/R88,"")</f>
        <v/>
      </c>
      <c r="T88" s="18" t="n">
        <v>46323</v>
      </c>
    </row>
    <row r="89">
      <c r="A89" s="20" t="inlineStr">
        <is>
          <t>VZ</t>
        </is>
      </c>
      <c r="B89" s="20" t="inlineStr">
        <is>
          <t>Verizon Communications Inc.</t>
        </is>
      </c>
      <c r="C89" s="20" t="inlineStr">
        <is>
          <t>Telecom Services</t>
        </is>
      </c>
      <c r="D89" s="20" t="inlineStr">
        <is>
          <t>United States</t>
        </is>
      </c>
      <c r="E89" s="21" t="n">
        <v>182.09</v>
      </c>
      <c r="F89" s="22" t="n">
        <v>43.93</v>
      </c>
      <c r="G89" s="22" t="n">
        <v>50.65</v>
      </c>
      <c r="H89" s="23">
        <f>IF(AND(ISNUMBER(F89),ISNUMBER(G89),F89&gt;0),G89/F89-1,"")</f>
        <v/>
      </c>
      <c r="I89" s="22" t="n">
        <v>44</v>
      </c>
      <c r="J89" s="23">
        <f>IF(AND(ISNUMBER(F89),ISNUMBER(I89),F89&gt;0),I89/F89-1,"")</f>
        <v/>
      </c>
      <c r="K89" s="22" t="n">
        <v>62</v>
      </c>
      <c r="L89" s="23">
        <f>IF(AND(ISNUMBER(F89),ISNUMBER(K89),F89&gt;0),K89/F89-1,"")</f>
        <v/>
      </c>
      <c r="M89" s="24" t="n">
        <v>22</v>
      </c>
      <c r="N89" s="25" t="n">
        <v>2.83</v>
      </c>
      <c r="O89" s="26">
        <f>IF(AND(ISNUMBER(F89),ISNUMBER(N89),F89&gt;0),N89/F89,"")</f>
        <v/>
      </c>
      <c r="P89" s="27" t="n">
        <v>46304</v>
      </c>
      <c r="Q89" s="27" t="n">
        <v>46321</v>
      </c>
      <c r="R89" s="25" t="n">
        <v>3.84</v>
      </c>
      <c r="S89" s="28">
        <f>IF(AND(ISNUMBER(F89),ISNUMBER(R89),R89&gt;0),F89/R89,"")</f>
        <v/>
      </c>
      <c r="T89" s="27" t="n">
        <v>46323</v>
      </c>
    </row>
    <row r="90">
      <c r="A90" s="11" t="inlineStr">
        <is>
          <t>PEP</t>
        </is>
      </c>
      <c r="B90" s="11" t="inlineStr">
        <is>
          <t>Pepsico, Inc.</t>
        </is>
      </c>
      <c r="C90" s="11" t="inlineStr">
        <is>
          <t>Beverages - Non-Alcoholic</t>
        </is>
      </c>
      <c r="D90" s="11" t="inlineStr">
        <is>
          <t>United States</t>
        </is>
      </c>
      <c r="E90" s="12" t="n">
        <v>181.93</v>
      </c>
      <c r="F90" s="13" t="n">
        <v>133.5</v>
      </c>
      <c r="G90" s="13" t="n">
        <v>141.59091</v>
      </c>
      <c r="H90" s="14">
        <f>IF(AND(ISNUMBER(F90),ISNUMBER(G90),F90&gt;0),G90/F90-1,"")</f>
        <v/>
      </c>
      <c r="I90" s="13" t="n">
        <v>106</v>
      </c>
      <c r="J90" s="14">
        <f>IF(AND(ISNUMBER(F90),ISNUMBER(I90),F90&gt;0),I90/F90-1,"")</f>
        <v/>
      </c>
      <c r="K90" s="13" t="n">
        <v>169</v>
      </c>
      <c r="L90" s="14">
        <f>IF(AND(ISNUMBER(F90),ISNUMBER(K90),F90&gt;0),K90/F90-1,"")</f>
        <v/>
      </c>
      <c r="M90" s="15" t="n">
        <v>22</v>
      </c>
      <c r="N90" s="16" t="n">
        <v>5.92</v>
      </c>
      <c r="O90" s="17">
        <f>IF(AND(ISNUMBER(F90),ISNUMBER(N90),F90&gt;0),N90/F90,"")</f>
        <v/>
      </c>
      <c r="P90" s="18" t="n">
        <v>46269</v>
      </c>
      <c r="Q90" s="18" t="n">
        <v>46303</v>
      </c>
      <c r="R90" s="16" t="n">
        <v>7.95</v>
      </c>
      <c r="S90" s="19">
        <f>IF(AND(ISNUMBER(F90),ISNUMBER(R90),R90&gt;0),F90/R90,"")</f>
        <v/>
      </c>
      <c r="T90" s="18" t="n">
        <v>46323</v>
      </c>
    </row>
    <row r="91">
      <c r="A91" s="20" t="inlineStr">
        <is>
          <t>SAN</t>
        </is>
      </c>
      <c r="B91" s="20" t="inlineStr">
        <is>
          <t>Banco Santander, S.A. Sponsored</t>
        </is>
      </c>
      <c r="C91" s="20" t="inlineStr">
        <is>
          <t>Banks - Diversified</t>
        </is>
      </c>
      <c r="D91" s="20" t="inlineStr">
        <is>
          <t>Spain</t>
        </is>
      </c>
      <c r="E91" s="21" t="n">
        <v>180.19</v>
      </c>
      <c r="F91" s="22" t="n">
        <v>12.47</v>
      </c>
      <c r="G91" s="22" t="n">
        <v>14.75667</v>
      </c>
      <c r="H91" s="23">
        <f>IF(AND(ISNUMBER(F91),ISNUMBER(G91),F91&gt;0),G91/F91-1,"")</f>
        <v/>
      </c>
      <c r="I91" s="22" t="n">
        <v>13</v>
      </c>
      <c r="J91" s="23">
        <f>IF(AND(ISNUMBER(F91),ISNUMBER(I91),F91&gt;0),I91/F91-1,"")</f>
        <v/>
      </c>
      <c r="K91" s="22" t="n">
        <v>15.7</v>
      </c>
      <c r="L91" s="23">
        <f>IF(AND(ISNUMBER(F91),ISNUMBER(K91),F91&gt;0),K91/F91-1,"")</f>
        <v/>
      </c>
      <c r="M91" s="24" t="n">
        <v>3</v>
      </c>
      <c r="N91" s="25" t="n">
        <v>0.28</v>
      </c>
      <c r="O91" s="26">
        <f>IF(AND(ISNUMBER(F91),ISNUMBER(N91),F91&gt;0),N91/F91,"")</f>
        <v/>
      </c>
      <c r="P91" s="27" t="n">
        <v>46325</v>
      </c>
      <c r="Q91" s="27" t="n">
        <v>46323</v>
      </c>
      <c r="R91" s="25" t="n">
        <v>1.03</v>
      </c>
      <c r="S91" s="28">
        <f>IF(AND(ISNUMBER(F91),ISNUMBER(R91),R91&gt;0),F91/R91,"")</f>
        <v/>
      </c>
      <c r="T91" s="27" t="n">
        <v>46323</v>
      </c>
    </row>
    <row r="92">
      <c r="A92" s="11" t="inlineStr">
        <is>
          <t>ABT</t>
        </is>
      </c>
      <c r="B92" s="11" t="inlineStr">
        <is>
          <t>Abbott Laboratories</t>
        </is>
      </c>
      <c r="C92" s="11" t="inlineStr">
        <is>
          <t>Medical Devices</t>
        </is>
      </c>
      <c r="D92" s="11" t="inlineStr">
        <is>
          <t>United States</t>
        </is>
      </c>
      <c r="E92" s="12" t="n">
        <v>178.4</v>
      </c>
      <c r="F92" s="13" t="n">
        <v>103.1</v>
      </c>
      <c r="G92" s="13" t="n">
        <v>118.52269</v>
      </c>
      <c r="H92" s="14">
        <f>IF(AND(ISNUMBER(F92),ISNUMBER(G92),F92&gt;0),G92/F92-1,"")</f>
        <v/>
      </c>
      <c r="I92" s="13" t="n">
        <v>100</v>
      </c>
      <c r="J92" s="14">
        <f>IF(AND(ISNUMBER(F92),ISNUMBER(I92),F92&gt;0),I92/F92-1,"")</f>
        <v/>
      </c>
      <c r="K92" s="13" t="n">
        <v>130</v>
      </c>
      <c r="L92" s="14">
        <f>IF(AND(ISNUMBER(F92),ISNUMBER(K92),F92&gt;0),K92/F92-1,"")</f>
        <v/>
      </c>
      <c r="M92" s="15" t="n">
        <v>26</v>
      </c>
      <c r="N92" s="16" t="n">
        <v>2.52</v>
      </c>
      <c r="O92" s="17">
        <f>IF(AND(ISNUMBER(F92),ISNUMBER(N92),F92&gt;0),N92/F92,"")</f>
        <v/>
      </c>
      <c r="P92" s="18" t="n">
        <v>46310</v>
      </c>
      <c r="Q92" s="18" t="n">
        <v>46316</v>
      </c>
      <c r="R92" s="16" t="n">
        <v>2.69</v>
      </c>
      <c r="S92" s="19">
        <f>IF(AND(ISNUMBER(F92),ISNUMBER(R92),R92&gt;0),F92/R92,"")</f>
        <v/>
      </c>
      <c r="T92" s="18" t="n">
        <v>46323</v>
      </c>
    </row>
    <row r="93">
      <c r="A93" s="20" t="inlineStr">
        <is>
          <t>UNP</t>
        </is>
      </c>
      <c r="B93" s="20" t="inlineStr">
        <is>
          <t>Union Pacific Corporation</t>
        </is>
      </c>
      <c r="C93" s="20" t="inlineStr">
        <is>
          <t>Railroads</t>
        </is>
      </c>
      <c r="D93" s="20" t="inlineStr">
        <is>
          <t>United States</t>
        </is>
      </c>
      <c r="E93" s="21" t="n">
        <v>178.15</v>
      </c>
      <c r="F93" s="22" t="n">
        <v>299.88</v>
      </c>
      <c r="G93" s="22" t="n">
        <v>331</v>
      </c>
      <c r="H93" s="23">
        <f>IF(AND(ISNUMBER(F93),ISNUMBER(G93),F93&gt;0),G93/F93-1,"")</f>
        <v/>
      </c>
      <c r="I93" s="22" t="n">
        <v>245</v>
      </c>
      <c r="J93" s="23">
        <f>IF(AND(ISNUMBER(F93),ISNUMBER(I93),F93&gt;0),I93/F93-1,"")</f>
        <v/>
      </c>
      <c r="K93" s="22" t="n">
        <v>375</v>
      </c>
      <c r="L93" s="23">
        <f>IF(AND(ISNUMBER(F93),ISNUMBER(K93),F93&gt;0),K93/F93-1,"")</f>
        <v/>
      </c>
      <c r="M93" s="24" t="n">
        <v>24</v>
      </c>
      <c r="N93" s="25" t="n">
        <v>5.68</v>
      </c>
      <c r="O93" s="26">
        <f>IF(AND(ISNUMBER(F93),ISNUMBER(N93),F93&gt;0),N93/F93,"")</f>
        <v/>
      </c>
      <c r="P93" s="27" t="n">
        <v>46265</v>
      </c>
      <c r="Q93" s="27" t="n">
        <v>46317</v>
      </c>
      <c r="R93" s="25" t="n">
        <v>12.82</v>
      </c>
      <c r="S93" s="28">
        <f>IF(AND(ISNUMBER(F93),ISNUMBER(R93),R93&gt;0),F93/R93,"")</f>
        <v/>
      </c>
      <c r="T93" s="27" t="n">
        <v>46323</v>
      </c>
    </row>
    <row r="94">
      <c r="A94" s="11" t="inlineStr">
        <is>
          <t>COP</t>
        </is>
      </c>
      <c r="B94" s="11" t="inlineStr">
        <is>
          <t>ConocoPhillips</t>
        </is>
      </c>
      <c r="C94" s="11" t="inlineStr">
        <is>
          <t>Oil &amp; Gas E&amp;P</t>
        </is>
      </c>
      <c r="D94" s="11" t="inlineStr">
        <is>
          <t>United States</t>
        </is>
      </c>
      <c r="E94" s="12" t="n">
        <v>177.75</v>
      </c>
      <c r="F94" s="13" t="n">
        <v>147.96</v>
      </c>
      <c r="G94" s="13" t="n">
        <v>151.48148</v>
      </c>
      <c r="H94" s="14">
        <f>IF(AND(ISNUMBER(F94),ISNUMBER(G94),F94&gt;0),G94/F94-1,"")</f>
        <v/>
      </c>
      <c r="I94" s="13" t="n">
        <v>126</v>
      </c>
      <c r="J94" s="14">
        <f>IF(AND(ISNUMBER(F94),ISNUMBER(I94),F94&gt;0),I94/F94-1,"")</f>
        <v/>
      </c>
      <c r="K94" s="13" t="n">
        <v>189</v>
      </c>
      <c r="L94" s="14">
        <f>IF(AND(ISNUMBER(F94),ISNUMBER(K94),F94&gt;0),K94/F94-1,"")</f>
        <v/>
      </c>
      <c r="M94" s="15" t="n">
        <v>27</v>
      </c>
      <c r="N94" s="16" t="n">
        <v>3.36</v>
      </c>
      <c r="O94" s="17">
        <f>IF(AND(ISNUMBER(F94),ISNUMBER(N94),F94&gt;0),N94/F94,"")</f>
        <v/>
      </c>
      <c r="P94" s="18" t="n">
        <v>46251</v>
      </c>
      <c r="Q94" s="18" t="n">
        <v>46331</v>
      </c>
      <c r="R94" s="16" t="n">
        <v>7.55</v>
      </c>
      <c r="S94" s="19">
        <f>IF(AND(ISNUMBER(F94),ISNUMBER(R94),R94&gt;0),F94/R94,"")</f>
        <v/>
      </c>
      <c r="T94" s="18" t="n">
        <v>46323</v>
      </c>
    </row>
    <row r="95">
      <c r="A95" s="20" t="inlineStr">
        <is>
          <t>MCD</t>
        </is>
      </c>
      <c r="B95" s="20" t="inlineStr">
        <is>
          <t>McDonald's Corporation</t>
        </is>
      </c>
      <c r="C95" s="20" t="inlineStr">
        <is>
          <t>Restaurants</t>
        </is>
      </c>
      <c r="D95" s="20" t="inlineStr">
        <is>
          <t>United States</t>
        </is>
      </c>
      <c r="E95" s="21" t="n">
        <v>176.54</v>
      </c>
      <c r="F95" s="22" t="n">
        <v>249.47</v>
      </c>
      <c r="G95" s="22" t="n">
        <v>291.68967</v>
      </c>
      <c r="H95" s="23">
        <f>IF(AND(ISNUMBER(F95),ISNUMBER(G95),F95&gt;0),G95/F95-1,"")</f>
        <v/>
      </c>
      <c r="I95" s="22" t="n">
        <v>230</v>
      </c>
      <c r="J95" s="23">
        <f>IF(AND(ISNUMBER(F95),ISNUMBER(I95),F95&gt;0),I95/F95-1,"")</f>
        <v/>
      </c>
      <c r="K95" s="22" t="n">
        <v>390</v>
      </c>
      <c r="L95" s="23">
        <f>IF(AND(ISNUMBER(F95),ISNUMBER(K95),F95&gt;0),K95/F95-1,"")</f>
        <v/>
      </c>
      <c r="M95" s="24" t="n">
        <v>29</v>
      </c>
      <c r="N95" s="25" t="n">
        <v>7.72</v>
      </c>
      <c r="O95" s="26">
        <f>IF(AND(ISNUMBER(F95),ISNUMBER(N95),F95&gt;0),N95/F95,"")</f>
        <v/>
      </c>
      <c r="P95" s="27" t="n">
        <v>46357</v>
      </c>
      <c r="Q95" s="27" t="n">
        <v>46330</v>
      </c>
      <c r="R95" s="25" t="n">
        <v>12.31</v>
      </c>
      <c r="S95" s="28">
        <f>IF(AND(ISNUMBER(F95),ISNUMBER(R95),R95&gt;0),F95/R95,"")</f>
        <v/>
      </c>
      <c r="T95" s="27" t="n">
        <v>46323</v>
      </c>
    </row>
    <row r="96">
      <c r="A96" s="11" t="inlineStr">
        <is>
          <t>NEE</t>
        </is>
      </c>
      <c r="B96" s="11" t="inlineStr">
        <is>
          <t>NextEra Energy, Inc.</t>
        </is>
      </c>
      <c r="C96" s="11" t="inlineStr">
        <is>
          <t>Utilities - Regulated Electric</t>
        </is>
      </c>
      <c r="D96" s="11" t="inlineStr">
        <is>
          <t>United States</t>
        </is>
      </c>
      <c r="E96" s="12" t="n">
        <v>172.86</v>
      </c>
      <c r="F96" s="13" t="n">
        <v>82.42</v>
      </c>
      <c r="G96" s="13" t="n">
        <v>94.57895000000001</v>
      </c>
      <c r="H96" s="14">
        <f>IF(AND(ISNUMBER(F96),ISNUMBER(G96),F96&gt;0),G96/F96-1,"")</f>
        <v/>
      </c>
      <c r="I96" s="13" t="n">
        <v>56</v>
      </c>
      <c r="J96" s="14">
        <f>IF(AND(ISNUMBER(F96),ISNUMBER(I96),F96&gt;0),I96/F96-1,"")</f>
        <v/>
      </c>
      <c r="K96" s="13" t="n">
        <v>110</v>
      </c>
      <c r="L96" s="14">
        <f>IF(AND(ISNUMBER(F96),ISNUMBER(K96),F96&gt;0),K96/F96-1,"")</f>
        <v/>
      </c>
      <c r="M96" s="15" t="n">
        <v>19</v>
      </c>
      <c r="N96" s="16" t="n">
        <v>2.49</v>
      </c>
      <c r="O96" s="17">
        <f>IF(AND(ISNUMBER(F96),ISNUMBER(N96),F96&gt;0),N96/F96,"")</f>
        <v/>
      </c>
      <c r="P96" s="18" t="n">
        <v>46353</v>
      </c>
      <c r="Q96" s="18" t="n">
        <v>46316</v>
      </c>
      <c r="R96" s="16" t="n">
        <v>5.55</v>
      </c>
      <c r="S96" s="19">
        <f>IF(AND(ISNUMBER(F96),ISNUMBER(R96),R96&gt;0),F96/R96,"")</f>
        <v/>
      </c>
      <c r="T96" s="18" t="n">
        <v>46323</v>
      </c>
    </row>
    <row r="97">
      <c r="A97" s="20" t="inlineStr">
        <is>
          <t>DE</t>
        </is>
      </c>
      <c r="B97" s="20" t="inlineStr">
        <is>
          <t>Deere &amp; Company</t>
        </is>
      </c>
      <c r="C97" s="20" t="inlineStr">
        <is>
          <t>Farm &amp; Heavy Construction Machinery</t>
        </is>
      </c>
      <c r="D97" s="20" t="inlineStr">
        <is>
          <t>United States</t>
        </is>
      </c>
      <c r="E97" s="21" t="n">
        <v>172.45</v>
      </c>
      <c r="F97" s="22" t="n">
        <v>639.58</v>
      </c>
      <c r="G97" s="22" t="n">
        <v>694.0078</v>
      </c>
      <c r="H97" s="23">
        <f>IF(AND(ISNUMBER(F97),ISNUMBER(G97),F97&gt;0),G97/F97-1,"")</f>
        <v/>
      </c>
      <c r="I97" s="22" t="n">
        <v>500</v>
      </c>
      <c r="J97" s="23">
        <f>IF(AND(ISNUMBER(F97),ISNUMBER(I97),F97&gt;0),I97/F97-1,"")</f>
        <v/>
      </c>
      <c r="K97" s="22" t="n">
        <v>813.1799999999999</v>
      </c>
      <c r="L97" s="23">
        <f>IF(AND(ISNUMBER(F97),ISNUMBER(K97),F97&gt;0),K97/F97-1,"")</f>
        <v/>
      </c>
      <c r="M97" s="24" t="n">
        <v>23</v>
      </c>
      <c r="N97" s="25" t="n">
        <v>6.48</v>
      </c>
      <c r="O97" s="26">
        <f>IF(AND(ISNUMBER(F97),ISNUMBER(N97),F97&gt;0),N97/F97,"")</f>
        <v/>
      </c>
      <c r="P97" s="27" t="n">
        <v>46295</v>
      </c>
      <c r="Q97" s="27" t="n">
        <v>46351</v>
      </c>
      <c r="R97" s="25" t="n">
        <v>17.99</v>
      </c>
      <c r="S97" s="28">
        <f>IF(AND(ISNUMBER(F97),ISNUMBER(R97),R97&gt;0),F97/R97,"")</f>
        <v/>
      </c>
      <c r="T97" s="27" t="n">
        <v>46323</v>
      </c>
    </row>
    <row r="98">
      <c r="A98" s="11" t="inlineStr">
        <is>
          <t>NVO</t>
        </is>
      </c>
      <c r="B98" s="11" t="inlineStr">
        <is>
          <t>Novo Nordisk A/S</t>
        </is>
      </c>
      <c r="C98" s="11" t="inlineStr">
        <is>
          <t>Drug Manufacturers - General</t>
        </is>
      </c>
      <c r="D98" s="11" t="inlineStr">
        <is>
          <t>Denmark</t>
        </is>
      </c>
      <c r="E98" s="12" t="n">
        <v>170.61</v>
      </c>
      <c r="F98" s="13" t="n">
        <v>38.67</v>
      </c>
      <c r="G98" s="13" t="n">
        <v>44.822773</v>
      </c>
      <c r="H98" s="14">
        <f>IF(AND(ISNUMBER(F98),ISNUMBER(G98),F98&gt;0),G98/F98-1,"")</f>
        <v/>
      </c>
      <c r="I98" s="13" t="n">
        <v>39.507065</v>
      </c>
      <c r="J98" s="14">
        <f>IF(AND(ISNUMBER(F98),ISNUMBER(I98),F98&gt;0),I98/F98-1,"")</f>
        <v/>
      </c>
      <c r="K98" s="13" t="n">
        <v>61.415943</v>
      </c>
      <c r="L98" s="14">
        <f>IF(AND(ISNUMBER(F98),ISNUMBER(K98),F98&gt;0),K98/F98-1,"")</f>
        <v/>
      </c>
      <c r="M98" s="15" t="n">
        <v>12</v>
      </c>
      <c r="N98" s="16" t="n">
        <v>1.8</v>
      </c>
      <c r="O98" s="17">
        <f>IF(AND(ISNUMBER(F98),ISNUMBER(N98),F98&gt;0),N98/F98,"")</f>
        <v/>
      </c>
      <c r="P98" s="18" t="n">
        <v>46251</v>
      </c>
      <c r="Q98" s="18" t="n">
        <v>46330</v>
      </c>
      <c r="R98" s="16" t="n">
        <v>4.13</v>
      </c>
      <c r="S98" s="19">
        <f>IF(AND(ISNUMBER(F98),ISNUMBER(R98),R98&gt;0),F98/R98,"")</f>
        <v/>
      </c>
      <c r="T98" s="18" t="n">
        <v>46323</v>
      </c>
    </row>
    <row r="99">
      <c r="A99" s="20" t="inlineStr">
        <is>
          <t>PFE</t>
        </is>
      </c>
      <c r="B99" s="20" t="inlineStr">
        <is>
          <t>Pfizer, Inc.</t>
        </is>
      </c>
      <c r="C99" s="20" t="inlineStr">
        <is>
          <t>Drug Manufacturers - General</t>
        </is>
      </c>
      <c r="D99" s="20" t="inlineStr">
        <is>
          <t>United States</t>
        </is>
      </c>
      <c r="E99" s="21" t="n">
        <v>169.85</v>
      </c>
      <c r="F99" s="22" t="n">
        <v>29.8</v>
      </c>
      <c r="G99" s="22" t="n">
        <v>29.25962</v>
      </c>
      <c r="H99" s="23">
        <f>IF(AND(ISNUMBER(F99),ISNUMBER(G99),F99&gt;0),G99/F99-1,"")</f>
        <v/>
      </c>
      <c r="I99" s="22" t="n">
        <v>25</v>
      </c>
      <c r="J99" s="23">
        <f>IF(AND(ISNUMBER(F99),ISNUMBER(I99),F99&gt;0),I99/F99-1,"")</f>
        <v/>
      </c>
      <c r="K99" s="22" t="n">
        <v>36</v>
      </c>
      <c r="L99" s="23">
        <f>IF(AND(ISNUMBER(F99),ISNUMBER(K99),F99&gt;0),K99/F99-1,"")</f>
        <v/>
      </c>
      <c r="M99" s="24" t="n">
        <v>26</v>
      </c>
      <c r="N99" s="25" t="n">
        <v>1.72</v>
      </c>
      <c r="O99" s="26">
        <f>IF(AND(ISNUMBER(F99),ISNUMBER(N99),F99&gt;0),N99/F99,"")</f>
        <v/>
      </c>
      <c r="P99" s="27" t="n">
        <v>46332</v>
      </c>
      <c r="Q99" s="27" t="n">
        <v>46329</v>
      </c>
      <c r="R99" s="25" t="n">
        <v>0.76</v>
      </c>
      <c r="S99" s="28">
        <f>IF(AND(ISNUMBER(F99),ISNUMBER(R99),R99&gt;0),F99/R99,"")</f>
        <v/>
      </c>
      <c r="T99" s="27" t="n">
        <v>46323</v>
      </c>
    </row>
    <row r="100">
      <c r="A100" s="11" t="inlineStr">
        <is>
          <t>EADSY</t>
        </is>
      </c>
      <c r="B100" s="11" t="inlineStr">
        <is>
          <t>Airbus SE</t>
        </is>
      </c>
      <c r="C100" s="11" t="inlineStr">
        <is>
          <t>Aerospace &amp; Defense</t>
        </is>
      </c>
      <c r="D100" s="11" t="inlineStr">
        <is>
          <t>Netherlands</t>
        </is>
      </c>
      <c r="E100" s="12" t="n">
        <v>169.35</v>
      </c>
      <c r="F100" s="13" t="n">
        <v>53.49</v>
      </c>
      <c r="G100" s="13" t="n">
        <v>61.90667</v>
      </c>
      <c r="H100" s="14">
        <f>IF(AND(ISNUMBER(F100),ISNUMBER(G100),F100&gt;0),G100/F100-1,"")</f>
        <v/>
      </c>
      <c r="I100" s="13" t="n">
        <v>52</v>
      </c>
      <c r="J100" s="14">
        <f>IF(AND(ISNUMBER(F100),ISNUMBER(I100),F100&gt;0),I100/F100-1,"")</f>
        <v/>
      </c>
      <c r="K100" s="13" t="n">
        <v>75.02</v>
      </c>
      <c r="L100" s="14">
        <f>IF(AND(ISNUMBER(F100),ISNUMBER(K100),F100&gt;0),K100/F100-1,"")</f>
        <v/>
      </c>
      <c r="M100" s="15" t="n">
        <v>3</v>
      </c>
      <c r="N100" s="16" t="n">
        <v>0.93</v>
      </c>
      <c r="O100" s="17">
        <f>IF(AND(ISNUMBER(F100),ISNUMBER(N100),F100&gt;0),N100/F100,"")</f>
        <v/>
      </c>
      <c r="P100" s="18" t="n">
        <v>46134</v>
      </c>
      <c r="Q100" s="18" t="n">
        <v>46323</v>
      </c>
      <c r="R100" s="16" t="n">
        <v>2.19</v>
      </c>
      <c r="S100" s="19">
        <f>IF(AND(ISNUMBER(F100),ISNUMBER(R100),R100&gt;0),F100/R100,"")</f>
        <v/>
      </c>
      <c r="T100" s="18" t="n">
        <v>46323</v>
      </c>
    </row>
    <row r="101">
      <c r="A101" s="20" t="inlineStr">
        <is>
          <t>SCCO</t>
        </is>
      </c>
      <c r="B101" s="20" t="inlineStr">
        <is>
          <t>Southern Copper Corporation</t>
        </is>
      </c>
      <c r="C101" s="20" t="inlineStr">
        <is>
          <t>Copper</t>
        </is>
      </c>
      <c r="D101" s="20" t="inlineStr">
        <is>
          <t>United States</t>
        </is>
      </c>
      <c r="E101" s="21" t="n">
        <v>164.17</v>
      </c>
      <c r="F101" s="22" t="n">
        <v>194.43</v>
      </c>
      <c r="G101" s="22" t="n">
        <v>178.1869</v>
      </c>
      <c r="H101" s="23">
        <f>IF(AND(ISNUMBER(F101),ISNUMBER(G101),F101&gt;0),G101/F101-1,"")</f>
        <v/>
      </c>
      <c r="I101" s="22" t="n">
        <v>139.42688</v>
      </c>
      <c r="J101" s="23">
        <f>IF(AND(ISNUMBER(F101),ISNUMBER(I101),F101&gt;0),I101/F101-1,"")</f>
        <v/>
      </c>
      <c r="K101" s="22" t="n">
        <v>275</v>
      </c>
      <c r="L101" s="23">
        <f>IF(AND(ISNUMBER(F101),ISNUMBER(K101),F101&gt;0),K101/F101-1,"")</f>
        <v/>
      </c>
      <c r="M101" s="24" t="n">
        <v>17</v>
      </c>
      <c r="N101" s="25" t="n">
        <v>4.4</v>
      </c>
      <c r="O101" s="26">
        <f>IF(AND(ISNUMBER(F101),ISNUMBER(N101),F101&gt;0),N101/F101,"")</f>
        <v/>
      </c>
      <c r="P101" s="27" t="n">
        <v>46245</v>
      </c>
      <c r="Q101" s="27" t="n">
        <v>46317</v>
      </c>
      <c r="R101" s="25" t="n">
        <v>7.52</v>
      </c>
      <c r="S101" s="28">
        <f>IF(AND(ISNUMBER(F101),ISNUMBER(R101),R101&gt;0),F101/R101,"")</f>
        <v/>
      </c>
      <c r="T101" s="27" t="n">
        <v>46323</v>
      </c>
    </row>
    <row r="102">
      <c r="A102" s="11" t="inlineStr">
        <is>
          <t>WELL</t>
        </is>
      </c>
      <c r="B102" s="11" t="inlineStr">
        <is>
          <t>Welltower Inc.</t>
        </is>
      </c>
      <c r="C102" s="11" t="inlineStr">
        <is>
          <t>Reit - Healthcare Facilities</t>
        </is>
      </c>
      <c r="D102" s="11" t="inlineStr">
        <is>
          <t>United States</t>
        </is>
      </c>
      <c r="E102" s="12" t="n">
        <v>163.37</v>
      </c>
      <c r="F102" s="13" t="n">
        <v>226.72</v>
      </c>
      <c r="G102" s="13" t="n">
        <v>260.22726</v>
      </c>
      <c r="H102" s="14">
        <f>IF(AND(ISNUMBER(F102),ISNUMBER(G102),F102&gt;0),G102/F102-1,"")</f>
        <v/>
      </c>
      <c r="I102" s="13" t="n">
        <v>219</v>
      </c>
      <c r="J102" s="14">
        <f>IF(AND(ISNUMBER(F102),ISNUMBER(I102),F102&gt;0),I102/F102-1,"")</f>
        <v/>
      </c>
      <c r="K102" s="13" t="n">
        <v>292</v>
      </c>
      <c r="L102" s="14">
        <f>IF(AND(ISNUMBER(F102),ISNUMBER(K102),F102&gt;0),K102/F102-1,"")</f>
        <v/>
      </c>
      <c r="M102" s="15" t="n">
        <v>22</v>
      </c>
      <c r="N102" s="16" t="n">
        <v>3.4</v>
      </c>
      <c r="O102" s="17">
        <f>IF(AND(ISNUMBER(F102),ISNUMBER(N102),F102&gt;0),N102/F102,"")</f>
        <v/>
      </c>
      <c r="P102" s="18" t="n">
        <v>46246</v>
      </c>
      <c r="Q102" s="18" t="n">
        <v>46321</v>
      </c>
      <c r="R102" s="16" t="n">
        <v>2.26</v>
      </c>
      <c r="S102" s="19">
        <f>IF(AND(ISNUMBER(F102),ISNUMBER(R102),R102&gt;0),F102/R102,"")</f>
        <v/>
      </c>
      <c r="T102" s="18" t="n">
        <v>46323</v>
      </c>
    </row>
    <row r="103">
      <c r="A103" s="20" t="inlineStr">
        <is>
          <t>DHR</t>
        </is>
      </c>
      <c r="B103" s="20" t="inlineStr">
        <is>
          <t>Danaher Corporation</t>
        </is>
      </c>
      <c r="C103" s="20" t="inlineStr">
        <is>
          <t>Diagnostics &amp; Research</t>
        </is>
      </c>
      <c r="D103" s="20" t="inlineStr">
        <is>
          <t>United States</t>
        </is>
      </c>
      <c r="E103" s="21" t="n">
        <v>163.09</v>
      </c>
      <c r="F103" s="22" t="n">
        <v>232</v>
      </c>
      <c r="G103" s="22" t="n">
        <v>259.90475</v>
      </c>
      <c r="H103" s="23">
        <f>IF(AND(ISNUMBER(F103),ISNUMBER(G103),F103&gt;0),G103/F103-1,"")</f>
        <v/>
      </c>
      <c r="I103" s="22" t="n">
        <v>220</v>
      </c>
      <c r="J103" s="23">
        <f>IF(AND(ISNUMBER(F103),ISNUMBER(I103),F103&gt;0),I103/F103-1,"")</f>
        <v/>
      </c>
      <c r="K103" s="22" t="n">
        <v>310</v>
      </c>
      <c r="L103" s="23">
        <f>IF(AND(ISNUMBER(F103),ISNUMBER(K103),F103&gt;0),K103/F103-1,"")</f>
        <v/>
      </c>
      <c r="M103" s="24" t="n">
        <v>21</v>
      </c>
      <c r="N103" s="25" t="n">
        <v>1.6</v>
      </c>
      <c r="O103" s="26">
        <f>IF(AND(ISNUMBER(F103),ISNUMBER(N103),F103&gt;0),N103/F103,"")</f>
        <v/>
      </c>
      <c r="P103" s="27" t="n">
        <v>46295</v>
      </c>
      <c r="Q103" s="27" t="n">
        <v>46316</v>
      </c>
      <c r="R103" s="25" t="n">
        <v>6.04</v>
      </c>
      <c r="S103" s="28">
        <f>IF(AND(ISNUMBER(F103),ISNUMBER(R103),R103&gt;0),F103/R103,"")</f>
        <v/>
      </c>
      <c r="T103" s="27" t="n">
        <v>46323</v>
      </c>
    </row>
    <row r="104">
      <c r="A104" s="11" t="inlineStr">
        <is>
          <t>BUD</t>
        </is>
      </c>
      <c r="B104" s="11" t="inlineStr">
        <is>
          <t>Anheuser-Busch Inbev SA Sponsor</t>
        </is>
      </c>
      <c r="C104" s="11" t="inlineStr">
        <is>
          <t>Beverages - Brewers</t>
        </is>
      </c>
      <c r="D104" s="11" t="inlineStr">
        <is>
          <t>Belgium</t>
        </is>
      </c>
      <c r="E104" s="12" t="n">
        <v>160.23</v>
      </c>
      <c r="F104" s="13" t="n">
        <v>81.37</v>
      </c>
      <c r="G104" s="13" t="n">
        <v>95.25727000000001</v>
      </c>
      <c r="H104" s="14">
        <f>IF(AND(ISNUMBER(F104),ISNUMBER(G104),F104&gt;0),G104/F104-1,"")</f>
        <v/>
      </c>
      <c r="I104" s="13" t="n">
        <v>85</v>
      </c>
      <c r="J104" s="14">
        <f>IF(AND(ISNUMBER(F104),ISNUMBER(I104),F104&gt;0),I104/F104-1,"")</f>
        <v/>
      </c>
      <c r="K104" s="13" t="n">
        <v>109</v>
      </c>
      <c r="L104" s="14">
        <f>IF(AND(ISNUMBER(F104),ISNUMBER(K104),F104&gt;0),K104/F104-1,"")</f>
        <v/>
      </c>
      <c r="M104" s="15" t="n">
        <v>11</v>
      </c>
      <c r="N104" s="16" t="n">
        <v>1.35</v>
      </c>
      <c r="O104" s="17">
        <f>IF(AND(ISNUMBER(F104),ISNUMBER(N104),F104&gt;0),N104/F104,"")</f>
        <v/>
      </c>
      <c r="P104" s="18" t="n">
        <v>46150</v>
      </c>
      <c r="Q104" s="18" t="n">
        <v>46324</v>
      </c>
      <c r="R104" s="16" t="n">
        <v>4.64</v>
      </c>
      <c r="S104" s="19">
        <f>IF(AND(ISNUMBER(F104),ISNUMBER(R104),R104&gt;0),F104/R104,"")</f>
        <v/>
      </c>
      <c r="T104" s="18" t="n">
        <v>46323</v>
      </c>
    </row>
    <row r="105">
      <c r="A105" s="20" t="inlineStr">
        <is>
          <t>NOW</t>
        </is>
      </c>
      <c r="B105" s="20" t="inlineStr">
        <is>
          <t>ServiceNow, Inc.</t>
        </is>
      </c>
      <c r="C105" s="20" t="inlineStr">
        <is>
          <t>Software - Application</t>
        </is>
      </c>
      <c r="D105" s="20" t="inlineStr">
        <is>
          <t>United States</t>
        </is>
      </c>
      <c r="E105" s="21" t="n">
        <v>160.02</v>
      </c>
      <c r="F105" s="22" t="n">
        <v>154.78</v>
      </c>
      <c r="G105" s="22" t="n">
        <v>156.53609</v>
      </c>
      <c r="H105" s="23">
        <f>IF(AND(ISNUMBER(F105),ISNUMBER(G105),F105&gt;0),G105/F105-1,"")</f>
        <v/>
      </c>
      <c r="I105" s="22" t="n">
        <v>72</v>
      </c>
      <c r="J105" s="23">
        <f>IF(AND(ISNUMBER(F105),ISNUMBER(I105),F105&gt;0),I105/F105-1,"")</f>
        <v/>
      </c>
      <c r="K105" s="22" t="n">
        <v>266</v>
      </c>
      <c r="L105" s="23">
        <f>IF(AND(ISNUMBER(F105),ISNUMBER(K105),F105&gt;0),K105/F105-1,"")</f>
        <v/>
      </c>
      <c r="M105" s="24" t="n">
        <v>46</v>
      </c>
      <c r="N105" s="25" t="n"/>
      <c r="O105" s="26">
        <f>IF(AND(ISNUMBER(F105),ISNUMBER(N105),F105&gt;0),N105/F105,"")</f>
        <v/>
      </c>
      <c r="P105" s="27" t="n"/>
      <c r="Q105" s="27" t="n">
        <v>46323</v>
      </c>
      <c r="R105" s="25" t="n">
        <v>1.6</v>
      </c>
      <c r="S105" s="28">
        <f>IF(AND(ISNUMBER(F105),ISNUMBER(R105),R105&gt;0),F105/R105,"")</f>
        <v/>
      </c>
      <c r="T105" s="27" t="n">
        <v>46323</v>
      </c>
    </row>
    <row r="106">
      <c r="A106" s="11" t="inlineStr">
        <is>
          <t>ISRG</t>
        </is>
      </c>
      <c r="B106" s="11" t="inlineStr">
        <is>
          <t>Intuitive Surgical, Inc.</t>
        </is>
      </c>
      <c r="C106" s="11" t="inlineStr">
        <is>
          <t>Medical Instruments &amp; Supplies</t>
        </is>
      </c>
      <c r="D106" s="11" t="inlineStr">
        <is>
          <t>United States</t>
        </is>
      </c>
      <c r="E106" s="12" t="n">
        <v>157.52</v>
      </c>
      <c r="F106" s="13" t="n">
        <v>445.88</v>
      </c>
      <c r="G106" s="13" t="n">
        <v>482.63333</v>
      </c>
      <c r="H106" s="14">
        <f>IF(AND(ISNUMBER(F106),ISNUMBER(G106),F106&gt;0),G106/F106-1,"")</f>
        <v/>
      </c>
      <c r="I106" s="13" t="n">
        <v>324</v>
      </c>
      <c r="J106" s="14">
        <f>IF(AND(ISNUMBER(F106),ISNUMBER(I106),F106&gt;0),I106/F106-1,"")</f>
        <v/>
      </c>
      <c r="K106" s="13" t="n">
        <v>685</v>
      </c>
      <c r="L106" s="14">
        <f>IF(AND(ISNUMBER(F106),ISNUMBER(K106),F106&gt;0),K106/F106-1,"")</f>
        <v/>
      </c>
      <c r="M106" s="15" t="n">
        <v>30</v>
      </c>
      <c r="N106" s="16" t="n"/>
      <c r="O106" s="17">
        <f>IF(AND(ISNUMBER(F106),ISNUMBER(N106),F106&gt;0),N106/F106,"")</f>
        <v/>
      </c>
      <c r="P106" s="18" t="n"/>
      <c r="Q106" s="18" t="n">
        <v>46408</v>
      </c>
      <c r="R106" s="16" t="n">
        <v>8.27</v>
      </c>
      <c r="S106" s="19">
        <f>IF(AND(ISNUMBER(F106),ISNUMBER(R106),R106&gt;0),F106/R106,"")</f>
        <v/>
      </c>
      <c r="T106" s="18" t="n">
        <v>46323</v>
      </c>
    </row>
    <row r="107">
      <c r="A107" s="20" t="inlineStr">
        <is>
          <t>TMUS</t>
        </is>
      </c>
      <c r="B107" s="20" t="inlineStr">
        <is>
          <t>T-Mobile US, Inc.</t>
        </is>
      </c>
      <c r="C107" s="20" t="inlineStr">
        <is>
          <t>Telecom Services</t>
        </is>
      </c>
      <c r="D107" s="20" t="inlineStr">
        <is>
          <t>United States</t>
        </is>
      </c>
      <c r="E107" s="21" t="n">
        <v>157.5</v>
      </c>
      <c r="F107" s="22" t="n">
        <v>146.83</v>
      </c>
      <c r="G107" s="22" t="n">
        <v>236.84</v>
      </c>
      <c r="H107" s="23">
        <f>IF(AND(ISNUMBER(F107),ISNUMBER(G107),F107&gt;0),G107/F107-1,"")</f>
        <v/>
      </c>
      <c r="I107" s="22" t="n">
        <v>169</v>
      </c>
      <c r="J107" s="23">
        <f>IF(AND(ISNUMBER(F107),ISNUMBER(I107),F107&gt;0),I107/F107-1,"")</f>
        <v/>
      </c>
      <c r="K107" s="22" t="n">
        <v>296</v>
      </c>
      <c r="L107" s="23">
        <f>IF(AND(ISNUMBER(F107),ISNUMBER(K107),F107&gt;0),K107/F107-1,"")</f>
        <v/>
      </c>
      <c r="M107" s="24" t="n">
        <v>25</v>
      </c>
      <c r="N107" s="25" t="n">
        <v>4.68</v>
      </c>
      <c r="O107" s="26">
        <f>IF(AND(ISNUMBER(F107),ISNUMBER(N107),F107&gt;0),N107/F107,"")</f>
        <v/>
      </c>
      <c r="P107" s="27" t="n">
        <v>46351</v>
      </c>
      <c r="Q107" s="27" t="n">
        <v>46323</v>
      </c>
      <c r="R107" s="25" t="n">
        <v>9.57</v>
      </c>
      <c r="S107" s="28">
        <f>IF(AND(ISNUMBER(F107),ISNUMBER(R107),R107&gt;0),F107/R107,"")</f>
        <v/>
      </c>
      <c r="T107" s="27" t="n">
        <v>46323</v>
      </c>
    </row>
    <row r="108">
      <c r="A108" s="11" t="inlineStr">
        <is>
          <t>SCHW</t>
        </is>
      </c>
      <c r="B108" s="11" t="inlineStr">
        <is>
          <t>Charles Schwab Corporation (The</t>
        </is>
      </c>
      <c r="C108" s="11" t="inlineStr">
        <is>
          <t>Capital Markets</t>
        </is>
      </c>
      <c r="D108" s="11" t="inlineStr">
        <is>
          <t>United States</t>
        </is>
      </c>
      <c r="E108" s="12" t="n">
        <v>154.43</v>
      </c>
      <c r="F108" s="13" t="n">
        <v>89.3</v>
      </c>
      <c r="G108" s="13" t="n">
        <v>117.59091</v>
      </c>
      <c r="H108" s="14">
        <f>IF(AND(ISNUMBER(F108),ISNUMBER(G108),F108&gt;0),G108/F108-1,"")</f>
        <v/>
      </c>
      <c r="I108" s="13" t="n">
        <v>82</v>
      </c>
      <c r="J108" s="14">
        <f>IF(AND(ISNUMBER(F108),ISNUMBER(I108),F108&gt;0),I108/F108-1,"")</f>
        <v/>
      </c>
      <c r="K108" s="13" t="n">
        <v>147</v>
      </c>
      <c r="L108" s="14">
        <f>IF(AND(ISNUMBER(F108),ISNUMBER(K108),F108&gt;0),K108/F108-1,"")</f>
        <v/>
      </c>
      <c r="M108" s="15" t="n">
        <v>22</v>
      </c>
      <c r="N108" s="16" t="n">
        <v>1.28</v>
      </c>
      <c r="O108" s="17">
        <f>IF(AND(ISNUMBER(F108),ISNUMBER(N108),F108&gt;0),N108/F108,"")</f>
        <v/>
      </c>
      <c r="P108" s="18" t="n">
        <v>46339</v>
      </c>
      <c r="Q108" s="18" t="n">
        <v>46408</v>
      </c>
      <c r="R108" s="16" t="n">
        <v>5.85</v>
      </c>
      <c r="S108" s="19">
        <f>IF(AND(ISNUMBER(F108),ISNUMBER(R108),R108&gt;0),F108/R108,"")</f>
        <v/>
      </c>
      <c r="T108" s="18" t="n">
        <v>46323</v>
      </c>
    </row>
    <row r="109">
      <c r="A109" s="20" t="inlineStr">
        <is>
          <t>TJX</t>
        </is>
      </c>
      <c r="B109" s="20" t="inlineStr">
        <is>
          <t>TJX Companies, Inc. (The)</t>
        </is>
      </c>
      <c r="C109" s="20" t="inlineStr">
        <is>
          <t>Apparel Retail</t>
        </is>
      </c>
      <c r="D109" s="20" t="inlineStr">
        <is>
          <t>United States</t>
        </is>
      </c>
      <c r="E109" s="21" t="n">
        <v>154.22</v>
      </c>
      <c r="F109" s="22" t="n">
        <v>140.2</v>
      </c>
      <c r="G109" s="22" t="n">
        <v>171.42105</v>
      </c>
      <c r="H109" s="23">
        <f>IF(AND(ISNUMBER(F109),ISNUMBER(G109),F109&gt;0),G109/F109-1,"")</f>
        <v/>
      </c>
      <c r="I109" s="22" t="n">
        <v>136</v>
      </c>
      <c r="J109" s="23">
        <f>IF(AND(ISNUMBER(F109),ISNUMBER(I109),F109&gt;0),I109/F109-1,"")</f>
        <v/>
      </c>
      <c r="K109" s="22" t="n">
        <v>198</v>
      </c>
      <c r="L109" s="23">
        <f>IF(AND(ISNUMBER(F109),ISNUMBER(K109),F109&gt;0),K109/F109-1,"")</f>
        <v/>
      </c>
      <c r="M109" s="24" t="n">
        <v>19</v>
      </c>
      <c r="N109" s="25" t="n">
        <v>1.92</v>
      </c>
      <c r="O109" s="26">
        <f>IF(AND(ISNUMBER(F109),ISNUMBER(N109),F109&gt;0),N109/F109,"")</f>
        <v/>
      </c>
      <c r="P109" s="27" t="n">
        <v>46338</v>
      </c>
      <c r="Q109" s="27" t="n">
        <v>46344</v>
      </c>
      <c r="R109" s="25" t="n">
        <v>5.4</v>
      </c>
      <c r="S109" s="28">
        <f>IF(AND(ISNUMBER(F109),ISNUMBER(R109),R109&gt;0),F109/R109,"")</f>
        <v/>
      </c>
      <c r="T109" s="27" t="n">
        <v>46323</v>
      </c>
    </row>
    <row r="110">
      <c r="A110" s="11" t="inlineStr">
        <is>
          <t>STX</t>
        </is>
      </c>
      <c r="B110" s="11" t="inlineStr">
        <is>
          <t>Seagate Technology Holdings PLC</t>
        </is>
      </c>
      <c r="C110" s="11" t="inlineStr">
        <is>
          <t>Computer Hardware</t>
        </is>
      </c>
      <c r="D110" s="11" t="inlineStr">
        <is>
          <t>Singapore</t>
        </is>
      </c>
      <c r="E110" s="12" t="n">
        <v>151.86</v>
      </c>
      <c r="F110" s="13" t="n">
        <v>667.85</v>
      </c>
      <c r="G110" s="13" t="n">
        <v>1091.5834</v>
      </c>
      <c r="H110" s="14">
        <f>IF(AND(ISNUMBER(F110),ISNUMBER(G110),F110&gt;0),G110/F110-1,"")</f>
        <v/>
      </c>
      <c r="I110" s="13" t="n">
        <v>700</v>
      </c>
      <c r="J110" s="14">
        <f>IF(AND(ISNUMBER(F110),ISNUMBER(I110),F110&gt;0),I110/F110-1,"")</f>
        <v/>
      </c>
      <c r="K110" s="13" t="n">
        <v>1600</v>
      </c>
      <c r="L110" s="14">
        <f>IF(AND(ISNUMBER(F110),ISNUMBER(K110),F110&gt;0),K110/F110-1,"")</f>
        <v/>
      </c>
      <c r="M110" s="15" t="n">
        <v>24</v>
      </c>
      <c r="N110" s="16" t="n">
        <v>2.96</v>
      </c>
      <c r="O110" s="17">
        <f>IF(AND(ISNUMBER(F110),ISNUMBER(N110),F110&gt;0),N110/F110,"")</f>
        <v/>
      </c>
      <c r="P110" s="18" t="n">
        <v>46289</v>
      </c>
      <c r="Q110" s="18" t="n">
        <v>46322</v>
      </c>
      <c r="R110" s="16" t="n">
        <v>13.9</v>
      </c>
      <c r="S110" s="19">
        <f>IF(AND(ISNUMBER(F110),ISNUMBER(R110),R110&gt;0),F110/R110,"")</f>
        <v/>
      </c>
      <c r="T110" s="18" t="n">
        <v>46323</v>
      </c>
    </row>
    <row r="111">
      <c r="A111" s="20" t="inlineStr">
        <is>
          <t>SONY</t>
        </is>
      </c>
      <c r="B111" s="20" t="inlineStr">
        <is>
          <t>Sony Group Corporation</t>
        </is>
      </c>
      <c r="C111" s="20" t="inlineStr">
        <is>
          <t>Consumer Electronics</t>
        </is>
      </c>
      <c r="D111" s="20" t="inlineStr">
        <is>
          <t>Japan</t>
        </is>
      </c>
      <c r="E111" s="21" t="n">
        <v>149.73</v>
      </c>
      <c r="F111" s="22" t="n">
        <v>25.64</v>
      </c>
      <c r="G111" s="22" t="n">
        <v>29.5</v>
      </c>
      <c r="H111" s="23">
        <f>IF(AND(ISNUMBER(F111),ISNUMBER(G111),F111&gt;0),G111/F111-1,"")</f>
        <v/>
      </c>
      <c r="I111" s="22" t="n">
        <v>23</v>
      </c>
      <c r="J111" s="23">
        <f>IF(AND(ISNUMBER(F111),ISNUMBER(I111),F111&gt;0),I111/F111-1,"")</f>
        <v/>
      </c>
      <c r="K111" s="22" t="n">
        <v>34</v>
      </c>
      <c r="L111" s="23">
        <f>IF(AND(ISNUMBER(F111),ISNUMBER(K111),F111&gt;0),K111/F111-1,"")</f>
        <v/>
      </c>
      <c r="M111" s="24" t="n">
        <v>4</v>
      </c>
      <c r="N111" s="25" t="n">
        <v>0.16</v>
      </c>
      <c r="O111" s="26">
        <f>IF(AND(ISNUMBER(F111),ISNUMBER(N111),F111&gt;0),N111/F111,"")</f>
        <v/>
      </c>
      <c r="P111" s="27" t="n">
        <v>46111</v>
      </c>
      <c r="Q111" s="27" t="n">
        <v>46331</v>
      </c>
      <c r="R111" s="25" t="n">
        <v>1.21</v>
      </c>
      <c r="S111" s="28">
        <f>IF(AND(ISNUMBER(F111),ISNUMBER(R111),R111&gt;0),F111/R111,"")</f>
        <v/>
      </c>
      <c r="T111" s="27" t="n">
        <v>46323</v>
      </c>
    </row>
    <row r="112">
      <c r="A112" s="11" t="inlineStr">
        <is>
          <t>ETN</t>
        </is>
      </c>
      <c r="B112" s="11" t="inlineStr">
        <is>
          <t>Eaton Corporation, PLC</t>
        </is>
      </c>
      <c r="C112" s="11" t="inlineStr">
        <is>
          <t>Specialty Industrial Machinery</t>
        </is>
      </c>
      <c r="D112" s="11" t="inlineStr">
        <is>
          <t>Ireland</t>
        </is>
      </c>
      <c r="E112" s="12" t="n">
        <v>149.22</v>
      </c>
      <c r="F112" s="13" t="n">
        <v>384.2</v>
      </c>
      <c r="G112" s="13" t="n">
        <v>485.47192</v>
      </c>
      <c r="H112" s="14">
        <f>IF(AND(ISNUMBER(F112),ISNUMBER(G112),F112&gt;0),G112/F112-1,"")</f>
        <v/>
      </c>
      <c r="I112" s="13" t="n">
        <v>333</v>
      </c>
      <c r="J112" s="14">
        <f>IF(AND(ISNUMBER(F112),ISNUMBER(I112),F112&gt;0),I112/F112-1,"")</f>
        <v/>
      </c>
      <c r="K112" s="13" t="n">
        <v>534</v>
      </c>
      <c r="L112" s="14">
        <f>IF(AND(ISNUMBER(F112),ISNUMBER(K112),F112&gt;0),K112/F112-1,"")</f>
        <v/>
      </c>
      <c r="M112" s="15" t="n">
        <v>26</v>
      </c>
      <c r="N112" s="16" t="n">
        <v>4.4</v>
      </c>
      <c r="O112" s="17">
        <f>IF(AND(ISNUMBER(F112),ISNUMBER(N112),F112&gt;0),N112/F112,"")</f>
        <v/>
      </c>
      <c r="P112" s="18" t="n">
        <v>46241</v>
      </c>
      <c r="Q112" s="18" t="n">
        <v>46329</v>
      </c>
      <c r="R112" s="16" t="n">
        <v>9.83</v>
      </c>
      <c r="S112" s="19">
        <f>IF(AND(ISNUMBER(F112),ISNUMBER(R112),R112&gt;0),F112/R112,"")</f>
        <v/>
      </c>
      <c r="T112" s="18" t="n">
        <v>46323</v>
      </c>
    </row>
    <row r="113">
      <c r="A113" s="20" t="inlineStr">
        <is>
          <t>LMT</t>
        </is>
      </c>
      <c r="B113" s="20" t="inlineStr">
        <is>
          <t>Lockheed Martin Corporation</t>
        </is>
      </c>
      <c r="C113" s="20" t="inlineStr">
        <is>
          <t>Aerospace &amp; Defense</t>
        </is>
      </c>
      <c r="D113" s="20" t="inlineStr">
        <is>
          <t>United States</t>
        </is>
      </c>
      <c r="E113" s="21" t="n">
        <v>143.91</v>
      </c>
      <c r="F113" s="22" t="n">
        <v>622.99</v>
      </c>
      <c r="G113" s="22" t="n">
        <v>645.4761999999999</v>
      </c>
      <c r="H113" s="23">
        <f>IF(AND(ISNUMBER(F113),ISNUMBER(G113),F113&gt;0),G113/F113-1,"")</f>
        <v/>
      </c>
      <c r="I113" s="22" t="n">
        <v>498</v>
      </c>
      <c r="J113" s="23">
        <f>IF(AND(ISNUMBER(F113),ISNUMBER(I113),F113&gt;0),I113/F113-1,"")</f>
        <v/>
      </c>
      <c r="K113" s="22" t="n">
        <v>835</v>
      </c>
      <c r="L113" s="23">
        <f>IF(AND(ISNUMBER(F113),ISNUMBER(K113),F113&gt;0),K113/F113-1,"")</f>
        <v/>
      </c>
      <c r="M113" s="24" t="n">
        <v>21</v>
      </c>
      <c r="N113" s="25" t="n">
        <v>14.4</v>
      </c>
      <c r="O113" s="26">
        <f>IF(AND(ISNUMBER(F113),ISNUMBER(N113),F113&gt;0),N113/F113,"")</f>
        <v/>
      </c>
      <c r="P113" s="27" t="n">
        <v>46357</v>
      </c>
      <c r="Q113" s="27" t="n">
        <v>46317</v>
      </c>
      <c r="R113" s="25" t="n">
        <v>28.16</v>
      </c>
      <c r="S113" s="28">
        <f>IF(AND(ISNUMBER(F113),ISNUMBER(R113),R113&gt;0),F113/R113,"")</f>
        <v/>
      </c>
      <c r="T113" s="27" t="n">
        <v>46323</v>
      </c>
    </row>
    <row r="114">
      <c r="A114" s="11" t="inlineStr">
        <is>
          <t>ACN</t>
        </is>
      </c>
      <c r="B114" s="11" t="inlineStr">
        <is>
          <t>Accenture plc</t>
        </is>
      </c>
      <c r="C114" s="11" t="inlineStr">
        <is>
          <t>Information Technology Services</t>
        </is>
      </c>
      <c r="D114" s="11" t="inlineStr">
        <is>
          <t>Ireland</t>
        </is>
      </c>
      <c r="E114" s="12" t="n">
        <v>143.9</v>
      </c>
      <c r="F114" s="13" t="n">
        <v>235.16</v>
      </c>
      <c r="G114" s="13" t="n">
        <v>229.73792</v>
      </c>
      <c r="H114" s="14">
        <f>IF(AND(ISNUMBER(F114),ISNUMBER(G114),F114&gt;0),G114/F114-1,"")</f>
        <v/>
      </c>
      <c r="I114" s="13" t="n">
        <v>163</v>
      </c>
      <c r="J114" s="14">
        <f>IF(AND(ISNUMBER(F114),ISNUMBER(I114),F114&gt;0),I114/F114-1,"")</f>
        <v/>
      </c>
      <c r="K114" s="13" t="n">
        <v>300</v>
      </c>
      <c r="L114" s="14">
        <f>IF(AND(ISNUMBER(F114),ISNUMBER(K114),F114&gt;0),K114/F114-1,"")</f>
        <v/>
      </c>
      <c r="M114" s="15" t="n">
        <v>24</v>
      </c>
      <c r="N114" s="16" t="n">
        <v>6.84</v>
      </c>
      <c r="O114" s="17">
        <f>IF(AND(ISNUMBER(F114),ISNUMBER(N114),F114&gt;0),N114/F114,"")</f>
        <v/>
      </c>
      <c r="P114" s="18" t="n">
        <v>46308</v>
      </c>
      <c r="Q114" s="18" t="n">
        <v>46373</v>
      </c>
      <c r="R114" s="16" t="n">
        <v>13.56</v>
      </c>
      <c r="S114" s="19">
        <f>IF(AND(ISNUMBER(F114),ISNUMBER(R114),R114&gt;0),F114/R114,"")</f>
        <v/>
      </c>
      <c r="T114" s="18" t="n">
        <v>46323</v>
      </c>
    </row>
    <row r="115">
      <c r="A115" s="20" t="inlineStr">
        <is>
          <t>PBR</t>
        </is>
      </c>
      <c r="B115" s="20" t="inlineStr">
        <is>
          <t>Petroleo Brasileiro S.A. Petrob</t>
        </is>
      </c>
      <c r="C115" s="20" t="inlineStr">
        <is>
          <t>Oil &amp; Gas Integrated</t>
        </is>
      </c>
      <c r="D115" s="20" t="inlineStr">
        <is>
          <t>Brazil</t>
        </is>
      </c>
      <c r="E115" s="21" t="n">
        <v>143.71</v>
      </c>
      <c r="F115" s="22" t="n">
        <v>22.3</v>
      </c>
      <c r="G115" s="22" t="n">
        <v>23.94615</v>
      </c>
      <c r="H115" s="23">
        <f>IF(AND(ISNUMBER(F115),ISNUMBER(G115),F115&gt;0),G115/F115-1,"")</f>
        <v/>
      </c>
      <c r="I115" s="22" t="n">
        <v>17.4</v>
      </c>
      <c r="J115" s="23">
        <f>IF(AND(ISNUMBER(F115),ISNUMBER(I115),F115&gt;0),I115/F115-1,"")</f>
        <v/>
      </c>
      <c r="K115" s="22" t="n">
        <v>31</v>
      </c>
      <c r="L115" s="23">
        <f>IF(AND(ISNUMBER(F115),ISNUMBER(K115),F115&gt;0),K115/F115-1,"")</f>
        <v/>
      </c>
      <c r="M115" s="24" t="n">
        <v>13</v>
      </c>
      <c r="N115" s="25" t="n">
        <v>1.43</v>
      </c>
      <c r="O115" s="26">
        <f>IF(AND(ISNUMBER(F115),ISNUMBER(N115),F115&gt;0),N115/F115,"")</f>
        <v/>
      </c>
      <c r="P115" s="27" t="n">
        <v>46259</v>
      </c>
      <c r="Q115" s="27" t="n">
        <v>46336</v>
      </c>
      <c r="R115" s="25" t="n">
        <v>3.41</v>
      </c>
      <c r="S115" s="28">
        <f>IF(AND(ISNUMBER(F115),ISNUMBER(R115),R115&gt;0),F115/R115,"")</f>
        <v/>
      </c>
      <c r="T115" s="27" t="n">
        <v>46323</v>
      </c>
    </row>
    <row r="116">
      <c r="A116" s="11" t="inlineStr">
        <is>
          <t>UBS</t>
        </is>
      </c>
      <c r="B116" s="11" t="inlineStr">
        <is>
          <t>UBS Group AG Registered</t>
        </is>
      </c>
      <c r="C116" s="11" t="inlineStr">
        <is>
          <t>Banks - Diversified</t>
        </is>
      </c>
      <c r="D116" s="11" t="inlineStr">
        <is>
          <t>Switzerland</t>
        </is>
      </c>
      <c r="E116" s="12" t="n">
        <v>143.26</v>
      </c>
      <c r="F116" s="13" t="n">
        <v>46.79</v>
      </c>
      <c r="G116" s="13" t="n">
        <v>55.03333</v>
      </c>
      <c r="H116" s="14">
        <f>IF(AND(ISNUMBER(F116),ISNUMBER(G116),F116&gt;0),G116/F116-1,"")</f>
        <v/>
      </c>
      <c r="I116" s="13" t="n">
        <v>50</v>
      </c>
      <c r="J116" s="14">
        <f>IF(AND(ISNUMBER(F116),ISNUMBER(I116),F116&gt;0),I116/F116-1,"")</f>
        <v/>
      </c>
      <c r="K116" s="13" t="n">
        <v>62.6</v>
      </c>
      <c r="L116" s="14">
        <f>IF(AND(ISNUMBER(F116),ISNUMBER(K116),F116&gt;0),K116/F116-1,"")</f>
        <v/>
      </c>
      <c r="M116" s="15" t="n">
        <v>3</v>
      </c>
      <c r="N116" s="16" t="n">
        <v>1.1</v>
      </c>
      <c r="O116" s="17">
        <f>IF(AND(ISNUMBER(F116),ISNUMBER(N116),F116&gt;0),N116/F116,"")</f>
        <v/>
      </c>
      <c r="P116" s="18" t="n">
        <v>46134</v>
      </c>
      <c r="Q116" s="18" t="n">
        <v>46323</v>
      </c>
      <c r="R116" s="16" t="n">
        <v>2.94</v>
      </c>
      <c r="S116" s="19">
        <f>IF(AND(ISNUMBER(F116),ISNUMBER(R116),R116&gt;0),F116/R116,"")</f>
        <v/>
      </c>
      <c r="T116" s="18" t="n">
        <v>46323</v>
      </c>
    </row>
    <row r="117">
      <c r="A117" s="20" t="inlineStr">
        <is>
          <t>WDC</t>
        </is>
      </c>
      <c r="B117" s="20" t="inlineStr">
        <is>
          <t>Western Digital Corporation</t>
        </is>
      </c>
      <c r="C117" s="20" t="inlineStr">
        <is>
          <t>Computer Hardware</t>
        </is>
      </c>
      <c r="D117" s="20" t="inlineStr">
        <is>
          <t>United States</t>
        </is>
      </c>
      <c r="E117" s="21" t="n">
        <v>142.57</v>
      </c>
      <c r="F117" s="22" t="n">
        <v>380.88</v>
      </c>
      <c r="G117" s="22" t="n">
        <v>613.375</v>
      </c>
      <c r="H117" s="23">
        <f>IF(AND(ISNUMBER(F117),ISNUMBER(G117),F117&gt;0),G117/F117-1,"")</f>
        <v/>
      </c>
      <c r="I117" s="22" t="n">
        <v>405</v>
      </c>
      <c r="J117" s="23">
        <f>IF(AND(ISNUMBER(F117),ISNUMBER(I117),F117&gt;0),I117/F117-1,"")</f>
        <v/>
      </c>
      <c r="K117" s="22" t="n">
        <v>900</v>
      </c>
      <c r="L117" s="23">
        <f>IF(AND(ISNUMBER(F117),ISNUMBER(K117),F117&gt;0),K117/F117-1,"")</f>
        <v/>
      </c>
      <c r="M117" s="24" t="n">
        <v>24</v>
      </c>
      <c r="N117" s="25" t="n">
        <v>0.7</v>
      </c>
      <c r="O117" s="26">
        <f>IF(AND(ISNUMBER(F117),ISNUMBER(N117),F117&gt;0),N117/F117,"")</f>
        <v/>
      </c>
      <c r="P117" s="27" t="n">
        <v>46360</v>
      </c>
      <c r="Q117" s="27" t="n">
        <v>46317</v>
      </c>
      <c r="R117" s="25" t="n">
        <v>28.43</v>
      </c>
      <c r="S117" s="28">
        <f>IF(AND(ISNUMBER(F117),ISNUMBER(R117),R117&gt;0),F117/R117,"")</f>
        <v/>
      </c>
      <c r="T117" s="27" t="n">
        <v>46323</v>
      </c>
    </row>
    <row r="118">
      <c r="A118" s="11" t="inlineStr">
        <is>
          <t>T</t>
        </is>
      </c>
      <c r="B118" s="11" t="inlineStr">
        <is>
          <t>AT&amp;T Inc.</t>
        </is>
      </c>
      <c r="C118" s="11" t="inlineStr">
        <is>
          <t>Telecom Services</t>
        </is>
      </c>
      <c r="D118" s="11" t="inlineStr">
        <is>
          <t>United States</t>
        </is>
      </c>
      <c r="E118" s="12" t="n">
        <v>141.06</v>
      </c>
      <c r="F118" s="13" t="n">
        <v>20.94</v>
      </c>
      <c r="G118" s="13" t="n">
        <v>27.71739</v>
      </c>
      <c r="H118" s="14">
        <f>IF(AND(ISNUMBER(F118),ISNUMBER(G118),F118&gt;0),G118/F118-1,"")</f>
        <v/>
      </c>
      <c r="I118" s="13" t="n">
        <v>20</v>
      </c>
      <c r="J118" s="14">
        <f>IF(AND(ISNUMBER(F118),ISNUMBER(I118),F118&gt;0),I118/F118-1,"")</f>
        <v/>
      </c>
      <c r="K118" s="13" t="n">
        <v>34</v>
      </c>
      <c r="L118" s="14">
        <f>IF(AND(ISNUMBER(F118),ISNUMBER(K118),F118&gt;0),K118/F118-1,"")</f>
        <v/>
      </c>
      <c r="M118" s="15" t="n">
        <v>23</v>
      </c>
      <c r="N118" s="16" t="n">
        <v>1.11</v>
      </c>
      <c r="O118" s="17">
        <f>IF(AND(ISNUMBER(F118),ISNUMBER(N118),F118&gt;0),N118/F118,"")</f>
        <v/>
      </c>
      <c r="P118" s="18" t="n">
        <v>46304</v>
      </c>
      <c r="Q118" s="18" t="n">
        <v>46316</v>
      </c>
      <c r="R118" s="16" t="n">
        <v>1.87</v>
      </c>
      <c r="S118" s="19">
        <f>IF(AND(ISNUMBER(F118),ISNUMBER(R118),R118&gt;0),F118/R118,"")</f>
        <v/>
      </c>
      <c r="T118" s="18" t="n">
        <v>46323</v>
      </c>
    </row>
    <row r="119">
      <c r="A119" s="20" t="inlineStr">
        <is>
          <t>IBKR</t>
        </is>
      </c>
      <c r="B119" s="20" t="inlineStr">
        <is>
          <t>Interactive Brokers Group, Inc.</t>
        </is>
      </c>
      <c r="C119" s="20" t="inlineStr">
        <is>
          <t>Capital Markets</t>
        </is>
      </c>
      <c r="D119" s="20" t="inlineStr">
        <is>
          <t>United States</t>
        </is>
      </c>
      <c r="E119" s="21" t="n">
        <v>140.14</v>
      </c>
      <c r="F119" s="22" t="n">
        <v>82.25</v>
      </c>
      <c r="G119" s="22" t="n">
        <v>104.6625</v>
      </c>
      <c r="H119" s="23">
        <f>IF(AND(ISNUMBER(F119),ISNUMBER(G119),F119&gt;0),G119/F119-1,"")</f>
        <v/>
      </c>
      <c r="I119" s="22" t="n">
        <v>75</v>
      </c>
      <c r="J119" s="23">
        <f>IF(AND(ISNUMBER(F119),ISNUMBER(I119),F119&gt;0),I119/F119-1,"")</f>
        <v/>
      </c>
      <c r="K119" s="22" t="n">
        <v>120</v>
      </c>
      <c r="L119" s="23">
        <f>IF(AND(ISNUMBER(F119),ISNUMBER(K119),F119&gt;0),K119/F119-1,"")</f>
        <v/>
      </c>
      <c r="M119" s="24" t="n">
        <v>16</v>
      </c>
      <c r="N119" s="25" t="n">
        <v>0.35</v>
      </c>
      <c r="O119" s="26">
        <f>IF(AND(ISNUMBER(F119),ISNUMBER(N119),F119&gt;0),N119/F119,"")</f>
        <v/>
      </c>
      <c r="P119" s="27" t="n">
        <v>46357</v>
      </c>
      <c r="Q119" s="27" t="n">
        <v>46310</v>
      </c>
      <c r="R119" s="25" t="n">
        <v>2.62</v>
      </c>
      <c r="S119" s="28">
        <f>IF(AND(ISNUMBER(F119),ISNUMBER(R119),R119&gt;0),F119/R119,"")</f>
        <v/>
      </c>
      <c r="T119" s="27" t="n">
        <v>46323</v>
      </c>
    </row>
    <row r="120">
      <c r="A120" s="11" t="inlineStr">
        <is>
          <t>UL</t>
        </is>
      </c>
      <c r="B120" s="11" t="inlineStr">
        <is>
          <t>Unilever PLC</t>
        </is>
      </c>
      <c r="C120" s="11" t="inlineStr">
        <is>
          <t>Household &amp; Personal Products</t>
        </is>
      </c>
      <c r="D120" s="11" t="inlineStr">
        <is>
          <t>United Kingdom</t>
        </is>
      </c>
      <c r="E120" s="12" t="n">
        <v>140.09</v>
      </c>
      <c r="F120" s="13" t="n">
        <v>65.05</v>
      </c>
      <c r="G120" s="13" t="n">
        <v>71.03243999999999</v>
      </c>
      <c r="H120" s="14">
        <f>IF(AND(ISNUMBER(F120),ISNUMBER(G120),F120&gt;0),G120/F120-1,"")</f>
        <v/>
      </c>
      <c r="I120" s="13" t="n">
        <v>66.60472</v>
      </c>
      <c r="J120" s="14">
        <f>IF(AND(ISNUMBER(F120),ISNUMBER(I120),F120&gt;0),I120/F120-1,"")</f>
        <v/>
      </c>
      <c r="K120" s="13" t="n">
        <v>74.560425</v>
      </c>
      <c r="L120" s="14">
        <f>IF(AND(ISNUMBER(F120),ISNUMBER(K120),F120&gt;0),K120/F120-1,"")</f>
        <v/>
      </c>
      <c r="M120" s="15" t="n">
        <v>4</v>
      </c>
      <c r="N120" s="16" t="n">
        <v>2.12</v>
      </c>
      <c r="O120" s="17">
        <f>IF(AND(ISNUMBER(F120),ISNUMBER(N120),F120&gt;0),N120/F120,"")</f>
        <v/>
      </c>
      <c r="P120" s="18" t="n">
        <v>46241</v>
      </c>
      <c r="Q120" s="18" t="n">
        <v>46231</v>
      </c>
      <c r="R120" s="16" t="n">
        <v>4.95</v>
      </c>
      <c r="S120" s="19">
        <f>IF(AND(ISNUMBER(F120),ISNUMBER(R120),R120&gt;0),F120/R120,"")</f>
        <v/>
      </c>
      <c r="T120" s="18" t="n">
        <v>46323</v>
      </c>
    </row>
    <row r="121">
      <c r="A121" s="20" t="inlineStr">
        <is>
          <t>BX</t>
        </is>
      </c>
      <c r="B121" s="20" t="inlineStr">
        <is>
          <t>Blackstone Inc.</t>
        </is>
      </c>
      <c r="C121" s="20" t="inlineStr">
        <is>
          <t>Asset Management</t>
        </is>
      </c>
      <c r="D121" s="20" t="inlineStr">
        <is>
          <t>United States</t>
        </is>
      </c>
      <c r="E121" s="21" t="n">
        <v>139.49</v>
      </c>
      <c r="F121" s="22" t="n">
        <v>116.7</v>
      </c>
      <c r="G121" s="22" t="n">
        <v>138.77274</v>
      </c>
      <c r="H121" s="23">
        <f>IF(AND(ISNUMBER(F121),ISNUMBER(G121),F121&gt;0),G121/F121-1,"")</f>
        <v/>
      </c>
      <c r="I121" s="22" t="n">
        <v>118</v>
      </c>
      <c r="J121" s="23">
        <f>IF(AND(ISNUMBER(F121),ISNUMBER(I121),F121&gt;0),I121/F121-1,"")</f>
        <v/>
      </c>
      <c r="K121" s="22" t="n">
        <v>169</v>
      </c>
      <c r="L121" s="23">
        <f>IF(AND(ISNUMBER(F121),ISNUMBER(K121),F121&gt;0),K121/F121-1,"")</f>
        <v/>
      </c>
      <c r="M121" s="24" t="n">
        <v>22</v>
      </c>
      <c r="N121" s="25" t="n">
        <v>5.23</v>
      </c>
      <c r="O121" s="26">
        <f>IF(AND(ISNUMBER(F121),ISNUMBER(N121),F121&gt;0),N121/F121,"")</f>
        <v/>
      </c>
      <c r="P121" s="27" t="n">
        <v>46237</v>
      </c>
      <c r="Q121" s="27" t="n">
        <v>46317</v>
      </c>
      <c r="R121" s="25" t="n">
        <v>4.49</v>
      </c>
      <c r="S121" s="28">
        <f>IF(AND(ISNUMBER(F121),ISNUMBER(R121),R121&gt;0),F121/R121,"")</f>
        <v/>
      </c>
      <c r="T121" s="27" t="n">
        <v>46323</v>
      </c>
    </row>
    <row r="122">
      <c r="A122" s="11" t="inlineStr">
        <is>
          <t>RIO</t>
        </is>
      </c>
      <c r="B122" s="11" t="inlineStr">
        <is>
          <t>Rio Tinto Plc</t>
        </is>
      </c>
      <c r="C122" s="11" t="inlineStr">
        <is>
          <t>Other Industrial Metals &amp; Mining</t>
        </is>
      </c>
      <c r="D122" s="11" t="inlineStr">
        <is>
          <t>United Kingdom</t>
        </is>
      </c>
      <c r="E122" s="12" t="n">
        <v>139.45</v>
      </c>
      <c r="F122" s="13" t="n">
        <v>85.73999999999999</v>
      </c>
      <c r="G122" s="13" t="n">
        <v>102.70556</v>
      </c>
      <c r="H122" s="14">
        <f>IF(AND(ISNUMBER(F122),ISNUMBER(G122),F122&gt;0),G122/F122-1,"")</f>
        <v/>
      </c>
      <c r="I122" s="13" t="n">
        <v>82</v>
      </c>
      <c r="J122" s="14">
        <f>IF(AND(ISNUMBER(F122),ISNUMBER(I122),F122&gt;0),I122/F122-1,"")</f>
        <v/>
      </c>
      <c r="K122" s="13" t="n">
        <v>117</v>
      </c>
      <c r="L122" s="14">
        <f>IF(AND(ISNUMBER(F122),ISNUMBER(K122),F122&gt;0),K122/F122-1,"")</f>
        <v/>
      </c>
      <c r="M122" s="15" t="n">
        <v>9</v>
      </c>
      <c r="N122" s="16" t="n">
        <v>4.65</v>
      </c>
      <c r="O122" s="17">
        <f>IF(AND(ISNUMBER(F122),ISNUMBER(N122),F122&gt;0),N122/F122,"")</f>
        <v/>
      </c>
      <c r="P122" s="18" t="n">
        <v>46248</v>
      </c>
      <c r="Q122" s="18" t="n">
        <v>46231</v>
      </c>
      <c r="R122" s="16" t="n">
        <v>7.38</v>
      </c>
      <c r="S122" s="19">
        <f>IF(AND(ISNUMBER(F122),ISNUMBER(R122),R122&gt;0),F122/R122,"")</f>
        <v/>
      </c>
      <c r="T122" s="18" t="n">
        <v>46323</v>
      </c>
    </row>
    <row r="123">
      <c r="A123" s="20" t="inlineStr">
        <is>
          <t>CB</t>
        </is>
      </c>
      <c r="B123" s="20" t="inlineStr">
        <is>
          <t>Chubb Limited</t>
        </is>
      </c>
      <c r="C123" s="20" t="inlineStr">
        <is>
          <t>Insurance - Property &amp; Casualty</t>
        </is>
      </c>
      <c r="D123" s="20" t="inlineStr">
        <is>
          <t>Switzerland</t>
        </is>
      </c>
      <c r="E123" s="21" t="n">
        <v>137.44</v>
      </c>
      <c r="F123" s="22" t="n">
        <v>356.25</v>
      </c>
      <c r="G123" s="22" t="n">
        <v>372.3913</v>
      </c>
      <c r="H123" s="23">
        <f>IF(AND(ISNUMBER(F123),ISNUMBER(G123),F123&gt;0),G123/F123-1,"")</f>
        <v/>
      </c>
      <c r="I123" s="22" t="n">
        <v>314</v>
      </c>
      <c r="J123" s="23">
        <f>IF(AND(ISNUMBER(F123),ISNUMBER(I123),F123&gt;0),I123/F123-1,"")</f>
        <v/>
      </c>
      <c r="K123" s="22" t="n">
        <v>425</v>
      </c>
      <c r="L123" s="23">
        <f>IF(AND(ISNUMBER(F123),ISNUMBER(K123),F123&gt;0),K123/F123-1,"")</f>
        <v/>
      </c>
      <c r="M123" s="24" t="n">
        <v>23</v>
      </c>
      <c r="N123" s="25" t="n">
        <v>4.08</v>
      </c>
      <c r="O123" s="26">
        <f>IF(AND(ISNUMBER(F123),ISNUMBER(N123),F123&gt;0),N123/F123,"")</f>
        <v/>
      </c>
      <c r="P123" s="27" t="n">
        <v>46276</v>
      </c>
      <c r="Q123" s="27" t="n">
        <v>46315</v>
      </c>
      <c r="R123" s="25" t="n">
        <v>28.53</v>
      </c>
      <c r="S123" s="28">
        <f>IF(AND(ISNUMBER(F123),ISNUMBER(R123),R123&gt;0),F123/R123,"")</f>
        <v/>
      </c>
      <c r="T123" s="27" t="n">
        <v>46323</v>
      </c>
    </row>
    <row r="124">
      <c r="A124" s="11" t="inlineStr">
        <is>
          <t>RYCEY</t>
        </is>
      </c>
      <c r="B124" s="11" t="inlineStr">
        <is>
          <t>Rolls Royce Holdings plc</t>
        </is>
      </c>
      <c r="C124" s="11" t="inlineStr">
        <is>
          <t>Aerospace &amp; Defense</t>
        </is>
      </c>
      <c r="D124" s="11" t="inlineStr">
        <is>
          <t>United Kingdom</t>
        </is>
      </c>
      <c r="E124" s="12" t="n">
        <v>135.95</v>
      </c>
      <c r="F124" s="13" t="n">
        <v>16.56</v>
      </c>
      <c r="G124" s="13" t="n">
        <v>22.94</v>
      </c>
      <c r="H124" s="14">
        <f>IF(AND(ISNUMBER(F124),ISNUMBER(G124),F124&gt;0),G124/F124-1,"")</f>
        <v/>
      </c>
      <c r="I124" s="13" t="n">
        <v>20.5</v>
      </c>
      <c r="J124" s="14">
        <f>IF(AND(ISNUMBER(F124),ISNUMBER(I124),F124&gt;0),I124/F124-1,"")</f>
        <v/>
      </c>
      <c r="K124" s="13" t="n">
        <v>24.62</v>
      </c>
      <c r="L124" s="14">
        <f>IF(AND(ISNUMBER(F124),ISNUMBER(K124),F124&gt;0),K124/F124-1,"")</f>
        <v/>
      </c>
      <c r="M124" s="15" t="n">
        <v>3</v>
      </c>
      <c r="N124" s="16" t="n">
        <v>0.15</v>
      </c>
      <c r="O124" s="17">
        <f>IF(AND(ISNUMBER(F124),ISNUMBER(N124),F124&gt;0),N124/F124,"")</f>
        <v/>
      </c>
      <c r="P124" s="18" t="n">
        <v>46244</v>
      </c>
      <c r="Q124" s="18" t="n">
        <v>46233</v>
      </c>
      <c r="R124" s="16" t="n">
        <v>0.49</v>
      </c>
      <c r="S124" s="19">
        <f>IF(AND(ISNUMBER(F124),ISNUMBER(R124),R124&gt;0),F124/R124,"")</f>
        <v/>
      </c>
      <c r="T124" s="18" t="n">
        <v>46323</v>
      </c>
    </row>
    <row r="125">
      <c r="A125" s="20" t="inlineStr">
        <is>
          <t>FTNT</t>
        </is>
      </c>
      <c r="B125" s="20" t="inlineStr">
        <is>
          <t>Fortinet, Inc.</t>
        </is>
      </c>
      <c r="C125" s="20" t="inlineStr">
        <is>
          <t>Software - Infrastructure</t>
        </is>
      </c>
      <c r="D125" s="20" t="inlineStr">
        <is>
          <t>United States</t>
        </is>
      </c>
      <c r="E125" s="21" t="n">
        <v>135.74</v>
      </c>
      <c r="F125" s="22" t="n">
        <v>185</v>
      </c>
      <c r="G125" s="22" t="n">
        <v>169.44595</v>
      </c>
      <c r="H125" s="23">
        <f>IF(AND(ISNUMBER(F125),ISNUMBER(G125),F125&gt;0),G125/F125-1,"")</f>
        <v/>
      </c>
      <c r="I125" s="22" t="n">
        <v>107</v>
      </c>
      <c r="J125" s="23">
        <f>IF(AND(ISNUMBER(F125),ISNUMBER(I125),F125&gt;0),I125/F125-1,"")</f>
        <v/>
      </c>
      <c r="K125" s="22" t="n">
        <v>225</v>
      </c>
      <c r="L125" s="23">
        <f>IF(AND(ISNUMBER(F125),ISNUMBER(K125),F125&gt;0),K125/F125-1,"")</f>
        <v/>
      </c>
      <c r="M125" s="24" t="n">
        <v>37</v>
      </c>
      <c r="N125" s="25" t="n"/>
      <c r="O125" s="26">
        <f>IF(AND(ISNUMBER(F125),ISNUMBER(N125),F125&gt;0),N125/F125,"")</f>
        <v/>
      </c>
      <c r="P125" s="27" t="n"/>
      <c r="Q125" s="27" t="n">
        <v>46323</v>
      </c>
      <c r="R125" s="25" t="n">
        <v>2.83</v>
      </c>
      <c r="S125" s="28">
        <f>IF(AND(ISNUMBER(F125),ISNUMBER(R125),R125&gt;0),F125/R125,"")</f>
        <v/>
      </c>
      <c r="T125" s="27" t="n">
        <v>46323</v>
      </c>
    </row>
    <row r="126">
      <c r="A126" s="11" t="inlineStr">
        <is>
          <t>DTEGY</t>
        </is>
      </c>
      <c r="B126" s="11" t="inlineStr">
        <is>
          <t>Deutsche Telekom AG</t>
        </is>
      </c>
      <c r="C126" s="11" t="inlineStr">
        <is>
          <t>Telecom Services</t>
        </is>
      </c>
      <c r="D126" s="11" t="inlineStr">
        <is>
          <t>Germany</t>
        </is>
      </c>
      <c r="E126" s="12" t="n">
        <v>134.88</v>
      </c>
      <c r="F126" s="13" t="n">
        <v>27.88</v>
      </c>
      <c r="G126" s="13" t="n">
        <v>40.701458</v>
      </c>
      <c r="H126" s="14">
        <f>IF(AND(ISNUMBER(F126),ISNUMBER(G126),F126&gt;0),G126/F126-1,"")</f>
        <v/>
      </c>
      <c r="I126" s="13" t="n">
        <v>38.304028</v>
      </c>
      <c r="J126" s="14">
        <f>IF(AND(ISNUMBER(F126),ISNUMBER(I126),F126&gt;0),I126/F126-1,"")</f>
        <v/>
      </c>
      <c r="K126" s="13" t="n">
        <v>42.413754</v>
      </c>
      <c r="L126" s="14">
        <f>IF(AND(ISNUMBER(F126),ISNUMBER(K126),F126&gt;0),K126/F126-1,"")</f>
        <v/>
      </c>
      <c r="M126" s="15" t="n">
        <v>3</v>
      </c>
      <c r="N126" s="16" t="n">
        <v>1.17</v>
      </c>
      <c r="O126" s="17">
        <f>IF(AND(ISNUMBER(F126),ISNUMBER(N126),F126&gt;0),N126/F126,"")</f>
        <v/>
      </c>
      <c r="P126" s="18" t="n">
        <v>46119</v>
      </c>
      <c r="Q126" s="18" t="n">
        <v>46331</v>
      </c>
      <c r="R126" s="16" t="n">
        <v>2.08</v>
      </c>
      <c r="S126" s="19">
        <f>IF(AND(ISNUMBER(F126),ISNUMBER(R126),R126&gt;0),F126/R126,"")</f>
        <v/>
      </c>
      <c r="T126" s="18" t="n">
        <v>46323</v>
      </c>
    </row>
    <row r="127">
      <c r="A127" s="20" t="inlineStr">
        <is>
          <t>UBER</t>
        </is>
      </c>
      <c r="B127" s="20" t="inlineStr">
        <is>
          <t>Uber Technologies, Inc.</t>
        </is>
      </c>
      <c r="C127" s="20" t="inlineStr">
        <is>
          <t>Software - Application</t>
        </is>
      </c>
      <c r="D127" s="20" t="inlineStr">
        <is>
          <t>United States</t>
        </is>
      </c>
      <c r="E127" s="21" t="n">
        <v>134.36</v>
      </c>
      <c r="F127" s="22" t="n">
        <v>65.78</v>
      </c>
      <c r="G127" s="22" t="n">
        <v>100.85522</v>
      </c>
      <c r="H127" s="23">
        <f>IF(AND(ISNUMBER(F127),ISNUMBER(G127),F127&gt;0),G127/F127-1,"")</f>
        <v/>
      </c>
      <c r="I127" s="22" t="n">
        <v>70</v>
      </c>
      <c r="J127" s="23">
        <f>IF(AND(ISNUMBER(F127),ISNUMBER(I127),F127&gt;0),I127/F127-1,"")</f>
        <v/>
      </c>
      <c r="K127" s="22" t="n">
        <v>150</v>
      </c>
      <c r="L127" s="23">
        <f>IF(AND(ISNUMBER(F127),ISNUMBER(K127),F127&gt;0),K127/F127-1,"")</f>
        <v/>
      </c>
      <c r="M127" s="24" t="n">
        <v>46</v>
      </c>
      <c r="N127" s="25" t="n"/>
      <c r="O127" s="26">
        <f>IF(AND(ISNUMBER(F127),ISNUMBER(N127),F127&gt;0),N127/F127,"")</f>
        <v/>
      </c>
      <c r="P127" s="27" t="n"/>
      <c r="Q127" s="27" t="n">
        <v>46330</v>
      </c>
      <c r="R127" s="25" t="n">
        <v>4.56</v>
      </c>
      <c r="S127" s="28">
        <f>IF(AND(ISNUMBER(F127),ISNUMBER(R127),R127&gt;0),F127/R127,"")</f>
        <v/>
      </c>
      <c r="T127" s="27" t="n">
        <v>46323</v>
      </c>
    </row>
    <row r="128">
      <c r="A128" s="11" t="inlineStr">
        <is>
          <t>BA</t>
        </is>
      </c>
      <c r="B128" s="11" t="inlineStr">
        <is>
          <t>Boeing Company (The)</t>
        </is>
      </c>
      <c r="C128" s="11" t="inlineStr">
        <is>
          <t>Aerospace &amp; Defense</t>
        </is>
      </c>
      <c r="D128" s="11" t="inlineStr">
        <is>
          <t>United States</t>
        </is>
      </c>
      <c r="E128" s="12" t="n">
        <v>132.92</v>
      </c>
      <c r="F128" s="13" t="n">
        <v>168.18</v>
      </c>
      <c r="G128" s="13" t="n">
        <v>267.22223</v>
      </c>
      <c r="H128" s="14">
        <f>IF(AND(ISNUMBER(F128),ISNUMBER(G128),F128&gt;0),G128/F128-1,"")</f>
        <v/>
      </c>
      <c r="I128" s="13" t="n">
        <v>206</v>
      </c>
      <c r="J128" s="14">
        <f>IF(AND(ISNUMBER(F128),ISNUMBER(I128),F128&gt;0),I128/F128-1,"")</f>
        <v/>
      </c>
      <c r="K128" s="13" t="n">
        <v>305</v>
      </c>
      <c r="L128" s="14">
        <f>IF(AND(ISNUMBER(F128),ISNUMBER(K128),F128&gt;0),K128/F128-1,"")</f>
        <v/>
      </c>
      <c r="M128" s="15" t="n">
        <v>27</v>
      </c>
      <c r="N128" s="16" t="n"/>
      <c r="O128" s="17">
        <f>IF(AND(ISNUMBER(F128),ISNUMBER(N128),F128&gt;0),N128/F128,"")</f>
        <v/>
      </c>
      <c r="P128" s="18" t="n"/>
      <c r="Q128" s="18" t="n">
        <v>46322</v>
      </c>
      <c r="R128" s="16" t="n">
        <v>2.8</v>
      </c>
      <c r="S128" s="19">
        <f>IF(AND(ISNUMBER(F128),ISNUMBER(R128),R128&gt;0),F128/R128,"")</f>
        <v/>
      </c>
      <c r="T128" s="18" t="n">
        <v>46323</v>
      </c>
    </row>
    <row r="129">
      <c r="A129" s="20" t="inlineStr">
        <is>
          <t>SPGI</t>
        </is>
      </c>
      <c r="B129" s="20" t="inlineStr">
        <is>
          <t>S&amp;P Global Inc.</t>
        </is>
      </c>
      <c r="C129" s="20" t="inlineStr">
        <is>
          <t>Financial Data &amp; Stock Exchanges</t>
        </is>
      </c>
      <c r="D129" s="20" t="inlineStr">
        <is>
          <t>United States</t>
        </is>
      </c>
      <c r="E129" s="21" t="n">
        <v>132.34</v>
      </c>
      <c r="F129" s="22" t="n">
        <v>448.93</v>
      </c>
      <c r="G129" s="22" t="n">
        <v>514.0476</v>
      </c>
      <c r="H129" s="23">
        <f>IF(AND(ISNUMBER(F129),ISNUMBER(G129),F129&gt;0),G129/F129-1,"")</f>
        <v/>
      </c>
      <c r="I129" s="22" t="n">
        <v>477</v>
      </c>
      <c r="J129" s="23">
        <f>IF(AND(ISNUMBER(F129),ISNUMBER(I129),F129&gt;0),I129/F129-1,"")</f>
        <v/>
      </c>
      <c r="K129" s="22" t="n">
        <v>553</v>
      </c>
      <c r="L129" s="23">
        <f>IF(AND(ISNUMBER(F129),ISNUMBER(K129),F129&gt;0),K129/F129-1,"")</f>
        <v/>
      </c>
      <c r="M129" s="24" t="n">
        <v>21</v>
      </c>
      <c r="N129" s="25" t="n">
        <v>3.88</v>
      </c>
      <c r="O129" s="26">
        <f>IF(AND(ISNUMBER(F129),ISNUMBER(N129),F129&gt;0),N129/F129,"")</f>
        <v/>
      </c>
      <c r="P129" s="27" t="n">
        <v>46351</v>
      </c>
      <c r="Q129" s="27" t="n">
        <v>46322</v>
      </c>
      <c r="R129" s="25" t="n">
        <v>16.43</v>
      </c>
      <c r="S129" s="28">
        <f>IF(AND(ISNUMBER(F129),ISNUMBER(R129),R129&gt;0),F129/R129,"")</f>
        <v/>
      </c>
      <c r="T129" s="27" t="n">
        <v>46323</v>
      </c>
    </row>
    <row r="130">
      <c r="A130" s="11" t="inlineStr">
        <is>
          <t>VRTX</t>
        </is>
      </c>
      <c r="B130" s="11" t="inlineStr">
        <is>
          <t>Vertex Pharmaceuticals Incorpor</t>
        </is>
      </c>
      <c r="C130" s="11" t="inlineStr">
        <is>
          <t>Biotechnology</t>
        </is>
      </c>
      <c r="D130" s="11" t="inlineStr">
        <is>
          <t>United States</t>
        </is>
      </c>
      <c r="E130" s="12" t="n">
        <v>132.06</v>
      </c>
      <c r="F130" s="13" t="n">
        <v>521.03</v>
      </c>
      <c r="G130" s="13" t="n">
        <v>571.4643</v>
      </c>
      <c r="H130" s="14">
        <f>IF(AND(ISNUMBER(F130),ISNUMBER(G130),F130&gt;0),G130/F130-1,"")</f>
        <v/>
      </c>
      <c r="I130" s="13" t="n">
        <v>350</v>
      </c>
      <c r="J130" s="14">
        <f>IF(AND(ISNUMBER(F130),ISNUMBER(I130),F130&gt;0),I130/F130-1,"")</f>
        <v/>
      </c>
      <c r="K130" s="13" t="n">
        <v>667</v>
      </c>
      <c r="L130" s="14">
        <f>IF(AND(ISNUMBER(F130),ISNUMBER(K130),F130&gt;0),K130/F130-1,"")</f>
        <v/>
      </c>
      <c r="M130" s="15" t="n">
        <v>28</v>
      </c>
      <c r="N130" s="16" t="n"/>
      <c r="O130" s="17">
        <f>IF(AND(ISNUMBER(F130),ISNUMBER(N130),F130&gt;0),N130/F130,"")</f>
        <v/>
      </c>
      <c r="P130" s="18" t="n"/>
      <c r="Q130" s="18" t="n">
        <v>46328</v>
      </c>
      <c r="R130" s="16" t="n">
        <v>17.52</v>
      </c>
      <c r="S130" s="19">
        <f>IF(AND(ISNUMBER(F130),ISNUMBER(R130),R130&gt;0),F130/R130,"")</f>
        <v/>
      </c>
      <c r="T130" s="18" t="n">
        <v>46323</v>
      </c>
    </row>
    <row r="131">
      <c r="A131" s="20" t="inlineStr">
        <is>
          <t>PGR</t>
        </is>
      </c>
      <c r="B131" s="20" t="inlineStr">
        <is>
          <t>Progressive Corporation (The)</t>
        </is>
      </c>
      <c r="C131" s="20" t="inlineStr">
        <is>
          <t>Insurance - Property &amp; Casualty</t>
        </is>
      </c>
      <c r="D131" s="20" t="inlineStr">
        <is>
          <t>United States</t>
        </is>
      </c>
      <c r="E131" s="21" t="n">
        <v>130.74</v>
      </c>
      <c r="F131" s="22" t="n">
        <v>225.6</v>
      </c>
      <c r="G131" s="22" t="n">
        <v>230.38095</v>
      </c>
      <c r="H131" s="23">
        <f>IF(AND(ISNUMBER(F131),ISNUMBER(G131),F131&gt;0),G131/F131-1,"")</f>
        <v/>
      </c>
      <c r="I131" s="22" t="n">
        <v>196</v>
      </c>
      <c r="J131" s="23">
        <f>IF(AND(ISNUMBER(F131),ISNUMBER(I131),F131&gt;0),I131/F131-1,"")</f>
        <v/>
      </c>
      <c r="K131" s="22" t="n">
        <v>262</v>
      </c>
      <c r="L131" s="23">
        <f>IF(AND(ISNUMBER(F131),ISNUMBER(K131),F131&gt;0),K131/F131-1,"")</f>
        <v/>
      </c>
      <c r="M131" s="24" t="n">
        <v>21</v>
      </c>
      <c r="N131" s="25" t="n">
        <v>0.4</v>
      </c>
      <c r="O131" s="26">
        <f>IF(AND(ISNUMBER(F131),ISNUMBER(N131),F131&gt;0),N131/F131,"")</f>
        <v/>
      </c>
      <c r="P131" s="27" t="n">
        <v>46296</v>
      </c>
      <c r="Q131" s="27" t="n">
        <v>46309</v>
      </c>
      <c r="R131" s="25" t="n">
        <v>19.85</v>
      </c>
      <c r="S131" s="28">
        <f>IF(AND(ISNUMBER(F131),ISNUMBER(R131),R131&gt;0),F131/R131,"")</f>
        <v/>
      </c>
      <c r="T131" s="27" t="n">
        <v>46323</v>
      </c>
    </row>
    <row r="132">
      <c r="A132" s="11" t="inlineStr">
        <is>
          <t>BTI</t>
        </is>
      </c>
      <c r="B132" s="11" t="inlineStr">
        <is>
          <t>British American Tobacco  Indus</t>
        </is>
      </c>
      <c r="C132" s="11" t="inlineStr">
        <is>
          <t>Tobacco</t>
        </is>
      </c>
      <c r="D132" s="11" t="inlineStr">
        <is>
          <t>United Kingdom</t>
        </is>
      </c>
      <c r="E132" s="12" t="n">
        <v>128.58</v>
      </c>
      <c r="F132" s="13" t="n">
        <v>59.83</v>
      </c>
      <c r="G132" s="13" t="n">
        <v>70.36667</v>
      </c>
      <c r="H132" s="14">
        <f>IF(AND(ISNUMBER(F132),ISNUMBER(G132),F132&gt;0),G132/F132-1,"")</f>
        <v/>
      </c>
      <c r="I132" s="13" t="n">
        <v>63</v>
      </c>
      <c r="J132" s="14">
        <f>IF(AND(ISNUMBER(F132),ISNUMBER(I132),F132&gt;0),I132/F132-1,"")</f>
        <v/>
      </c>
      <c r="K132" s="13" t="n">
        <v>75</v>
      </c>
      <c r="L132" s="14">
        <f>IF(AND(ISNUMBER(F132),ISNUMBER(K132),F132&gt;0),K132/F132-1,"")</f>
        <v/>
      </c>
      <c r="M132" s="15" t="n">
        <v>6</v>
      </c>
      <c r="N132" s="16" t="n">
        <v>3.34</v>
      </c>
      <c r="O132" s="17">
        <f>IF(AND(ISNUMBER(F132),ISNUMBER(N132),F132&gt;0),N132/F132,"")</f>
        <v/>
      </c>
      <c r="P132" s="18" t="n">
        <v>46385</v>
      </c>
      <c r="Q132" s="18" t="n">
        <v>46233</v>
      </c>
      <c r="R132" s="16" t="n">
        <v>3.9</v>
      </c>
      <c r="S132" s="19">
        <f>IF(AND(ISNUMBER(F132),ISNUMBER(R132),R132&gt;0),F132/R132,"")</f>
        <v/>
      </c>
      <c r="T132" s="18" t="n">
        <v>46323</v>
      </c>
    </row>
    <row r="133">
      <c r="A133" s="20" t="inlineStr">
        <is>
          <t>BP</t>
        </is>
      </c>
      <c r="B133" s="20" t="inlineStr">
        <is>
          <t>BP p.l.c.</t>
        </is>
      </c>
      <c r="C133" s="20" t="inlineStr">
        <is>
          <t>Oil &amp; Gas Integrated</t>
        </is>
      </c>
      <c r="D133" s="20" t="inlineStr">
        <is>
          <t>United Kingdom</t>
        </is>
      </c>
      <c r="E133" s="21" t="n">
        <v>126.02</v>
      </c>
      <c r="F133" s="22" t="n">
        <v>48.93</v>
      </c>
      <c r="G133" s="22" t="n">
        <v>53.48158</v>
      </c>
      <c r="H133" s="23">
        <f>IF(AND(ISNUMBER(F133),ISNUMBER(G133),F133&gt;0),G133/F133-1,"")</f>
        <v/>
      </c>
      <c r="I133" s="22" t="n">
        <v>42</v>
      </c>
      <c r="J133" s="23">
        <f>IF(AND(ISNUMBER(F133),ISNUMBER(I133),F133&gt;0),I133/F133-1,"")</f>
        <v/>
      </c>
      <c r="K133" s="22" t="n">
        <v>74</v>
      </c>
      <c r="L133" s="23">
        <f>IF(AND(ISNUMBER(F133),ISNUMBER(K133),F133&gt;0),K133/F133-1,"")</f>
        <v/>
      </c>
      <c r="M133" s="24" t="n">
        <v>19</v>
      </c>
      <c r="N133" s="25" t="n">
        <v>2.02</v>
      </c>
      <c r="O133" s="26">
        <f>IF(AND(ISNUMBER(F133),ISNUMBER(N133),F133&gt;0),N133/F133,"")</f>
        <v/>
      </c>
      <c r="P133" s="27" t="n">
        <v>46248</v>
      </c>
      <c r="Q133" s="27" t="n">
        <v>46325</v>
      </c>
      <c r="R133" s="25" t="n">
        <v>2.05</v>
      </c>
      <c r="S133" s="28">
        <f>IF(AND(ISNUMBER(F133),ISNUMBER(R133),R133&gt;0),F133/R133,"")</f>
        <v/>
      </c>
      <c r="T133" s="27" t="n">
        <v>46323</v>
      </c>
    </row>
    <row r="134">
      <c r="A134" s="11" t="inlineStr">
        <is>
          <t>BMY</t>
        </is>
      </c>
      <c r="B134" s="11" t="inlineStr">
        <is>
          <t>Bristol-Myers Squibb Company</t>
        </is>
      </c>
      <c r="C134" s="11" t="inlineStr">
        <is>
          <t>Drug Manufacturers - General</t>
        </is>
      </c>
      <c r="D134" s="11" t="inlineStr">
        <is>
          <t>United States</t>
        </is>
      </c>
      <c r="E134" s="12" t="n">
        <v>125.73</v>
      </c>
      <c r="F134" s="13" t="n">
        <v>61.55</v>
      </c>
      <c r="G134" s="13" t="n">
        <v>65.25</v>
      </c>
      <c r="H134" s="14">
        <f>IF(AND(ISNUMBER(F134),ISNUMBER(G134),F134&gt;0),G134/F134-1,"")</f>
        <v/>
      </c>
      <c r="I134" s="13" t="n">
        <v>41</v>
      </c>
      <c r="J134" s="14">
        <f>IF(AND(ISNUMBER(F134),ISNUMBER(I134),F134&gt;0),I134/F134-1,"")</f>
        <v/>
      </c>
      <c r="K134" s="13" t="n">
        <v>80</v>
      </c>
      <c r="L134" s="14">
        <f>IF(AND(ISNUMBER(F134),ISNUMBER(K134),F134&gt;0),K134/F134-1,"")</f>
        <v/>
      </c>
      <c r="M134" s="15" t="n">
        <v>24</v>
      </c>
      <c r="N134" s="16" t="n">
        <v>2.52</v>
      </c>
      <c r="O134" s="17">
        <f>IF(AND(ISNUMBER(F134),ISNUMBER(N134),F134&gt;0),N134/F134,"")</f>
        <v/>
      </c>
      <c r="P134" s="18" t="n">
        <v>46297</v>
      </c>
      <c r="Q134" s="18" t="n">
        <v>46324</v>
      </c>
      <c r="R134" s="16" t="n">
        <v>4.54</v>
      </c>
      <c r="S134" s="19">
        <f>IF(AND(ISNUMBER(F134),ISNUMBER(R134),R134&gt;0),F134/R134,"")</f>
        <v/>
      </c>
      <c r="T134" s="18" t="n">
        <v>46323</v>
      </c>
    </row>
    <row r="135">
      <c r="A135" s="20" t="inlineStr">
        <is>
          <t>COF</t>
        </is>
      </c>
      <c r="B135" s="20" t="inlineStr">
        <is>
          <t>Capital One Financial Corporati</t>
        </is>
      </c>
      <c r="C135" s="20" t="inlineStr">
        <is>
          <t>Credit Services</t>
        </is>
      </c>
      <c r="D135" s="20" t="inlineStr">
        <is>
          <t>United States</t>
        </is>
      </c>
      <c r="E135" s="21" t="n">
        <v>124.81</v>
      </c>
      <c r="F135" s="22" t="n">
        <v>203.44</v>
      </c>
      <c r="G135" s="22" t="n">
        <v>255</v>
      </c>
      <c r="H135" s="23">
        <f>IF(AND(ISNUMBER(F135),ISNUMBER(G135),F135&gt;0),G135/F135-1,"")</f>
        <v/>
      </c>
      <c r="I135" s="22" t="n">
        <v>225</v>
      </c>
      <c r="J135" s="23">
        <f>IF(AND(ISNUMBER(F135),ISNUMBER(I135),F135&gt;0),I135/F135-1,"")</f>
        <v/>
      </c>
      <c r="K135" s="22" t="n">
        <v>290</v>
      </c>
      <c r="L135" s="23">
        <f>IF(AND(ISNUMBER(F135),ISNUMBER(K135),F135&gt;0),K135/F135-1,"")</f>
        <v/>
      </c>
      <c r="M135" s="24" t="n">
        <v>22</v>
      </c>
      <c r="N135" s="25" t="n">
        <v>3.2</v>
      </c>
      <c r="O135" s="26">
        <f>IF(AND(ISNUMBER(F135),ISNUMBER(N135),F135&gt;0),N135/F135,"")</f>
        <v/>
      </c>
      <c r="P135" s="27" t="n">
        <v>46251</v>
      </c>
      <c r="Q135" s="27" t="n">
        <v>46406</v>
      </c>
      <c r="R135" s="25" t="n">
        <v>16.32</v>
      </c>
      <c r="S135" s="28">
        <f>IF(AND(ISNUMBER(F135),ISNUMBER(R135),R135&gt;0),F135/R135,"")</f>
        <v/>
      </c>
      <c r="T135" s="27" t="n">
        <v>46323</v>
      </c>
    </row>
    <row r="136">
      <c r="A136" s="11" t="inlineStr">
        <is>
          <t>PLD</t>
        </is>
      </c>
      <c r="B136" s="11" t="inlineStr">
        <is>
          <t>Prologis, Inc.</t>
        </is>
      </c>
      <c r="C136" s="11" t="inlineStr">
        <is>
          <t>Reit - Industrial</t>
        </is>
      </c>
      <c r="D136" s="11" t="inlineStr">
        <is>
          <t>United States</t>
        </is>
      </c>
      <c r="E136" s="12" t="n">
        <v>122.94</v>
      </c>
      <c r="F136" s="13" t="n">
        <v>126.47</v>
      </c>
      <c r="G136" s="13" t="n">
        <v>151.64285</v>
      </c>
      <c r="H136" s="14">
        <f>IF(AND(ISNUMBER(F136),ISNUMBER(G136),F136&gt;0),G136/F136-1,"")</f>
        <v/>
      </c>
      <c r="I136" s="13" t="n">
        <v>136</v>
      </c>
      <c r="J136" s="14">
        <f>IF(AND(ISNUMBER(F136),ISNUMBER(I136),F136&gt;0),I136/F136-1,"")</f>
        <v/>
      </c>
      <c r="K136" s="13" t="n">
        <v>170</v>
      </c>
      <c r="L136" s="14">
        <f>IF(AND(ISNUMBER(F136),ISNUMBER(K136),F136&gt;0),K136/F136-1,"")</f>
        <v/>
      </c>
      <c r="M136" s="15" t="n">
        <v>14</v>
      </c>
      <c r="N136" s="16" t="n">
        <v>4.28</v>
      </c>
      <c r="O136" s="17">
        <f>IF(AND(ISNUMBER(F136),ISNUMBER(N136),F136&gt;0),N136/F136,"")</f>
        <v/>
      </c>
      <c r="P136" s="18" t="n">
        <v>46281</v>
      </c>
      <c r="Q136" s="18" t="n">
        <v>46407</v>
      </c>
      <c r="R136" s="16" t="n">
        <v>4.5</v>
      </c>
      <c r="S136" s="19">
        <f>IF(AND(ISNUMBER(F136),ISNUMBER(R136),R136&gt;0),F136/R136,"")</f>
        <v/>
      </c>
      <c r="T136" s="18" t="n">
        <v>46323</v>
      </c>
    </row>
    <row r="137">
      <c r="A137" s="20" t="inlineStr">
        <is>
          <t>MO</t>
        </is>
      </c>
      <c r="B137" s="20" t="inlineStr">
        <is>
          <t>Altria Group, Inc.</t>
        </is>
      </c>
      <c r="C137" s="20" t="inlineStr">
        <is>
          <t>Tobacco</t>
        </is>
      </c>
      <c r="D137" s="20" t="inlineStr">
        <is>
          <t>United States</t>
        </is>
      </c>
      <c r="E137" s="21" t="n">
        <v>122.71</v>
      </c>
      <c r="F137" s="22" t="n">
        <v>73.48999999999999</v>
      </c>
      <c r="G137" s="22" t="n">
        <v>70</v>
      </c>
      <c r="H137" s="23">
        <f>IF(AND(ISNUMBER(F137),ISNUMBER(G137),F137&gt;0),G137/F137-1,"")</f>
        <v/>
      </c>
      <c r="I137" s="22" t="n">
        <v>58</v>
      </c>
      <c r="J137" s="23">
        <f>IF(AND(ISNUMBER(F137),ISNUMBER(I137),F137&gt;0),I137/F137-1,"")</f>
        <v/>
      </c>
      <c r="K137" s="22" t="n">
        <v>82</v>
      </c>
      <c r="L137" s="23">
        <f>IF(AND(ISNUMBER(F137),ISNUMBER(K137),F137&gt;0),K137/F137-1,"")</f>
        <v/>
      </c>
      <c r="M137" s="24" t="n">
        <v>11</v>
      </c>
      <c r="N137" s="25" t="n">
        <v>4.44</v>
      </c>
      <c r="O137" s="26">
        <f>IF(AND(ISNUMBER(F137),ISNUMBER(N137),F137&gt;0),N137/F137,"")</f>
        <v/>
      </c>
      <c r="P137" s="27" t="n">
        <v>46280</v>
      </c>
      <c r="Q137" s="27" t="n">
        <v>46324</v>
      </c>
      <c r="R137" s="25" t="n">
        <v>4.75</v>
      </c>
      <c r="S137" s="28">
        <f>IF(AND(ISNUMBER(F137),ISNUMBER(R137),R137&gt;0),F137/R137,"")</f>
        <v/>
      </c>
      <c r="T137" s="27" t="n">
        <v>46323</v>
      </c>
    </row>
    <row r="138">
      <c r="A138" s="11" t="inlineStr">
        <is>
          <t>MPC</t>
        </is>
      </c>
      <c r="B138" s="11" t="inlineStr">
        <is>
          <t>Marathon Petroleum Corporation</t>
        </is>
      </c>
      <c r="C138" s="11" t="inlineStr">
        <is>
          <t>Oil &amp; Gas Refining &amp; Marketing</t>
        </is>
      </c>
      <c r="D138" s="11" t="inlineStr">
        <is>
          <t>United States</t>
        </is>
      </c>
      <c r="E138" s="12" t="n">
        <v>122.43</v>
      </c>
      <c r="F138" s="13" t="n">
        <v>435.98</v>
      </c>
      <c r="G138" s="13" t="n">
        <v>458.72223</v>
      </c>
      <c r="H138" s="14">
        <f>IF(AND(ISNUMBER(F138),ISNUMBER(G138),F138&gt;0),G138/F138-1,"")</f>
        <v/>
      </c>
      <c r="I138" s="13" t="n">
        <v>236</v>
      </c>
      <c r="J138" s="14">
        <f>IF(AND(ISNUMBER(F138),ISNUMBER(I138),F138&gt;0),I138/F138-1,"")</f>
        <v/>
      </c>
      <c r="K138" s="13" t="n">
        <v>560</v>
      </c>
      <c r="L138" s="14">
        <f>IF(AND(ISNUMBER(F138),ISNUMBER(K138),F138&gt;0),K138/F138-1,"")</f>
        <v/>
      </c>
      <c r="M138" s="15" t="n">
        <v>18</v>
      </c>
      <c r="N138" s="16" t="n">
        <v>4</v>
      </c>
      <c r="O138" s="17">
        <f>IF(AND(ISNUMBER(F138),ISNUMBER(N138),F138&gt;0),N138/F138,"")</f>
        <v/>
      </c>
      <c r="P138" s="18" t="n">
        <v>46253</v>
      </c>
      <c r="Q138" s="18" t="n">
        <v>46329</v>
      </c>
      <c r="R138" s="16" t="n">
        <v>28.88</v>
      </c>
      <c r="S138" s="19">
        <f>IF(AND(ISNUMBER(F138),ISNUMBER(R138),R138&gt;0),F138/R138,"")</f>
        <v/>
      </c>
      <c r="T138" s="18" t="n">
        <v>46323</v>
      </c>
    </row>
    <row r="139">
      <c r="A139" s="20" t="inlineStr">
        <is>
          <t>MDT</t>
        </is>
      </c>
      <c r="B139" s="20" t="inlineStr">
        <is>
          <t>Medtronic plc.</t>
        </is>
      </c>
      <c r="C139" s="20" t="inlineStr">
        <is>
          <t>Medical Devices</t>
        </is>
      </c>
      <c r="D139" s="20" t="inlineStr">
        <is>
          <t>Ireland</t>
        </is>
      </c>
      <c r="E139" s="21" t="n">
        <v>120.18</v>
      </c>
      <c r="F139" s="22" t="n">
        <v>93.95</v>
      </c>
      <c r="G139" s="22" t="n">
        <v>104.61538</v>
      </c>
      <c r="H139" s="23">
        <f>IF(AND(ISNUMBER(F139),ISNUMBER(G139),F139&gt;0),G139/F139-1,"")</f>
        <v/>
      </c>
      <c r="I139" s="22" t="n">
        <v>85</v>
      </c>
      <c r="J139" s="23">
        <f>IF(AND(ISNUMBER(F139),ISNUMBER(I139),F139&gt;0),I139/F139-1,"")</f>
        <v/>
      </c>
      <c r="K139" s="22" t="n">
        <v>121</v>
      </c>
      <c r="L139" s="23">
        <f>IF(AND(ISNUMBER(F139),ISNUMBER(K139),F139&gt;0),K139/F139-1,"")</f>
        <v/>
      </c>
      <c r="M139" s="24" t="n">
        <v>26</v>
      </c>
      <c r="N139" s="25" t="n">
        <v>2.88</v>
      </c>
      <c r="O139" s="26">
        <f>IF(AND(ISNUMBER(F139),ISNUMBER(N139),F139&gt;0),N139/F139,"")</f>
        <v/>
      </c>
      <c r="P139" s="27" t="n">
        <v>46290</v>
      </c>
      <c r="Q139" s="27" t="n">
        <v>46343</v>
      </c>
      <c r="R139" s="25" t="n">
        <v>4.07</v>
      </c>
      <c r="S139" s="28">
        <f>IF(AND(ISNUMBER(F139),ISNUMBER(R139),R139&gt;0),F139/R139,"")</f>
        <v/>
      </c>
      <c r="T139" s="27" t="n">
        <v>46323</v>
      </c>
    </row>
    <row r="140">
      <c r="A140" s="11" t="inlineStr">
        <is>
          <t>BMO</t>
        </is>
      </c>
      <c r="B140" s="11" t="inlineStr">
        <is>
          <t>Bank Of Montreal</t>
        </is>
      </c>
      <c r="C140" s="11" t="inlineStr">
        <is>
          <t>Banks - Diversified</t>
        </is>
      </c>
      <c r="D140" s="11" t="inlineStr">
        <is>
          <t>Canada</t>
        </is>
      </c>
      <c r="E140" s="12" t="n">
        <v>119.65</v>
      </c>
      <c r="F140" s="13" t="n">
        <v>172.13</v>
      </c>
      <c r="G140" s="13" t="n">
        <v>167.84515</v>
      </c>
      <c r="H140" s="14">
        <f>IF(AND(ISNUMBER(F140),ISNUMBER(G140),F140&gt;0),G140/F140-1,"")</f>
        <v/>
      </c>
      <c r="I140" s="13" t="n">
        <v>145.94707</v>
      </c>
      <c r="J140" s="14">
        <f>IF(AND(ISNUMBER(F140),ISNUMBER(I140),F140&gt;0),I140/F140-1,"")</f>
        <v/>
      </c>
      <c r="K140" s="13" t="n">
        <v>184.2044</v>
      </c>
      <c r="L140" s="14">
        <f>IF(AND(ISNUMBER(F140),ISNUMBER(K140),F140&gt;0),K140/F140-1,"")</f>
        <v/>
      </c>
      <c r="M140" s="15" t="n">
        <v>3</v>
      </c>
      <c r="N140" s="16" t="n">
        <v>4.88</v>
      </c>
      <c r="O140" s="17">
        <f>IF(AND(ISNUMBER(F140),ISNUMBER(N140),F140&gt;0),N140/F140,"")</f>
        <v/>
      </c>
      <c r="P140" s="18" t="n">
        <v>46325</v>
      </c>
      <c r="Q140" s="18" t="n">
        <v>46358</v>
      </c>
      <c r="R140" s="16" t="n">
        <v>8.85</v>
      </c>
      <c r="S140" s="19">
        <f>IF(AND(ISNUMBER(F140),ISNUMBER(R140),R140&gt;0),F140/R140,"")</f>
        <v/>
      </c>
      <c r="T140" s="18" t="n">
        <v>46323</v>
      </c>
    </row>
    <row r="141">
      <c r="A141" s="20" t="inlineStr">
        <is>
          <t>SNOW</t>
        </is>
      </c>
      <c r="B141" s="20" t="inlineStr">
        <is>
          <t>Snowflake Inc.</t>
        </is>
      </c>
      <c r="C141" s="20" t="inlineStr">
        <is>
          <t>Software - Application</t>
        </is>
      </c>
      <c r="D141" s="20" t="inlineStr">
        <is>
          <t>United States</t>
        </is>
      </c>
      <c r="E141" s="21" t="n">
        <v>119.04</v>
      </c>
      <c r="F141" s="22" t="n">
        <v>337.42</v>
      </c>
      <c r="G141" s="22" t="n">
        <v>426.5002</v>
      </c>
      <c r="H141" s="23">
        <f>IF(AND(ISNUMBER(F141),ISNUMBER(G141),F141&gt;0),G141/F141-1,"")</f>
        <v/>
      </c>
      <c r="I141" s="22" t="n">
        <v>110</v>
      </c>
      <c r="J141" s="23">
        <f>IF(AND(ISNUMBER(F141),ISNUMBER(I141),F141&gt;0),I141/F141-1,"")</f>
        <v/>
      </c>
      <c r="K141" s="22" t="n">
        <v>525</v>
      </c>
      <c r="L141" s="23">
        <f>IF(AND(ISNUMBER(F141),ISNUMBER(K141),F141&gt;0),K141/F141-1,"")</f>
        <v/>
      </c>
      <c r="M141" s="24" t="n">
        <v>48</v>
      </c>
      <c r="N141" s="25" t="n"/>
      <c r="O141" s="26">
        <f>IF(AND(ISNUMBER(F141),ISNUMBER(N141),F141&gt;0),N141/F141,"")</f>
        <v/>
      </c>
      <c r="P141" s="27" t="n"/>
      <c r="Q141" s="27" t="n">
        <v>46358</v>
      </c>
      <c r="R141" s="25" t="n">
        <v>-3.18</v>
      </c>
      <c r="S141" s="28">
        <f>IF(AND(ISNUMBER(F141),ISNUMBER(R141),R141&gt;0),F141/R141,"")</f>
        <v/>
      </c>
      <c r="T141" s="27" t="n">
        <v>46323</v>
      </c>
    </row>
    <row r="142">
      <c r="A142" s="11" t="inlineStr">
        <is>
          <t>SBUX</t>
        </is>
      </c>
      <c r="B142" s="11" t="inlineStr">
        <is>
          <t>Starbucks Corporation</t>
        </is>
      </c>
      <c r="C142" s="11" t="inlineStr">
        <is>
          <t>Restaurants</t>
        </is>
      </c>
      <c r="D142" s="11" t="inlineStr">
        <is>
          <t>United States</t>
        </is>
      </c>
      <c r="E142" s="12" t="n">
        <v>117.47</v>
      </c>
      <c r="F142" s="13" t="n">
        <v>103.04</v>
      </c>
      <c r="G142" s="13" t="n">
        <v>109.93103</v>
      </c>
      <c r="H142" s="14">
        <f>IF(AND(ISNUMBER(F142),ISNUMBER(G142),F142&gt;0),G142/F142-1,"")</f>
        <v/>
      </c>
      <c r="I142" s="13" t="n">
        <v>82</v>
      </c>
      <c r="J142" s="14">
        <f>IF(AND(ISNUMBER(F142),ISNUMBER(I142),F142&gt;0),I142/F142-1,"")</f>
        <v/>
      </c>
      <c r="K142" s="13" t="n">
        <v>136</v>
      </c>
      <c r="L142" s="14">
        <f>IF(AND(ISNUMBER(F142),ISNUMBER(K142),F142&gt;0),K142/F142-1,"")</f>
        <v/>
      </c>
      <c r="M142" s="15" t="n">
        <v>29</v>
      </c>
      <c r="N142" s="16" t="n">
        <v>2.52</v>
      </c>
      <c r="O142" s="17">
        <f>IF(AND(ISNUMBER(F142),ISNUMBER(N142),F142&gt;0),N142/F142,"")</f>
        <v/>
      </c>
      <c r="P142" s="18" t="n">
        <v>46339</v>
      </c>
      <c r="Q142" s="18" t="n">
        <v>46324</v>
      </c>
      <c r="R142" s="16" t="n">
        <v>1.73</v>
      </c>
      <c r="S142" s="19">
        <f>IF(AND(ISNUMBER(F142),ISNUMBER(R142),R142&gt;0),F142/R142,"")</f>
        <v/>
      </c>
      <c r="T142" s="18" t="n">
        <v>46323</v>
      </c>
    </row>
    <row r="143">
      <c r="A143" s="20" t="inlineStr">
        <is>
          <t>NEM</t>
        </is>
      </c>
      <c r="B143" s="20" t="inlineStr">
        <is>
          <t>Newmont Corporation</t>
        </is>
      </c>
      <c r="C143" s="20" t="inlineStr">
        <is>
          <t>Gold</t>
        </is>
      </c>
      <c r="D143" s="20" t="inlineStr">
        <is>
          <t>United States</t>
        </is>
      </c>
      <c r="E143" s="21" t="n">
        <v>117.05</v>
      </c>
      <c r="F143" s="22" t="n">
        <v>112.64</v>
      </c>
      <c r="G143" s="22" t="n">
        <v>135.65237</v>
      </c>
      <c r="H143" s="23">
        <f>IF(AND(ISNUMBER(F143),ISNUMBER(G143),F143&gt;0),G143/F143-1,"")</f>
        <v/>
      </c>
      <c r="I143" s="22" t="n">
        <v>70</v>
      </c>
      <c r="J143" s="23">
        <f>IF(AND(ISNUMBER(F143),ISNUMBER(I143),F143&gt;0),I143/F143-1,"")</f>
        <v/>
      </c>
      <c r="K143" s="22" t="n">
        <v>165</v>
      </c>
      <c r="L143" s="23">
        <f>IF(AND(ISNUMBER(F143),ISNUMBER(K143),F143&gt;0),K143/F143-1,"")</f>
        <v/>
      </c>
      <c r="M143" s="24" t="n">
        <v>21</v>
      </c>
      <c r="N143" s="25" t="n">
        <v>1.04</v>
      </c>
      <c r="O143" s="26">
        <f>IF(AND(ISNUMBER(F143),ISNUMBER(N143),F143&gt;0),N143/F143,"")</f>
        <v/>
      </c>
      <c r="P143" s="27" t="n">
        <v>46351</v>
      </c>
      <c r="Q143" s="27" t="n">
        <v>46317</v>
      </c>
      <c r="R143" s="25" t="n">
        <v>8.619999999999999</v>
      </c>
      <c r="S143" s="28">
        <f>IF(AND(ISNUMBER(F143),ISNUMBER(R143),R143&gt;0),F143/R143,"")</f>
        <v/>
      </c>
      <c r="T143" s="27" t="n">
        <v>46323</v>
      </c>
    </row>
    <row r="144">
      <c r="A144" s="11" t="inlineStr">
        <is>
          <t>MFG</t>
        </is>
      </c>
      <c r="B144" s="11" t="inlineStr">
        <is>
          <t>Mizuho Financial Group, Inc. Sp</t>
        </is>
      </c>
      <c r="C144" s="11" t="inlineStr">
        <is>
          <t>Banks - Regional</t>
        </is>
      </c>
      <c r="D144" s="11" t="inlineStr">
        <is>
          <t>Japan</t>
        </is>
      </c>
      <c r="E144" s="12" t="n">
        <v>116.98</v>
      </c>
      <c r="F144" s="13" t="n">
        <v>9.69</v>
      </c>
      <c r="G144" s="13" t="n">
        <v>11.63623</v>
      </c>
      <c r="H144" s="14">
        <f>IF(AND(ISNUMBER(F144),ISNUMBER(G144),F144&gt;0),G144/F144-1,"")</f>
        <v/>
      </c>
      <c r="I144" s="13" t="n">
        <v>10.2</v>
      </c>
      <c r="J144" s="14">
        <f>IF(AND(ISNUMBER(F144),ISNUMBER(I144),F144&gt;0),I144/F144-1,"")</f>
        <v/>
      </c>
      <c r="K144" s="13" t="n">
        <v>13.07246</v>
      </c>
      <c r="L144" s="14">
        <f>IF(AND(ISNUMBER(F144),ISNUMBER(K144),F144&gt;0),K144/F144-1,"")</f>
        <v/>
      </c>
      <c r="M144" s="15" t="n">
        <v>2</v>
      </c>
      <c r="N144" s="16" t="n">
        <v>0.18</v>
      </c>
      <c r="O144" s="17">
        <f>IF(AND(ISNUMBER(F144),ISNUMBER(N144),F144&gt;0),N144/F144,"")</f>
        <v/>
      </c>
      <c r="P144" s="18" t="n">
        <v>46112</v>
      </c>
      <c r="Q144" s="18" t="n">
        <v>46339</v>
      </c>
      <c r="R144" s="16" t="n">
        <v>0.73</v>
      </c>
      <c r="S144" s="19">
        <f>IF(AND(ISNUMBER(F144),ISNUMBER(R144),R144&gt;0),F144/R144,"")</f>
        <v/>
      </c>
      <c r="T144" s="18" t="n">
        <v>46323</v>
      </c>
    </row>
    <row r="145">
      <c r="A145" s="20" t="inlineStr">
        <is>
          <t>NET</t>
        </is>
      </c>
      <c r="B145" s="20" t="inlineStr">
        <is>
          <t>Cloudflare, Inc.</t>
        </is>
      </c>
      <c r="C145" s="20" t="inlineStr">
        <is>
          <t>Software - Infrastructure</t>
        </is>
      </c>
      <c r="D145" s="20" t="inlineStr">
        <is>
          <t>United States</t>
        </is>
      </c>
      <c r="E145" s="21" t="n">
        <v>116.72</v>
      </c>
      <c r="F145" s="22" t="n">
        <v>327.8</v>
      </c>
      <c r="G145" s="22" t="n">
        <v>343.41934</v>
      </c>
      <c r="H145" s="23">
        <f>IF(AND(ISNUMBER(F145),ISNUMBER(G145),F145&gt;0),G145/F145-1,"")</f>
        <v/>
      </c>
      <c r="I145" s="22" t="n">
        <v>160</v>
      </c>
      <c r="J145" s="23">
        <f>IF(AND(ISNUMBER(F145),ISNUMBER(I145),F145&gt;0),I145/F145-1,"")</f>
        <v/>
      </c>
      <c r="K145" s="22" t="n">
        <v>430</v>
      </c>
      <c r="L145" s="23">
        <f>IF(AND(ISNUMBER(F145),ISNUMBER(K145),F145&gt;0),K145/F145-1,"")</f>
        <v/>
      </c>
      <c r="M145" s="24" t="n">
        <v>31</v>
      </c>
      <c r="N145" s="25" t="n"/>
      <c r="O145" s="26">
        <f>IF(AND(ISNUMBER(F145),ISNUMBER(N145),F145&gt;0),N145/F145,"")</f>
        <v/>
      </c>
      <c r="P145" s="27" t="n"/>
      <c r="Q145" s="27" t="n">
        <v>46331</v>
      </c>
      <c r="R145" s="25" t="n">
        <v>-0.58</v>
      </c>
      <c r="S145" s="28">
        <f>IF(AND(ISNUMBER(F145),ISNUMBER(R145),R145&gt;0),F145/R145,"")</f>
        <v/>
      </c>
      <c r="T145" s="27" t="n">
        <v>46323</v>
      </c>
    </row>
    <row r="146">
      <c r="A146" s="11" t="inlineStr">
        <is>
          <t>CVS</t>
        </is>
      </c>
      <c r="B146" s="11" t="inlineStr">
        <is>
          <t>CVS Health Corporation</t>
        </is>
      </c>
      <c r="C146" s="11" t="inlineStr">
        <is>
          <t>Healthcare Plans</t>
        </is>
      </c>
      <c r="D146" s="11" t="inlineStr">
        <is>
          <t>United States</t>
        </is>
      </c>
      <c r="E146" s="12" t="n">
        <v>116.55</v>
      </c>
      <c r="F146" s="13" t="n">
        <v>91.13</v>
      </c>
      <c r="G146" s="13" t="n">
        <v>115.48</v>
      </c>
      <c r="H146" s="14">
        <f>IF(AND(ISNUMBER(F146),ISNUMBER(G146),F146&gt;0),G146/F146-1,"")</f>
        <v/>
      </c>
      <c r="I146" s="13" t="n">
        <v>103</v>
      </c>
      <c r="J146" s="14">
        <f>IF(AND(ISNUMBER(F146),ISNUMBER(I146),F146&gt;0),I146/F146-1,"")</f>
        <v/>
      </c>
      <c r="K146" s="13" t="n">
        <v>145</v>
      </c>
      <c r="L146" s="14">
        <f>IF(AND(ISNUMBER(F146),ISNUMBER(K146),F146&gt;0),K146/F146-1,"")</f>
        <v/>
      </c>
      <c r="M146" s="15" t="n">
        <v>25</v>
      </c>
      <c r="N146" s="16" t="n">
        <v>2.66</v>
      </c>
      <c r="O146" s="17">
        <f>IF(AND(ISNUMBER(F146),ISNUMBER(N146),F146&gt;0),N146/F146,"")</f>
        <v/>
      </c>
      <c r="P146" s="18" t="n">
        <v>46317</v>
      </c>
      <c r="Q146" s="18" t="n">
        <v>46330</v>
      </c>
      <c r="R146" s="16" t="n">
        <v>3.8</v>
      </c>
      <c r="S146" s="19">
        <f>IF(AND(ISNUMBER(F146),ISNUMBER(R146),R146&gt;0),F146/R146,"")</f>
        <v/>
      </c>
      <c r="T146" s="18" t="n">
        <v>46323</v>
      </c>
    </row>
    <row r="147">
      <c r="A147" s="20" t="inlineStr">
        <is>
          <t>SYK</t>
        </is>
      </c>
      <c r="B147" s="20" t="inlineStr">
        <is>
          <t>Stryker Corporation</t>
        </is>
      </c>
      <c r="C147" s="20" t="inlineStr">
        <is>
          <t>Medical Devices</t>
        </is>
      </c>
      <c r="D147" s="20" t="inlineStr">
        <is>
          <t>United States</t>
        </is>
      </c>
      <c r="E147" s="21" t="n">
        <v>115.62</v>
      </c>
      <c r="F147" s="22" t="n">
        <v>301.42</v>
      </c>
      <c r="G147" s="22" t="n">
        <v>362.6154</v>
      </c>
      <c r="H147" s="23">
        <f>IF(AND(ISNUMBER(F147),ISNUMBER(G147),F147&gt;0),G147/F147-1,"")</f>
        <v/>
      </c>
      <c r="I147" s="22" t="n">
        <v>298</v>
      </c>
      <c r="J147" s="23">
        <f>IF(AND(ISNUMBER(F147),ISNUMBER(I147),F147&gt;0),I147/F147-1,"")</f>
        <v/>
      </c>
      <c r="K147" s="22" t="n">
        <v>465</v>
      </c>
      <c r="L147" s="23">
        <f>IF(AND(ISNUMBER(F147),ISNUMBER(K147),F147&gt;0),K147/F147-1,"")</f>
        <v/>
      </c>
      <c r="M147" s="24" t="n">
        <v>26</v>
      </c>
      <c r="N147" s="25" t="n">
        <v>3.52</v>
      </c>
      <c r="O147" s="26">
        <f>IF(AND(ISNUMBER(F147),ISNUMBER(N147),F147&gt;0),N147/F147,"")</f>
        <v/>
      </c>
      <c r="P147" s="27" t="n">
        <v>46295</v>
      </c>
      <c r="Q147" s="27" t="n">
        <v>46324</v>
      </c>
      <c r="R147" s="25" t="n">
        <v>9.65</v>
      </c>
      <c r="S147" s="28">
        <f>IF(AND(ISNUMBER(F147),ISNUMBER(R147),R147&gt;0),F147/R147,"")</f>
        <v/>
      </c>
      <c r="T147" s="27" t="n">
        <v>46323</v>
      </c>
    </row>
    <row r="148">
      <c r="A148" s="11" t="inlineStr">
        <is>
          <t>BNS</t>
        </is>
      </c>
      <c r="B148" s="11" t="inlineStr">
        <is>
          <t>Bank Nova Scotia Halifax Pfd 3</t>
        </is>
      </c>
      <c r="C148" s="11" t="inlineStr">
        <is>
          <t>Banks - Diversified</t>
        </is>
      </c>
      <c r="D148" s="11" t="inlineStr">
        <is>
          <t>Canada</t>
        </is>
      </c>
      <c r="E148" s="12" t="n">
        <v>114.39</v>
      </c>
      <c r="F148" s="13" t="n">
        <v>93.84999999999999</v>
      </c>
      <c r="G148" s="13" t="n">
        <v>91.70632999999999</v>
      </c>
      <c r="H148" s="14">
        <f>IF(AND(ISNUMBER(F148),ISNUMBER(G148),F148&gt;0),G148/F148-1,"")</f>
        <v/>
      </c>
      <c r="I148" s="13" t="n">
        <v>76.91799</v>
      </c>
      <c r="J148" s="14">
        <f>IF(AND(ISNUMBER(F148),ISNUMBER(I148),F148&gt;0),I148/F148-1,"")</f>
        <v/>
      </c>
      <c r="K148" s="13" t="n">
        <v>100.23901</v>
      </c>
      <c r="L148" s="14">
        <f>IF(AND(ISNUMBER(F148),ISNUMBER(K148),F148&gt;0),K148/F148-1,"")</f>
        <v/>
      </c>
      <c r="M148" s="15" t="n">
        <v>3</v>
      </c>
      <c r="N148" s="16" t="n">
        <v>3.25</v>
      </c>
      <c r="O148" s="17">
        <f>IF(AND(ISNUMBER(F148),ISNUMBER(N148),F148&gt;0),N148/F148,"")</f>
        <v/>
      </c>
      <c r="P148" s="18" t="n">
        <v>46301</v>
      </c>
      <c r="Q148" s="18" t="n">
        <v>46358</v>
      </c>
      <c r="R148" s="16" t="n">
        <v>5.52</v>
      </c>
      <c r="S148" s="19">
        <f>IF(AND(ISNUMBER(F148),ISNUMBER(R148),R148&gt;0),F148/R148,"")</f>
        <v/>
      </c>
      <c r="T148" s="18" t="n">
        <v>46323</v>
      </c>
    </row>
    <row r="149">
      <c r="A149" s="20" t="inlineStr">
        <is>
          <t>SPOT</t>
        </is>
      </c>
      <c r="B149" s="20" t="inlineStr">
        <is>
          <t>Spotify Technology S.A.</t>
        </is>
      </c>
      <c r="C149" s="20" t="inlineStr">
        <is>
          <t>Internet Content &amp; Information</t>
        </is>
      </c>
      <c r="D149" s="20" t="inlineStr">
        <is>
          <t>Sweden</t>
        </is>
      </c>
      <c r="E149" s="21" t="n">
        <v>114.19</v>
      </c>
      <c r="F149" s="22" t="n">
        <v>555.45</v>
      </c>
      <c r="G149" s="22" t="n">
        <v>633.0735</v>
      </c>
      <c r="H149" s="23">
        <f>IF(AND(ISNUMBER(F149),ISNUMBER(G149),F149&gt;0),G149/F149-1,"")</f>
        <v/>
      </c>
      <c r="I149" s="22" t="n">
        <v>456.1607</v>
      </c>
      <c r="J149" s="23">
        <f>IF(AND(ISNUMBER(F149),ISNUMBER(I149),F149&gt;0),I149/F149-1,"")</f>
        <v/>
      </c>
      <c r="K149" s="22" t="n">
        <v>744.99225</v>
      </c>
      <c r="L149" s="23">
        <f>IF(AND(ISNUMBER(F149),ISNUMBER(K149),F149&gt;0),K149/F149-1,"")</f>
        <v/>
      </c>
      <c r="M149" s="24" t="n">
        <v>38</v>
      </c>
      <c r="N149" s="25" t="n"/>
      <c r="O149" s="26">
        <f>IF(AND(ISNUMBER(F149),ISNUMBER(N149),F149&gt;0),N149/F149,"")</f>
        <v/>
      </c>
      <c r="P149" s="27" t="n"/>
      <c r="Q149" s="27" t="n">
        <v>46317</v>
      </c>
      <c r="R149" s="25" t="n">
        <v>16.41</v>
      </c>
      <c r="S149" s="28">
        <f>IF(AND(ISNUMBER(F149),ISNUMBER(R149),R149&gt;0),F149/R149,"")</f>
        <v/>
      </c>
      <c r="T149" s="27" t="n">
        <v>46323</v>
      </c>
    </row>
    <row r="150">
      <c r="A150" s="11" t="inlineStr">
        <is>
          <t>BKNG</t>
        </is>
      </c>
      <c r="B150" s="11" t="inlineStr">
        <is>
          <t>Booking Holdings Inc. Common St</t>
        </is>
      </c>
      <c r="C150" s="11" t="inlineStr">
        <is>
          <t>Travel Services</t>
        </is>
      </c>
      <c r="D150" s="11" t="inlineStr">
        <is>
          <t>United States</t>
        </is>
      </c>
      <c r="E150" s="12" t="n">
        <v>112.81</v>
      </c>
      <c r="F150" s="13" t="n">
        <v>150.14</v>
      </c>
      <c r="G150" s="13" t="n">
        <v>232.7143</v>
      </c>
      <c r="H150" s="14">
        <f>IF(AND(ISNUMBER(F150),ISNUMBER(G150),F150&gt;0),G150/F150-1,"")</f>
        <v/>
      </c>
      <c r="I150" s="13" t="n">
        <v>170</v>
      </c>
      <c r="J150" s="14">
        <f>IF(AND(ISNUMBER(F150),ISNUMBER(I150),F150&gt;0),I150/F150-1,"")</f>
        <v/>
      </c>
      <c r="K150" s="13" t="n">
        <v>301</v>
      </c>
      <c r="L150" s="14">
        <f>IF(AND(ISNUMBER(F150),ISNUMBER(K150),F150&gt;0),K150/F150-1,"")</f>
        <v/>
      </c>
      <c r="M150" s="15" t="n">
        <v>35</v>
      </c>
      <c r="N150" s="16" t="n">
        <v>1.68</v>
      </c>
      <c r="O150" s="17">
        <f>IF(AND(ISNUMBER(F150),ISNUMBER(N150),F150&gt;0),N150/F150,"")</f>
        <v/>
      </c>
      <c r="P150" s="18" t="n">
        <v>46276</v>
      </c>
      <c r="Q150" s="18" t="n">
        <v>46329</v>
      </c>
      <c r="R150" s="16" t="n">
        <v>9.02</v>
      </c>
      <c r="S150" s="19">
        <f>IF(AND(ISNUMBER(F150),ISNUMBER(R150),R150&gt;0),F150/R150,"")</f>
        <v/>
      </c>
      <c r="T150" s="18" t="n">
        <v>46323</v>
      </c>
    </row>
    <row r="151">
      <c r="A151" s="20" t="inlineStr">
        <is>
          <t>PDD</t>
        </is>
      </c>
      <c r="B151" s="20" t="inlineStr">
        <is>
          <t>PDD Holdings Inc.</t>
        </is>
      </c>
      <c r="C151" s="20" t="inlineStr">
        <is>
          <t>Internet Retail</t>
        </is>
      </c>
      <c r="D151" s="20" t="inlineStr">
        <is>
          <t>Ireland</t>
        </is>
      </c>
      <c r="E151" s="21" t="n">
        <v>111.59</v>
      </c>
      <c r="F151" s="22" t="n">
        <v>78.40000000000001</v>
      </c>
      <c r="G151" s="22" t="n">
        <v>115.044945</v>
      </c>
      <c r="H151" s="23">
        <f>IF(AND(ISNUMBER(F151),ISNUMBER(G151),F151&gt;0),G151/F151-1,"")</f>
        <v/>
      </c>
      <c r="I151" s="22" t="n">
        <v>85.71782</v>
      </c>
      <c r="J151" s="23">
        <f>IF(AND(ISNUMBER(F151),ISNUMBER(I151),F151&gt;0),I151/F151-1,"")</f>
        <v/>
      </c>
      <c r="K151" s="22" t="n">
        <v>151.22849</v>
      </c>
      <c r="L151" s="23">
        <f>IF(AND(ISNUMBER(F151),ISNUMBER(K151),F151&gt;0),K151/F151-1,"")</f>
        <v/>
      </c>
      <c r="M151" s="24" t="n">
        <v>33</v>
      </c>
      <c r="N151" s="25" t="n"/>
      <c r="O151" s="26">
        <f>IF(AND(ISNUMBER(F151),ISNUMBER(N151),F151&gt;0),N151/F151,"")</f>
        <v/>
      </c>
      <c r="P151" s="27" t="n"/>
      <c r="Q151" s="27" t="n">
        <v>46344</v>
      </c>
      <c r="R151" s="25" t="n">
        <v>8.890000000000001</v>
      </c>
      <c r="S151" s="28">
        <f>IF(AND(ISNUMBER(F151),ISNUMBER(R151),R151&gt;0),F151/R151,"")</f>
        <v/>
      </c>
      <c r="T151" s="27" t="n">
        <v>46323</v>
      </c>
    </row>
    <row r="152">
      <c r="A152" s="11" t="inlineStr">
        <is>
          <t>VLO</t>
        </is>
      </c>
      <c r="B152" s="11" t="inlineStr">
        <is>
          <t>Valero Energy Corporation</t>
        </is>
      </c>
      <c r="C152" s="11" t="inlineStr">
        <is>
          <t>Oil &amp; Gas Refining &amp; Marketing</t>
        </is>
      </c>
      <c r="D152" s="11" t="inlineStr">
        <is>
          <t>United States</t>
        </is>
      </c>
      <c r="E152" s="12" t="n">
        <v>111.53</v>
      </c>
      <c r="F152" s="13" t="n">
        <v>387.34</v>
      </c>
      <c r="G152" s="13" t="n">
        <v>426.42105</v>
      </c>
      <c r="H152" s="14">
        <f>IF(AND(ISNUMBER(F152),ISNUMBER(G152),F152&gt;0),G152/F152-1,"")</f>
        <v/>
      </c>
      <c r="I152" s="13" t="n">
        <v>238</v>
      </c>
      <c r="J152" s="14">
        <f>IF(AND(ISNUMBER(F152),ISNUMBER(I152),F152&gt;0),I152/F152-1,"")</f>
        <v/>
      </c>
      <c r="K152" s="13" t="n">
        <v>530</v>
      </c>
      <c r="L152" s="14">
        <f>IF(AND(ISNUMBER(F152),ISNUMBER(K152),F152&gt;0),K152/F152-1,"")</f>
        <v/>
      </c>
      <c r="M152" s="15" t="n">
        <v>19</v>
      </c>
      <c r="N152" s="16" t="n">
        <v>4.8</v>
      </c>
      <c r="O152" s="17">
        <f>IF(AND(ISNUMBER(F152),ISNUMBER(N152),F152&gt;0),N152/F152,"")</f>
        <v/>
      </c>
      <c r="P152" s="18" t="n">
        <v>46234</v>
      </c>
      <c r="Q152" s="18" t="n">
        <v>46317</v>
      </c>
      <c r="R152" s="16" t="n">
        <v>43.97</v>
      </c>
      <c r="S152" s="19">
        <f>IF(AND(ISNUMBER(F152),ISNUMBER(R152),R152&gt;0),F152/R152,"")</f>
        <v/>
      </c>
      <c r="T152" s="18" t="n">
        <v>46323</v>
      </c>
    </row>
    <row r="153">
      <c r="A153" s="20" t="inlineStr">
        <is>
          <t>CNQ</t>
        </is>
      </c>
      <c r="B153" s="20" t="inlineStr">
        <is>
          <t>Canadian Natural Resources Limi</t>
        </is>
      </c>
      <c r="C153" s="20" t="inlineStr">
        <is>
          <t>Oil &amp; Gas E&amp;P</t>
        </is>
      </c>
      <c r="D153" s="20" t="inlineStr">
        <is>
          <t>Canada</t>
        </is>
      </c>
      <c r="E153" s="21" t="n">
        <v>111.47</v>
      </c>
      <c r="F153" s="22" t="n">
        <v>54.07</v>
      </c>
      <c r="G153" s="22" t="n">
        <v>49.14171</v>
      </c>
      <c r="H153" s="23">
        <f>IF(AND(ISNUMBER(F153),ISNUMBER(G153),F153&gt;0),G153/F153-1,"")</f>
        <v/>
      </c>
      <c r="I153" s="22" t="n">
        <v>44.10614</v>
      </c>
      <c r="J153" s="23">
        <f>IF(AND(ISNUMBER(F153),ISNUMBER(I153),F153&gt;0),I153/F153-1,"")</f>
        <v/>
      </c>
      <c r="K153" s="22" t="n">
        <v>58.90873</v>
      </c>
      <c r="L153" s="23">
        <f>IF(AND(ISNUMBER(F153),ISNUMBER(K153),F153&gt;0),K153/F153-1,"")</f>
        <v/>
      </c>
      <c r="M153" s="24" t="n">
        <v>4</v>
      </c>
      <c r="N153" s="25" t="n">
        <v>1.76</v>
      </c>
      <c r="O153" s="26">
        <f>IF(AND(ISNUMBER(F153),ISNUMBER(N153),F153&gt;0),N153/F153,"")</f>
        <v/>
      </c>
      <c r="P153" s="27" t="n">
        <v>46276</v>
      </c>
      <c r="Q153" s="27" t="n">
        <v>46331</v>
      </c>
      <c r="R153" s="25" t="n">
        <v>4.07</v>
      </c>
      <c r="S153" s="28">
        <f>IF(AND(ISNUMBER(F153),ISNUMBER(R153),R153&gt;0),F153/R153,"")</f>
        <v/>
      </c>
      <c r="T153" s="27" t="n">
        <v>46323</v>
      </c>
    </row>
    <row r="154">
      <c r="A154" s="11" t="inlineStr">
        <is>
          <t>EQNR</t>
        </is>
      </c>
      <c r="B154" s="11" t="inlineStr">
        <is>
          <t>Equinor ASA</t>
        </is>
      </c>
      <c r="C154" s="11" t="inlineStr">
        <is>
          <t>Oil &amp; Gas Integrated</t>
        </is>
      </c>
      <c r="D154" s="11" t="inlineStr">
        <is>
          <t>Norway</t>
        </is>
      </c>
      <c r="E154" s="12" t="n">
        <v>111.46</v>
      </c>
      <c r="F154" s="13" t="n">
        <v>47.06</v>
      </c>
      <c r="G154" s="13" t="n">
        <v>39.28857</v>
      </c>
      <c r="H154" s="14">
        <f>IF(AND(ISNUMBER(F154),ISNUMBER(G154),F154&gt;0),G154/F154-1,"")</f>
        <v/>
      </c>
      <c r="I154" s="13" t="n">
        <v>33</v>
      </c>
      <c r="J154" s="14">
        <f>IF(AND(ISNUMBER(F154),ISNUMBER(I154),F154&gt;0),I154/F154-1,"")</f>
        <v/>
      </c>
      <c r="K154" s="13" t="n">
        <v>51</v>
      </c>
      <c r="L154" s="14">
        <f>IF(AND(ISNUMBER(F154),ISNUMBER(K154),F154&gt;0),K154/F154-1,"")</f>
        <v/>
      </c>
      <c r="M154" s="15" t="n">
        <v>7</v>
      </c>
      <c r="N154" s="16" t="n">
        <v>1.56</v>
      </c>
      <c r="O154" s="17">
        <f>IF(AND(ISNUMBER(F154),ISNUMBER(N154),F154&gt;0),N154/F154,"")</f>
        <v/>
      </c>
      <c r="P154" s="18" t="n">
        <v>46342</v>
      </c>
      <c r="Q154" s="18" t="n">
        <v>46323</v>
      </c>
      <c r="R154" s="16" t="n">
        <v>3.66</v>
      </c>
      <c r="S154" s="19">
        <f>IF(AND(ISNUMBER(F154),ISNUMBER(R154),R154&gt;0),F154/R154,"")</f>
        <v/>
      </c>
      <c r="T154" s="18" t="n">
        <v>46323</v>
      </c>
    </row>
    <row r="155">
      <c r="A155" s="20" t="inlineStr">
        <is>
          <t>LOW</t>
        </is>
      </c>
      <c r="B155" s="20" t="inlineStr">
        <is>
          <t>Lowe's Companies, Inc.</t>
        </is>
      </c>
      <c r="C155" s="20" t="inlineStr">
        <is>
          <t>Home Improvement Retail</t>
        </is>
      </c>
      <c r="D155" s="20" t="inlineStr">
        <is>
          <t>United States</t>
        </is>
      </c>
      <c r="E155" s="21" t="n">
        <v>111.19</v>
      </c>
      <c r="F155" s="22" t="n">
        <v>198.18</v>
      </c>
      <c r="G155" s="22" t="n">
        <v>251.9697</v>
      </c>
      <c r="H155" s="23">
        <f>IF(AND(ISNUMBER(F155),ISNUMBER(G155),F155&gt;0),G155/F155-1,"")</f>
        <v/>
      </c>
      <c r="I155" s="22" t="n">
        <v>191</v>
      </c>
      <c r="J155" s="23">
        <f>IF(AND(ISNUMBER(F155),ISNUMBER(I155),F155&gt;0),I155/F155-1,"")</f>
        <v/>
      </c>
      <c r="K155" s="22" t="n">
        <v>300</v>
      </c>
      <c r="L155" s="23">
        <f>IF(AND(ISNUMBER(F155),ISNUMBER(K155),F155&gt;0),K155/F155-1,"")</f>
        <v/>
      </c>
      <c r="M155" s="24" t="n">
        <v>33</v>
      </c>
      <c r="N155" s="25" t="n">
        <v>5</v>
      </c>
      <c r="O155" s="26">
        <f>IF(AND(ISNUMBER(F155),ISNUMBER(N155),F155&gt;0),N155/F155,"")</f>
        <v/>
      </c>
      <c r="P155" s="27" t="n">
        <v>46316</v>
      </c>
      <c r="Q155" s="27" t="n">
        <v>46344</v>
      </c>
      <c r="R155" s="25" t="n">
        <v>11.83</v>
      </c>
      <c r="S155" s="28">
        <f>IF(AND(ISNUMBER(F155),ISNUMBER(R155),R155&gt;0),F155/R155,"")</f>
        <v/>
      </c>
      <c r="T155" s="27" t="n">
        <v>46323</v>
      </c>
    </row>
    <row r="156">
      <c r="A156" s="11" t="inlineStr">
        <is>
          <t>GLW</t>
        </is>
      </c>
      <c r="B156" s="11" t="inlineStr">
        <is>
          <t>Corning Incorporated</t>
        </is>
      </c>
      <c r="C156" s="11" t="inlineStr">
        <is>
          <t>Electronic Components</t>
        </is>
      </c>
      <c r="D156" s="11" t="inlineStr">
        <is>
          <t>United States</t>
        </is>
      </c>
      <c r="E156" s="12" t="n">
        <v>108.79</v>
      </c>
      <c r="F156" s="13" t="n">
        <v>126.3</v>
      </c>
      <c r="G156" s="13" t="n">
        <v>187.41176</v>
      </c>
      <c r="H156" s="14">
        <f>IF(AND(ISNUMBER(F156),ISNUMBER(G156),F156&gt;0),G156/F156-1,"")</f>
        <v/>
      </c>
      <c r="I156" s="13" t="n">
        <v>129</v>
      </c>
      <c r="J156" s="14">
        <f>IF(AND(ISNUMBER(F156),ISNUMBER(I156),F156&gt;0),I156/F156-1,"")</f>
        <v/>
      </c>
      <c r="K156" s="13" t="n">
        <v>238</v>
      </c>
      <c r="L156" s="14">
        <f>IF(AND(ISNUMBER(F156),ISNUMBER(K156),F156&gt;0),K156/F156-1,"")</f>
        <v/>
      </c>
      <c r="M156" s="15" t="n">
        <v>17</v>
      </c>
      <c r="N156" s="16" t="n">
        <v>1.12</v>
      </c>
      <c r="O156" s="17">
        <f>IF(AND(ISNUMBER(F156),ISNUMBER(N156),F156&gt;0),N156/F156,"")</f>
        <v/>
      </c>
      <c r="P156" s="18" t="n">
        <v>46339</v>
      </c>
      <c r="Q156" s="18" t="n">
        <v>46322</v>
      </c>
      <c r="R156" s="16" t="n">
        <v>2.18</v>
      </c>
      <c r="S156" s="19">
        <f>IF(AND(ISNUMBER(F156),ISNUMBER(R156),R156&gt;0),F156/R156,"")</f>
        <v/>
      </c>
      <c r="T156" s="18" t="n">
        <v>46323</v>
      </c>
    </row>
    <row r="157">
      <c r="A157" s="20" t="inlineStr">
        <is>
          <t>ENB</t>
        </is>
      </c>
      <c r="B157" s="20" t="inlineStr">
        <is>
          <t>Enbridge Inc</t>
        </is>
      </c>
      <c r="C157" s="20" t="inlineStr">
        <is>
          <t>Oil &amp; Gas Midstream</t>
        </is>
      </c>
      <c r="D157" s="20" t="inlineStr">
        <is>
          <t>Canada</t>
        </is>
      </c>
      <c r="E157" s="21" t="n">
        <v>107.83</v>
      </c>
      <c r="F157" s="22" t="n">
        <v>48.38</v>
      </c>
      <c r="G157" s="22" t="n">
        <v>51.344856</v>
      </c>
      <c r="H157" s="23">
        <f>IF(AND(ISNUMBER(F157),ISNUMBER(G157),F157&gt;0),G157/F157-1,"")</f>
        <v/>
      </c>
      <c r="I157" s="22" t="n">
        <v>45.38852</v>
      </c>
      <c r="J157" s="23">
        <f>IF(AND(ISNUMBER(F157),ISNUMBER(I157),F157&gt;0),I157/F157-1,"")</f>
        <v/>
      </c>
      <c r="K157" s="22" t="n">
        <v>59.748314</v>
      </c>
      <c r="L157" s="23">
        <f>IF(AND(ISNUMBER(F157),ISNUMBER(K157),F157&gt;0),K157/F157-1,"")</f>
        <v/>
      </c>
      <c r="M157" s="24" t="n">
        <v>5</v>
      </c>
      <c r="N157" s="25" t="n">
        <v>2.8</v>
      </c>
      <c r="O157" s="26">
        <f>IF(AND(ISNUMBER(F157),ISNUMBER(N157),F157&gt;0),N157/F157,"")</f>
        <v/>
      </c>
      <c r="P157" s="27" t="n">
        <v>46248</v>
      </c>
      <c r="Q157" s="27" t="n">
        <v>46332</v>
      </c>
      <c r="R157" s="25" t="n">
        <v>1.87</v>
      </c>
      <c r="S157" s="28">
        <f>IF(AND(ISNUMBER(F157),ISNUMBER(R157),R157&gt;0),F157/R157,"")</f>
        <v/>
      </c>
      <c r="T157" s="27" t="n">
        <v>46323</v>
      </c>
    </row>
    <row r="158">
      <c r="A158" s="11" t="inlineStr">
        <is>
          <t>PSX</t>
        </is>
      </c>
      <c r="B158" s="11" t="inlineStr">
        <is>
          <t>Phillips 66</t>
        </is>
      </c>
      <c r="C158" s="11" t="inlineStr">
        <is>
          <t>Oil &amp; Gas Refining &amp; Marketing</t>
        </is>
      </c>
      <c r="D158" s="11" t="inlineStr">
        <is>
          <t>United States</t>
        </is>
      </c>
      <c r="E158" s="12" t="n">
        <v>107.66</v>
      </c>
      <c r="F158" s="13" t="n">
        <v>268.53</v>
      </c>
      <c r="G158" s="13" t="n">
        <v>285.73685</v>
      </c>
      <c r="H158" s="14">
        <f>IF(AND(ISNUMBER(F158),ISNUMBER(G158),F158&gt;0),G158/F158-1,"")</f>
        <v/>
      </c>
      <c r="I158" s="13" t="n">
        <v>173</v>
      </c>
      <c r="J158" s="14">
        <f>IF(AND(ISNUMBER(F158),ISNUMBER(I158),F158&gt;0),I158/F158-1,"")</f>
        <v/>
      </c>
      <c r="K158" s="13" t="n">
        <v>350</v>
      </c>
      <c r="L158" s="14">
        <f>IF(AND(ISNUMBER(F158),ISNUMBER(K158),F158&gt;0),K158/F158-1,"")</f>
        <v/>
      </c>
      <c r="M158" s="15" t="n">
        <v>19</v>
      </c>
      <c r="N158" s="16" t="n">
        <v>5.32</v>
      </c>
      <c r="O158" s="17">
        <f>IF(AND(ISNUMBER(F158),ISNUMBER(N158),F158&gt;0),N158/F158,"")</f>
        <v/>
      </c>
      <c r="P158" s="18" t="n">
        <v>46343</v>
      </c>
      <c r="Q158" s="18" t="n">
        <v>46323</v>
      </c>
      <c r="R158" s="16" t="n">
        <v>17.5</v>
      </c>
      <c r="S158" s="19">
        <f>IF(AND(ISNUMBER(F158),ISNUMBER(R158),R158&gt;0),F158/R158,"")</f>
        <v/>
      </c>
      <c r="T158" s="18" t="n">
        <v>46323</v>
      </c>
    </row>
    <row r="159">
      <c r="A159" s="20" t="inlineStr">
        <is>
          <t>SO</t>
        </is>
      </c>
      <c r="B159" s="20" t="inlineStr">
        <is>
          <t>Southern Company (The)</t>
        </is>
      </c>
      <c r="C159" s="20" t="inlineStr">
        <is>
          <t>Utilities - Regulated Electric</t>
        </is>
      </c>
      <c r="D159" s="20" t="inlineStr">
        <is>
          <t>United States</t>
        </is>
      </c>
      <c r="E159" s="21" t="n">
        <v>106.58</v>
      </c>
      <c r="F159" s="22" t="n">
        <v>92.65000000000001</v>
      </c>
      <c r="G159" s="22" t="n">
        <v>95.90000000000001</v>
      </c>
      <c r="H159" s="23">
        <f>IF(AND(ISNUMBER(F159),ISNUMBER(G159),F159&gt;0),G159/F159-1,"")</f>
        <v/>
      </c>
      <c r="I159" s="22" t="n">
        <v>74</v>
      </c>
      <c r="J159" s="23">
        <f>IF(AND(ISNUMBER(F159),ISNUMBER(I159),F159&gt;0),I159/F159-1,"")</f>
        <v/>
      </c>
      <c r="K159" s="22" t="n">
        <v>112</v>
      </c>
      <c r="L159" s="23">
        <f>IF(AND(ISNUMBER(F159),ISNUMBER(K159),F159&gt;0),K159/F159-1,"")</f>
        <v/>
      </c>
      <c r="M159" s="24" t="n">
        <v>20</v>
      </c>
      <c r="N159" s="25" t="n">
        <v>3.04</v>
      </c>
      <c r="O159" s="26">
        <f>IF(AND(ISNUMBER(F159),ISNUMBER(N159),F159&gt;0),N159/F159,"")</f>
        <v/>
      </c>
      <c r="P159" s="27" t="n">
        <v>46342</v>
      </c>
      <c r="Q159" s="27" t="n">
        <v>46331</v>
      </c>
      <c r="R159" s="25" t="n">
        <v>4.15</v>
      </c>
      <c r="S159" s="28">
        <f>IF(AND(ISNUMBER(F159),ISNUMBER(R159),R159&gt;0),F159/R159,"")</f>
        <v/>
      </c>
      <c r="T159" s="27" t="n">
        <v>46323</v>
      </c>
    </row>
    <row r="160">
      <c r="A160" s="11" t="inlineStr">
        <is>
          <t>CM</t>
        </is>
      </c>
      <c r="B160" s="11" t="inlineStr">
        <is>
          <t>Canadian Imperial Bank of Comme</t>
        </is>
      </c>
      <c r="C160" s="11" t="inlineStr">
        <is>
          <t>Banks - Diversified</t>
        </is>
      </c>
      <c r="D160" s="11" t="inlineStr">
        <is>
          <t>Canada</t>
        </is>
      </c>
      <c r="E160" s="12" t="n">
        <v>105.77</v>
      </c>
      <c r="F160" s="13" t="n">
        <v>116.49</v>
      </c>
      <c r="G160" s="13" t="n">
        <v>120.0876</v>
      </c>
      <c r="H160" s="14">
        <f>IF(AND(ISNUMBER(F160),ISNUMBER(G160),F160&gt;0),G160/F160-1,"")</f>
        <v/>
      </c>
      <c r="I160" s="13" t="n">
        <v>103.87846</v>
      </c>
      <c r="J160" s="14">
        <f>IF(AND(ISNUMBER(F160),ISNUMBER(I160),F160&gt;0),I160/F160-1,"")</f>
        <v/>
      </c>
      <c r="K160" s="13" t="n">
        <v>128.20212</v>
      </c>
      <c r="L160" s="14">
        <f>IF(AND(ISNUMBER(F160),ISNUMBER(K160),F160&gt;0),K160/F160-1,"")</f>
        <v/>
      </c>
      <c r="M160" s="15" t="n">
        <v>3</v>
      </c>
      <c r="N160" s="16" t="n">
        <v>3.05</v>
      </c>
      <c r="O160" s="17">
        <f>IF(AND(ISNUMBER(F160),ISNUMBER(N160),F160&gt;0),N160/F160,"")</f>
        <v/>
      </c>
      <c r="P160" s="18" t="n">
        <v>46293</v>
      </c>
      <c r="Q160" s="18" t="n">
        <v>46359</v>
      </c>
      <c r="R160" s="16" t="n">
        <v>7.52</v>
      </c>
      <c r="S160" s="19">
        <f>IF(AND(ISNUMBER(F160),ISNUMBER(R160),R160&gt;0),F160/R160,"")</f>
        <v/>
      </c>
      <c r="T160" s="18" t="n">
        <v>46323</v>
      </c>
    </row>
    <row r="161">
      <c r="A161" s="20" t="inlineStr">
        <is>
          <t>CME</t>
        </is>
      </c>
      <c r="B161" s="20" t="inlineStr">
        <is>
          <t>CME Group Inc.</t>
        </is>
      </c>
      <c r="C161" s="20" t="inlineStr">
        <is>
          <t>Financial Data &amp; Stock Exchanges</t>
        </is>
      </c>
      <c r="D161" s="20" t="inlineStr">
        <is>
          <t>United States</t>
        </is>
      </c>
      <c r="E161" s="21" t="n">
        <v>105.05</v>
      </c>
      <c r="F161" s="22" t="n">
        <v>293.48</v>
      </c>
      <c r="G161" s="22" t="n">
        <v>317.0625</v>
      </c>
      <c r="H161" s="23">
        <f>IF(AND(ISNUMBER(F161),ISNUMBER(G161),F161&gt;0),G161/F161-1,"")</f>
        <v/>
      </c>
      <c r="I161" s="22" t="n">
        <v>227</v>
      </c>
      <c r="J161" s="23">
        <f>IF(AND(ISNUMBER(F161),ISNUMBER(I161),F161&gt;0),I161/F161-1,"")</f>
        <v/>
      </c>
      <c r="K161" s="22" t="n">
        <v>367</v>
      </c>
      <c r="L161" s="23">
        <f>IF(AND(ISNUMBER(F161),ISNUMBER(K161),F161&gt;0),K161/F161-1,"")</f>
        <v/>
      </c>
      <c r="M161" s="24" t="n">
        <v>16</v>
      </c>
      <c r="N161" s="25" t="n">
        <v>5.2</v>
      </c>
      <c r="O161" s="26">
        <f>IF(AND(ISNUMBER(F161),ISNUMBER(N161),F161&gt;0),N161/F161,"")</f>
        <v/>
      </c>
      <c r="P161" s="27" t="n">
        <v>46274</v>
      </c>
      <c r="Q161" s="27" t="n">
        <v>46316</v>
      </c>
      <c r="R161" s="25" t="n">
        <v>12.2</v>
      </c>
      <c r="S161" s="28">
        <f>IF(AND(ISNUMBER(F161),ISNUMBER(R161),R161&gt;0),F161/R161,"")</f>
        <v/>
      </c>
      <c r="T161" s="27" t="n">
        <v>46323</v>
      </c>
    </row>
    <row r="162">
      <c r="A162" s="11" t="inlineStr">
        <is>
          <t>GSK</t>
        </is>
      </c>
      <c r="B162" s="11" t="inlineStr">
        <is>
          <t>GSK plc</t>
        </is>
      </c>
      <c r="C162" s="11" t="inlineStr">
        <is>
          <t>Drug Manufacturers - General</t>
        </is>
      </c>
      <c r="D162" s="11" t="inlineStr">
        <is>
          <t>United Kingdom</t>
        </is>
      </c>
      <c r="E162" s="12" t="n">
        <v>102.06</v>
      </c>
      <c r="F162" s="13" t="n">
        <v>50.94</v>
      </c>
      <c r="G162" s="13" t="n">
        <v>60.51333</v>
      </c>
      <c r="H162" s="14">
        <f>IF(AND(ISNUMBER(F162),ISNUMBER(G162),F162&gt;0),G162/F162-1,"")</f>
        <v/>
      </c>
      <c r="I162" s="13" t="n">
        <v>49</v>
      </c>
      <c r="J162" s="14">
        <f>IF(AND(ISNUMBER(F162),ISNUMBER(I162),F162&gt;0),I162/F162-1,"")</f>
        <v/>
      </c>
      <c r="K162" s="13" t="n">
        <v>70</v>
      </c>
      <c r="L162" s="14">
        <f>IF(AND(ISNUMBER(F162),ISNUMBER(K162),F162&gt;0),K162/F162-1,"")</f>
        <v/>
      </c>
      <c r="M162" s="15" t="n">
        <v>9</v>
      </c>
      <c r="N162" s="16" t="n">
        <v>1.82</v>
      </c>
      <c r="O162" s="17">
        <f>IF(AND(ISNUMBER(F162),ISNUMBER(N162),F162&gt;0),N162/F162,"")</f>
        <v/>
      </c>
      <c r="P162" s="18" t="n">
        <v>46248</v>
      </c>
      <c r="Q162" s="18" t="n">
        <v>46323</v>
      </c>
      <c r="R162" s="16" t="n">
        <v>3.17</v>
      </c>
      <c r="S162" s="19">
        <f>IF(AND(ISNUMBER(F162),ISNUMBER(R162),R162&gt;0),F162/R162,"")</f>
        <v/>
      </c>
      <c r="T162" s="18" t="n">
        <v>46323</v>
      </c>
    </row>
    <row r="163">
      <c r="A163" s="20" t="inlineStr">
        <is>
          <t>MAR</t>
        </is>
      </c>
      <c r="B163" s="20" t="inlineStr">
        <is>
          <t>Marriott International</t>
        </is>
      </c>
      <c r="C163" s="20" t="inlineStr">
        <is>
          <t>Lodging</t>
        </is>
      </c>
      <c r="D163" s="20" t="inlineStr">
        <is>
          <t>United States</t>
        </is>
      </c>
      <c r="E163" s="21" t="n">
        <v>101.76</v>
      </c>
      <c r="F163" s="22" t="n">
        <v>390.23</v>
      </c>
      <c r="G163" s="22" t="n">
        <v>387.76923</v>
      </c>
      <c r="H163" s="23">
        <f>IF(AND(ISNUMBER(F163),ISNUMBER(G163),F163&gt;0),G163/F163-1,"")</f>
        <v/>
      </c>
      <c r="I163" s="22" t="n">
        <v>280</v>
      </c>
      <c r="J163" s="23">
        <f>IF(AND(ISNUMBER(F163),ISNUMBER(I163),F163&gt;0),I163/F163-1,"")</f>
        <v/>
      </c>
      <c r="K163" s="22" t="n">
        <v>429</v>
      </c>
      <c r="L163" s="23">
        <f>IF(AND(ISNUMBER(F163),ISNUMBER(K163),F163&gt;0),K163/F163-1,"")</f>
        <v/>
      </c>
      <c r="M163" s="24" t="n">
        <v>26</v>
      </c>
      <c r="N163" s="25" t="n">
        <v>2.92</v>
      </c>
      <c r="O163" s="26">
        <f>IF(AND(ISNUMBER(F163),ISNUMBER(N163),F163&gt;0),N163/F163,"")</f>
        <v/>
      </c>
      <c r="P163" s="27" t="n">
        <v>46254</v>
      </c>
      <c r="Q163" s="27" t="n">
        <v>46328</v>
      </c>
      <c r="R163" s="25" t="n">
        <v>9.66</v>
      </c>
      <c r="S163" s="28">
        <f>IF(AND(ISNUMBER(F163),ISNUMBER(R163),R163&gt;0),F163/R163,"")</f>
        <v/>
      </c>
      <c r="T163" s="27" t="n">
        <v>46323</v>
      </c>
    </row>
    <row r="164">
      <c r="A164" s="11" t="inlineStr">
        <is>
          <t>TT</t>
        </is>
      </c>
      <c r="B164" s="11" t="inlineStr">
        <is>
          <t>Trane Technologies plc</t>
        </is>
      </c>
      <c r="C164" s="11" t="inlineStr">
        <is>
          <t>Building Products &amp; Equipment</t>
        </is>
      </c>
      <c r="D164" s="11" t="inlineStr">
        <is>
          <t>Ireland</t>
        </is>
      </c>
      <c r="E164" s="12" t="n">
        <v>101.45</v>
      </c>
      <c r="F164" s="13" t="n">
        <v>461.07</v>
      </c>
      <c r="G164" s="13" t="n">
        <v>529.1226</v>
      </c>
      <c r="H164" s="14">
        <f>IF(AND(ISNUMBER(F164),ISNUMBER(G164),F164&gt;0),G164/F164-1,"")</f>
        <v/>
      </c>
      <c r="I164" s="13" t="n">
        <v>422</v>
      </c>
      <c r="J164" s="14">
        <f>IF(AND(ISNUMBER(F164),ISNUMBER(I164),F164&gt;0),I164/F164-1,"")</f>
        <v/>
      </c>
      <c r="K164" s="13" t="n">
        <v>575</v>
      </c>
      <c r="L164" s="14">
        <f>IF(AND(ISNUMBER(F164),ISNUMBER(K164),F164&gt;0),K164/F164-1,"")</f>
        <v/>
      </c>
      <c r="M164" s="15" t="n">
        <v>23</v>
      </c>
      <c r="N164" s="16" t="n">
        <v>4.2</v>
      </c>
      <c r="O164" s="17">
        <f>IF(AND(ISNUMBER(F164),ISNUMBER(N164),F164&gt;0),N164/F164,"")</f>
        <v/>
      </c>
      <c r="P164" s="18" t="n">
        <v>46360</v>
      </c>
      <c r="Q164" s="18" t="n">
        <v>46324</v>
      </c>
      <c r="R164" s="16" t="n">
        <v>13.42</v>
      </c>
      <c r="S164" s="19">
        <f>IF(AND(ISNUMBER(F164),ISNUMBER(R164),R164&gt;0),F164/R164,"")</f>
        <v/>
      </c>
      <c r="T164" s="18" t="n">
        <v>46323</v>
      </c>
    </row>
    <row r="165">
      <c r="A165" s="20" t="inlineStr">
        <is>
          <t>ABNB</t>
        </is>
      </c>
      <c r="B165" s="20" t="inlineStr">
        <is>
          <t>Airbnb, Inc.</t>
        </is>
      </c>
      <c r="C165" s="20" t="inlineStr">
        <is>
          <t>Travel Services</t>
        </is>
      </c>
      <c r="D165" s="20" t="inlineStr">
        <is>
          <t>United States</t>
        </is>
      </c>
      <c r="E165" s="21" t="n">
        <v>101.09</v>
      </c>
      <c r="F165" s="22" t="n">
        <v>168.82</v>
      </c>
      <c r="G165" s="22" t="n">
        <v>183.9545</v>
      </c>
      <c r="H165" s="23">
        <f>IF(AND(ISNUMBER(F165),ISNUMBER(G165),F165&gt;0),G165/F165-1,"")</f>
        <v/>
      </c>
      <c r="I165" s="22" t="n">
        <v>135</v>
      </c>
      <c r="J165" s="23">
        <f>IF(AND(ISNUMBER(F165),ISNUMBER(I165),F165&gt;0),I165/F165-1,"")</f>
        <v/>
      </c>
      <c r="K165" s="22" t="n">
        <v>220</v>
      </c>
      <c r="L165" s="23">
        <f>IF(AND(ISNUMBER(F165),ISNUMBER(K165),F165&gt;0),K165/F165-1,"")</f>
        <v/>
      </c>
      <c r="M165" s="24" t="n">
        <v>40</v>
      </c>
      <c r="N165" s="25" t="n"/>
      <c r="O165" s="26">
        <f>IF(AND(ISNUMBER(F165),ISNUMBER(N165),F165&gt;0),N165/F165,"")</f>
        <v/>
      </c>
      <c r="P165" s="27" t="n"/>
      <c r="Q165" s="27" t="n">
        <v>46331</v>
      </c>
      <c r="R165" s="25" t="n">
        <v>4.39</v>
      </c>
      <c r="S165" s="28">
        <f>IF(AND(ISNUMBER(F165),ISNUMBER(R165),R165&gt;0),F165/R165,"")</f>
        <v/>
      </c>
      <c r="T165" s="27" t="n">
        <v>46323</v>
      </c>
    </row>
    <row r="166">
      <c r="A166" s="11" t="inlineStr">
        <is>
          <t>DDOG</t>
        </is>
      </c>
      <c r="B166" s="11" t="inlineStr">
        <is>
          <t>Datadog, Inc.</t>
        </is>
      </c>
      <c r="C166" s="11" t="inlineStr">
        <is>
          <t>Software - Application</t>
        </is>
      </c>
      <c r="D166" s="11" t="inlineStr">
        <is>
          <t>United States</t>
        </is>
      </c>
      <c r="E166" s="12" t="n">
        <v>100.84</v>
      </c>
      <c r="F166" s="13" t="n">
        <v>280.82</v>
      </c>
      <c r="G166" s="13" t="n">
        <v>294.48553</v>
      </c>
      <c r="H166" s="14">
        <f>IF(AND(ISNUMBER(F166),ISNUMBER(G166),F166&gt;0),G166/F166-1,"")</f>
        <v/>
      </c>
      <c r="I166" s="13" t="n">
        <v>158</v>
      </c>
      <c r="J166" s="14">
        <f>IF(AND(ISNUMBER(F166),ISNUMBER(I166),F166&gt;0),I166/F166-1,"")</f>
        <v/>
      </c>
      <c r="K166" s="13" t="n">
        <v>350</v>
      </c>
      <c r="L166" s="14">
        <f>IF(AND(ISNUMBER(F166),ISNUMBER(K166),F166&gt;0),K166/F166-1,"")</f>
        <v/>
      </c>
      <c r="M166" s="15" t="n">
        <v>47</v>
      </c>
      <c r="N166" s="16" t="n"/>
      <c r="O166" s="17">
        <f>IF(AND(ISNUMBER(F166),ISNUMBER(N166),F166&gt;0),N166/F166,"")</f>
        <v/>
      </c>
      <c r="P166" s="18" t="n"/>
      <c r="Q166" s="18" t="n">
        <v>46330</v>
      </c>
      <c r="R166" s="16" t="n">
        <v>0.5</v>
      </c>
      <c r="S166" s="19">
        <f>IF(AND(ISNUMBER(F166),ISNUMBER(R166),R166&gt;0),F166/R166,"")</f>
        <v/>
      </c>
      <c r="T166" s="18" t="n">
        <v>46323</v>
      </c>
    </row>
    <row r="167">
      <c r="A167" s="20" t="inlineStr">
        <is>
          <t>SNY</t>
        </is>
      </c>
      <c r="B167" s="20" t="inlineStr">
        <is>
          <t>Sanofi</t>
        </is>
      </c>
      <c r="C167" s="20" t="inlineStr">
        <is>
          <t>Drug Manufacturers - General</t>
        </is>
      </c>
      <c r="D167" s="20" t="inlineStr">
        <is>
          <t>France</t>
        </is>
      </c>
      <c r="E167" s="21" t="n">
        <v>100.37</v>
      </c>
      <c r="F167" s="22" t="n">
        <v>41.89</v>
      </c>
      <c r="G167" s="22" t="n">
        <v>53.61111</v>
      </c>
      <c r="H167" s="23">
        <f>IF(AND(ISNUMBER(F167),ISNUMBER(G167),F167&gt;0),G167/F167-1,"")</f>
        <v/>
      </c>
      <c r="I167" s="22" t="n">
        <v>44</v>
      </c>
      <c r="J167" s="23">
        <f>IF(AND(ISNUMBER(F167),ISNUMBER(I167),F167&gt;0),I167/F167-1,"")</f>
        <v/>
      </c>
      <c r="K167" s="22" t="n">
        <v>63</v>
      </c>
      <c r="L167" s="23">
        <f>IF(AND(ISNUMBER(F167),ISNUMBER(K167),F167&gt;0),K167/F167-1,"")</f>
        <v/>
      </c>
      <c r="M167" s="24" t="n">
        <v>9</v>
      </c>
      <c r="N167" s="25" t="n">
        <v>2.42</v>
      </c>
      <c r="O167" s="26">
        <f>IF(AND(ISNUMBER(F167),ISNUMBER(N167),F167&gt;0),N167/F167,"")</f>
        <v/>
      </c>
      <c r="P167" s="27" t="n">
        <v>46146</v>
      </c>
      <c r="Q167" s="27" t="n">
        <v>46325</v>
      </c>
      <c r="R167" s="25" t="n">
        <v>1.9</v>
      </c>
      <c r="S167" s="28">
        <f>IF(AND(ISNUMBER(F167),ISNUMBER(R167),R167&gt;0),F167/R167,"")</f>
        <v/>
      </c>
      <c r="T167" s="27" t="n">
        <v>46323</v>
      </c>
    </row>
    <row r="168">
      <c r="A168" s="11" t="inlineStr">
        <is>
          <t>EQIX</t>
        </is>
      </c>
      <c r="B168" s="11" t="inlineStr">
        <is>
          <t>Equinix, Inc.</t>
        </is>
      </c>
      <c r="C168" s="11" t="inlineStr">
        <is>
          <t>Reit - Specialty</t>
        </is>
      </c>
      <c r="D168" s="11" t="inlineStr">
        <is>
          <t>United States</t>
        </is>
      </c>
      <c r="E168" s="12" t="n">
        <v>98.61</v>
      </c>
      <c r="F168" s="13" t="n">
        <v>999.38</v>
      </c>
      <c r="G168" s="13" t="n">
        <v>1231.0938</v>
      </c>
      <c r="H168" s="14">
        <f>IF(AND(ISNUMBER(F168),ISNUMBER(G168),F168&gt;0),G168/F168-1,"")</f>
        <v/>
      </c>
      <c r="I168" s="13" t="n">
        <v>1060</v>
      </c>
      <c r="J168" s="14">
        <f>IF(AND(ISNUMBER(F168),ISNUMBER(I168),F168&gt;0),I168/F168-1,"")</f>
        <v/>
      </c>
      <c r="K168" s="13" t="n">
        <v>1380</v>
      </c>
      <c r="L168" s="14">
        <f>IF(AND(ISNUMBER(F168),ISNUMBER(K168),F168&gt;0),K168/F168-1,"")</f>
        <v/>
      </c>
      <c r="M168" s="15" t="n">
        <v>32</v>
      </c>
      <c r="N168" s="16" t="n">
        <v>20.64</v>
      </c>
      <c r="O168" s="17">
        <f>IF(AND(ISNUMBER(F168),ISNUMBER(N168),F168&gt;0),N168/F168,"")</f>
        <v/>
      </c>
      <c r="P168" s="18" t="n">
        <v>46253</v>
      </c>
      <c r="Q168" s="18" t="n">
        <v>46323</v>
      </c>
      <c r="R168" s="16" t="n">
        <v>15.54</v>
      </c>
      <c r="S168" s="19">
        <f>IF(AND(ISNUMBER(F168),ISNUMBER(R168),R168&gt;0),F168/R168,"")</f>
        <v/>
      </c>
      <c r="T168" s="18" t="n">
        <v>46323</v>
      </c>
    </row>
    <row r="169">
      <c r="A169" s="20" t="inlineStr">
        <is>
          <t>HCA</t>
        </is>
      </c>
      <c r="B169" s="20" t="inlineStr">
        <is>
          <t>HCA Healthcare, Inc.</t>
        </is>
      </c>
      <c r="C169" s="20" t="inlineStr">
        <is>
          <t>Medical Care Facilities</t>
        </is>
      </c>
      <c r="D169" s="20" t="inlineStr">
        <is>
          <t>United States</t>
        </is>
      </c>
      <c r="E169" s="21" t="n">
        <v>97.42</v>
      </c>
      <c r="F169" s="22" t="n">
        <v>449.96</v>
      </c>
      <c r="G169" s="22" t="n">
        <v>461.8095</v>
      </c>
      <c r="H169" s="23">
        <f>IF(AND(ISNUMBER(F169),ISNUMBER(G169),F169&gt;0),G169/F169-1,"")</f>
        <v/>
      </c>
      <c r="I169" s="22" t="n">
        <v>380</v>
      </c>
      <c r="J169" s="23">
        <f>IF(AND(ISNUMBER(F169),ISNUMBER(I169),F169&gt;0),I169/F169-1,"")</f>
        <v/>
      </c>
      <c r="K169" s="22" t="n">
        <v>579</v>
      </c>
      <c r="L169" s="23">
        <f>IF(AND(ISNUMBER(F169),ISNUMBER(K169),F169&gt;0),K169/F169-1,"")</f>
        <v/>
      </c>
      <c r="M169" s="24" t="n">
        <v>21</v>
      </c>
      <c r="N169" s="25" t="n">
        <v>3.12</v>
      </c>
      <c r="O169" s="26">
        <f>IF(AND(ISNUMBER(F169),ISNUMBER(N169),F169&gt;0),N169/F169,"")</f>
        <v/>
      </c>
      <c r="P169" s="27" t="n">
        <v>46281</v>
      </c>
      <c r="Q169" s="27" t="n">
        <v>46322</v>
      </c>
      <c r="R169" s="25" t="n">
        <v>29.83</v>
      </c>
      <c r="S169" s="28">
        <f>IF(AND(ISNUMBER(F169),ISNUMBER(R169),R169&gt;0),F169/R169,"")</f>
        <v/>
      </c>
      <c r="T169" s="27" t="n">
        <v>46323</v>
      </c>
    </row>
    <row r="170">
      <c r="A170" s="11" t="inlineStr">
        <is>
          <t>DUK</t>
        </is>
      </c>
      <c r="B170" s="11" t="inlineStr">
        <is>
          <t>Duke Energy Corporation (Holdin</t>
        </is>
      </c>
      <c r="C170" s="11" t="inlineStr">
        <is>
          <t>Utilities - Regulated Electric</t>
        </is>
      </c>
      <c r="D170" s="11" t="inlineStr">
        <is>
          <t>United States</t>
        </is>
      </c>
      <c r="E170" s="12" t="n">
        <v>97.31</v>
      </c>
      <c r="F170" s="13" t="n">
        <v>124.8</v>
      </c>
      <c r="G170" s="13" t="n">
        <v>131.73685</v>
      </c>
      <c r="H170" s="14">
        <f>IF(AND(ISNUMBER(F170),ISNUMBER(G170),F170&gt;0),G170/F170-1,"")</f>
        <v/>
      </c>
      <c r="I170" s="13" t="n">
        <v>121</v>
      </c>
      <c r="J170" s="14">
        <f>IF(AND(ISNUMBER(F170),ISNUMBER(I170),F170&gt;0),I170/F170-1,"")</f>
        <v/>
      </c>
      <c r="K170" s="13" t="n">
        <v>143</v>
      </c>
      <c r="L170" s="14">
        <f>IF(AND(ISNUMBER(F170),ISNUMBER(K170),F170&gt;0),K170/F170-1,"")</f>
        <v/>
      </c>
      <c r="M170" s="15" t="n">
        <v>19</v>
      </c>
      <c r="N170" s="16" t="n">
        <v>4.34</v>
      </c>
      <c r="O170" s="17">
        <f>IF(AND(ISNUMBER(F170),ISNUMBER(N170),F170&gt;0),N170/F170,"")</f>
        <v/>
      </c>
      <c r="P170" s="18" t="n">
        <v>46339</v>
      </c>
      <c r="Q170" s="18" t="n">
        <v>46331</v>
      </c>
      <c r="R170" s="16" t="n">
        <v>6.64</v>
      </c>
      <c r="S170" s="19">
        <f>IF(AND(ISNUMBER(F170),ISNUMBER(R170),R170&gt;0),F170/R170,"")</f>
        <v/>
      </c>
      <c r="T170" s="18" t="n">
        <v>46323</v>
      </c>
    </row>
    <row r="171">
      <c r="A171" s="20" t="inlineStr">
        <is>
          <t>CSX</t>
        </is>
      </c>
      <c r="B171" s="20" t="inlineStr">
        <is>
          <t>CSX Corporation</t>
        </is>
      </c>
      <c r="C171" s="20" t="inlineStr">
        <is>
          <t>Railroads</t>
        </is>
      </c>
      <c r="D171" s="20" t="inlineStr">
        <is>
          <t>United States</t>
        </is>
      </c>
      <c r="E171" s="21" t="n">
        <v>96.83</v>
      </c>
      <c r="F171" s="22" t="n">
        <v>52.27</v>
      </c>
      <c r="G171" s="22" t="n">
        <v>53.75522</v>
      </c>
      <c r="H171" s="23">
        <f>IF(AND(ISNUMBER(F171),ISNUMBER(G171),F171&gt;0),G171/F171-1,"")</f>
        <v/>
      </c>
      <c r="I171" s="22" t="n">
        <v>32</v>
      </c>
      <c r="J171" s="23">
        <f>IF(AND(ISNUMBER(F171),ISNUMBER(I171),F171&gt;0),I171/F171-1,"")</f>
        <v/>
      </c>
      <c r="K171" s="22" t="n">
        <v>60</v>
      </c>
      <c r="L171" s="23">
        <f>IF(AND(ISNUMBER(F171),ISNUMBER(K171),F171&gt;0),K171/F171-1,"")</f>
        <v/>
      </c>
      <c r="M171" s="24" t="n">
        <v>23</v>
      </c>
      <c r="N171" s="25" t="n">
        <v>0.5600000000000001</v>
      </c>
      <c r="O171" s="26">
        <f>IF(AND(ISNUMBER(F171),ISNUMBER(N171),F171&gt;0),N171/F171,"")</f>
        <v/>
      </c>
      <c r="P171" s="27" t="n">
        <v>46356</v>
      </c>
      <c r="Q171" s="27" t="n">
        <v>46316</v>
      </c>
      <c r="R171" s="25" t="n">
        <v>1.94</v>
      </c>
      <c r="S171" s="28">
        <f>IF(AND(ISNUMBER(F171),ISNUMBER(R171),R171&gt;0),F171/R171,"")</f>
        <v/>
      </c>
      <c r="T171" s="27" t="n">
        <v>46323</v>
      </c>
    </row>
    <row r="172">
      <c r="A172" s="11" t="inlineStr">
        <is>
          <t>ADBE</t>
        </is>
      </c>
      <c r="B172" s="11" t="inlineStr">
        <is>
          <t>Adobe Inc.</t>
        </is>
      </c>
      <c r="C172" s="11" t="inlineStr">
        <is>
          <t>Software - Application</t>
        </is>
      </c>
      <c r="D172" s="11" t="inlineStr">
        <is>
          <t>United States</t>
        </is>
      </c>
      <c r="E172" s="12" t="n">
        <v>96.66</v>
      </c>
      <c r="F172" s="13" t="n">
        <v>248.36</v>
      </c>
      <c r="G172" s="13" t="n">
        <v>272.31375</v>
      </c>
      <c r="H172" s="14">
        <f>IF(AND(ISNUMBER(F172),ISNUMBER(G172),F172&gt;0),G172/F172-1,"")</f>
        <v/>
      </c>
      <c r="I172" s="13" t="n">
        <v>195</v>
      </c>
      <c r="J172" s="14">
        <f>IF(AND(ISNUMBER(F172),ISNUMBER(I172),F172&gt;0),I172/F172-1,"")</f>
        <v/>
      </c>
      <c r="K172" s="13" t="n">
        <v>373</v>
      </c>
      <c r="L172" s="14">
        <f>IF(AND(ISNUMBER(F172),ISNUMBER(K172),F172&gt;0),K172/F172-1,"")</f>
        <v/>
      </c>
      <c r="M172" s="15" t="n">
        <v>32</v>
      </c>
      <c r="N172" s="16" t="n"/>
      <c r="O172" s="17">
        <f>IF(AND(ISNUMBER(F172),ISNUMBER(N172),F172&gt;0),N172/F172,"")</f>
        <v/>
      </c>
      <c r="P172" s="18" t="n"/>
      <c r="Q172" s="18" t="n">
        <v>46365</v>
      </c>
      <c r="R172" s="16" t="n">
        <v>17.91</v>
      </c>
      <c r="S172" s="19">
        <f>IF(AND(ISNUMBER(F172),ISNUMBER(R172),R172&gt;0),F172/R172,"")</f>
        <v/>
      </c>
      <c r="T172" s="18" t="n">
        <v>46323</v>
      </c>
    </row>
    <row r="173">
      <c r="A173" s="20" t="inlineStr">
        <is>
          <t>GD</t>
        </is>
      </c>
      <c r="B173" s="20" t="inlineStr">
        <is>
          <t>General Dynamics Corporation</t>
        </is>
      </c>
      <c r="C173" s="20" t="inlineStr">
        <is>
          <t>Aerospace &amp; Defense</t>
        </is>
      </c>
      <c r="D173" s="20" t="inlineStr">
        <is>
          <t>United States</t>
        </is>
      </c>
      <c r="E173" s="21" t="n">
        <v>96.02</v>
      </c>
      <c r="F173" s="22" t="n">
        <v>354.89</v>
      </c>
      <c r="G173" s="22" t="n">
        <v>406.77905</v>
      </c>
      <c r="H173" s="23">
        <f>IF(AND(ISNUMBER(F173),ISNUMBER(G173),F173&gt;0),G173/F173-1,"")</f>
        <v/>
      </c>
      <c r="I173" s="22" t="n">
        <v>309</v>
      </c>
      <c r="J173" s="23">
        <f>IF(AND(ISNUMBER(F173),ISNUMBER(I173),F173&gt;0),I173/F173-1,"")</f>
        <v/>
      </c>
      <c r="K173" s="22" t="n">
        <v>465</v>
      </c>
      <c r="L173" s="23">
        <f>IF(AND(ISNUMBER(F173),ISNUMBER(K173),F173&gt;0),K173/F173-1,"")</f>
        <v/>
      </c>
      <c r="M173" s="24" t="n">
        <v>21</v>
      </c>
      <c r="N173" s="25" t="n">
        <v>6.36</v>
      </c>
      <c r="O173" s="26">
        <f>IF(AND(ISNUMBER(F173),ISNUMBER(N173),F173&gt;0),N173/F173,"")</f>
        <v/>
      </c>
      <c r="P173" s="27" t="n">
        <v>46304</v>
      </c>
      <c r="Q173" s="27" t="n">
        <v>46325</v>
      </c>
      <c r="R173" s="25" t="n">
        <v>16.39</v>
      </c>
      <c r="S173" s="28">
        <f>IF(AND(ISNUMBER(F173),ISNUMBER(R173),R173&gt;0),F173/R173,"")</f>
        <v/>
      </c>
      <c r="T173" s="27" t="n">
        <v>46323</v>
      </c>
    </row>
    <row r="174">
      <c r="A174" s="11" t="inlineStr">
        <is>
          <t>FCX</t>
        </is>
      </c>
      <c r="B174" s="11" t="inlineStr">
        <is>
          <t>Freeport-McMoRan, Inc.</t>
        </is>
      </c>
      <c r="C174" s="11" t="inlineStr">
        <is>
          <t>Copper</t>
        </is>
      </c>
      <c r="D174" s="11" t="inlineStr">
        <is>
          <t>United States</t>
        </is>
      </c>
      <c r="E174" s="12" t="n">
        <v>94.70999999999999</v>
      </c>
      <c r="F174" s="13" t="n">
        <v>65.95</v>
      </c>
      <c r="G174" s="13" t="n">
        <v>79.20455</v>
      </c>
      <c r="H174" s="14">
        <f>IF(AND(ISNUMBER(F174),ISNUMBER(G174),F174&gt;0),G174/F174-1,"")</f>
        <v/>
      </c>
      <c r="I174" s="13" t="n">
        <v>32</v>
      </c>
      <c r="J174" s="14">
        <f>IF(AND(ISNUMBER(F174),ISNUMBER(I174),F174&gt;0),I174/F174-1,"")</f>
        <v/>
      </c>
      <c r="K174" s="13" t="n">
        <v>92</v>
      </c>
      <c r="L174" s="14">
        <f>IF(AND(ISNUMBER(F174),ISNUMBER(K174),F174&gt;0),K174/F174-1,"")</f>
        <v/>
      </c>
      <c r="M174" s="15" t="n">
        <v>22</v>
      </c>
      <c r="N174" s="16" t="n">
        <v>0.6</v>
      </c>
      <c r="O174" s="17">
        <f>IF(AND(ISNUMBER(F174),ISNUMBER(N174),F174&gt;0),N174/F174,"")</f>
        <v/>
      </c>
      <c r="P174" s="18" t="n">
        <v>46310</v>
      </c>
      <c r="Q174" s="18" t="n">
        <v>46322</v>
      </c>
      <c r="R174" s="16" t="n">
        <v>2.03</v>
      </c>
      <c r="S174" s="19">
        <f>IF(AND(ISNUMBER(F174),ISNUMBER(R174),R174&gt;0),F174/R174,"")</f>
        <v/>
      </c>
      <c r="T174" s="18" t="n">
        <v>46323</v>
      </c>
    </row>
    <row r="175">
      <c r="A175" s="20" t="inlineStr">
        <is>
          <t>CDNS</t>
        </is>
      </c>
      <c r="B175" s="20" t="inlineStr">
        <is>
          <t>Cadence Design Systems, Inc.</t>
        </is>
      </c>
      <c r="C175" s="20" t="inlineStr">
        <is>
          <t>Software - Application</t>
        </is>
      </c>
      <c r="D175" s="20" t="inlineStr">
        <is>
          <t>United States</t>
        </is>
      </c>
      <c r="E175" s="21" t="n">
        <v>94.48</v>
      </c>
      <c r="F175" s="22" t="n">
        <v>343.08</v>
      </c>
      <c r="G175" s="22" t="n">
        <v>409.89</v>
      </c>
      <c r="H175" s="23">
        <f>IF(AND(ISNUMBER(F175),ISNUMBER(G175),F175&gt;0),G175/F175-1,"")</f>
        <v/>
      </c>
      <c r="I175" s="22" t="n">
        <v>300</v>
      </c>
      <c r="J175" s="23">
        <f>IF(AND(ISNUMBER(F175),ISNUMBER(I175),F175&gt;0),I175/F175-1,"")</f>
        <v/>
      </c>
      <c r="K175" s="22" t="n">
        <v>470</v>
      </c>
      <c r="L175" s="23">
        <f>IF(AND(ISNUMBER(F175),ISNUMBER(K175),F175&gt;0),K175/F175-1,"")</f>
        <v/>
      </c>
      <c r="M175" s="24" t="n">
        <v>25</v>
      </c>
      <c r="N175" s="25" t="n"/>
      <c r="O175" s="26">
        <f>IF(AND(ISNUMBER(F175),ISNUMBER(N175),F175&gt;0),N175/F175,"")</f>
        <v/>
      </c>
      <c r="P175" s="27" t="n"/>
      <c r="Q175" s="27" t="n">
        <v>46321</v>
      </c>
      <c r="R175" s="25" t="n">
        <v>5.03</v>
      </c>
      <c r="S175" s="28">
        <f>IF(AND(ISNUMBER(F175),ISNUMBER(R175),R175&gt;0),F175/R175,"")</f>
        <v/>
      </c>
      <c r="T175" s="27" t="n">
        <v>46323</v>
      </c>
    </row>
    <row r="176">
      <c r="A176" s="11" t="inlineStr">
        <is>
          <t>JCI</t>
        </is>
      </c>
      <c r="B176" s="11" t="inlineStr">
        <is>
          <t xml:space="preserve">Johnson Controls International </t>
        </is>
      </c>
      <c r="C176" s="11" t="inlineStr">
        <is>
          <t>Building Products &amp; Equipment</t>
        </is>
      </c>
      <c r="D176" s="11" t="inlineStr">
        <is>
          <t>Ireland</t>
        </is>
      </c>
      <c r="E176" s="12" t="n">
        <v>94.42</v>
      </c>
      <c r="F176" s="13" t="n">
        <v>155.88</v>
      </c>
      <c r="G176" s="13" t="n">
        <v>168.5</v>
      </c>
      <c r="H176" s="14">
        <f>IF(AND(ISNUMBER(F176),ISNUMBER(G176),F176&gt;0),G176/F176-1,"")</f>
        <v/>
      </c>
      <c r="I176" s="13" t="n">
        <v>129</v>
      </c>
      <c r="J176" s="14">
        <f>IF(AND(ISNUMBER(F176),ISNUMBER(I176),F176&gt;0),I176/F176-1,"")</f>
        <v/>
      </c>
      <c r="K176" s="13" t="n">
        <v>193</v>
      </c>
      <c r="L176" s="14">
        <f>IF(AND(ISNUMBER(F176),ISNUMBER(K176),F176&gt;0),K176/F176-1,"")</f>
        <v/>
      </c>
      <c r="M176" s="15" t="n">
        <v>20</v>
      </c>
      <c r="N176" s="16" t="n">
        <v>1.6</v>
      </c>
      <c r="O176" s="17">
        <f>IF(AND(ISNUMBER(F176),ISNUMBER(N176),F176&gt;0),N176/F176,"")</f>
        <v/>
      </c>
      <c r="P176" s="18" t="n">
        <v>46286</v>
      </c>
      <c r="Q176" s="18" t="n">
        <v>46322</v>
      </c>
      <c r="R176" s="16" t="n">
        <v>3.54</v>
      </c>
      <c r="S176" s="19">
        <f>IF(AND(ISNUMBER(F176),ISNUMBER(R176),R176&gt;0),F176/R176,"")</f>
        <v/>
      </c>
      <c r="T176" s="18" t="n">
        <v>46323</v>
      </c>
    </row>
    <row r="177">
      <c r="A177" s="20" t="inlineStr">
        <is>
          <t>WM</t>
        </is>
      </c>
      <c r="B177" s="20" t="inlineStr">
        <is>
          <t>Waste Management, Inc.</t>
        </is>
      </c>
      <c r="C177" s="20" t="inlineStr">
        <is>
          <t>Waste Management</t>
        </is>
      </c>
      <c r="D177" s="20" t="inlineStr">
        <is>
          <t>United States</t>
        </is>
      </c>
      <c r="E177" s="21" t="n">
        <v>94.26000000000001</v>
      </c>
      <c r="F177" s="22" t="n">
        <v>235.81</v>
      </c>
      <c r="G177" s="22" t="n">
        <v>253.52</v>
      </c>
      <c r="H177" s="23">
        <f>IF(AND(ISNUMBER(F177),ISNUMBER(G177),F177&gt;0),G177/F177-1,"")</f>
        <v/>
      </c>
      <c r="I177" s="22" t="n">
        <v>220</v>
      </c>
      <c r="J177" s="23">
        <f>IF(AND(ISNUMBER(F177),ISNUMBER(I177),F177&gt;0),I177/F177-1,"")</f>
        <v/>
      </c>
      <c r="K177" s="22" t="n">
        <v>277</v>
      </c>
      <c r="L177" s="23">
        <f>IF(AND(ISNUMBER(F177),ISNUMBER(K177),F177&gt;0),K177/F177-1,"")</f>
        <v/>
      </c>
      <c r="M177" s="24" t="n">
        <v>25</v>
      </c>
      <c r="N177" s="25" t="n">
        <v>3.78</v>
      </c>
      <c r="O177" s="26">
        <f>IF(AND(ISNUMBER(F177),ISNUMBER(N177),F177&gt;0),N177/F177,"")</f>
        <v/>
      </c>
      <c r="P177" s="27" t="n">
        <v>46276</v>
      </c>
      <c r="Q177" s="27" t="n">
        <v>46322</v>
      </c>
      <c r="R177" s="25" t="n">
        <v>7.06</v>
      </c>
      <c r="S177" s="28">
        <f>IF(AND(ISNUMBER(F177),ISNUMBER(R177),R177&gt;0),F177/R177,"")</f>
        <v/>
      </c>
      <c r="T177" s="27" t="n">
        <v>46323</v>
      </c>
    </row>
    <row r="178">
      <c r="A178" s="11" t="inlineStr">
        <is>
          <t>USB</t>
        </is>
      </c>
      <c r="B178" s="11" t="inlineStr">
        <is>
          <t>U.S. Bancorp</t>
        </is>
      </c>
      <c r="C178" s="11" t="inlineStr">
        <is>
          <t>Banks - Regional</t>
        </is>
      </c>
      <c r="D178" s="11" t="inlineStr">
        <is>
          <t>United States</t>
        </is>
      </c>
      <c r="E178" s="12" t="n">
        <v>93.08</v>
      </c>
      <c r="F178" s="13" t="n">
        <v>59.74</v>
      </c>
      <c r="G178" s="13" t="n">
        <v>68.27273</v>
      </c>
      <c r="H178" s="14">
        <f>IF(AND(ISNUMBER(F178),ISNUMBER(G178),F178&gt;0),G178/F178-1,"")</f>
        <v/>
      </c>
      <c r="I178" s="13" t="n">
        <v>61</v>
      </c>
      <c r="J178" s="14">
        <f>IF(AND(ISNUMBER(F178),ISNUMBER(I178),F178&gt;0),I178/F178-1,"")</f>
        <v/>
      </c>
      <c r="K178" s="13" t="n">
        <v>75</v>
      </c>
      <c r="L178" s="14">
        <f>IF(AND(ISNUMBER(F178),ISNUMBER(K178),F178&gt;0),K178/F178-1,"")</f>
        <v/>
      </c>
      <c r="M178" s="15" t="n">
        <v>22</v>
      </c>
      <c r="N178" s="16" t="n">
        <v>2.16</v>
      </c>
      <c r="O178" s="17">
        <f>IF(AND(ISNUMBER(F178),ISNUMBER(N178),F178&gt;0),N178/F178,"")</f>
        <v/>
      </c>
      <c r="P178" s="18" t="n">
        <v>46295</v>
      </c>
      <c r="Q178" s="18" t="n">
        <v>46310</v>
      </c>
      <c r="R178" s="16" t="n">
        <v>5.14</v>
      </c>
      <c r="S178" s="19">
        <f>IF(AND(ISNUMBER(F178),ISNUMBER(R178),R178&gt;0),F178/R178,"")</f>
        <v/>
      </c>
      <c r="T178" s="18" t="n">
        <v>46323</v>
      </c>
    </row>
    <row r="179">
      <c r="A179" s="20" t="inlineStr">
        <is>
          <t>EMR</t>
        </is>
      </c>
      <c r="B179" s="20" t="inlineStr">
        <is>
          <t>Emerson Electric Company</t>
        </is>
      </c>
      <c r="C179" s="20" t="inlineStr">
        <is>
          <t>Specialty Industrial Machinery</t>
        </is>
      </c>
      <c r="D179" s="20" t="inlineStr">
        <is>
          <t>United States</t>
        </is>
      </c>
      <c r="E179" s="21" t="n">
        <v>92.75</v>
      </c>
      <c r="F179" s="22" t="n">
        <v>166.27</v>
      </c>
      <c r="G179" s="22" t="n">
        <v>174.99963</v>
      </c>
      <c r="H179" s="23">
        <f>IF(AND(ISNUMBER(F179),ISNUMBER(G179),F179&gt;0),G179/F179-1,"")</f>
        <v/>
      </c>
      <c r="I179" s="22" t="n">
        <v>104</v>
      </c>
      <c r="J179" s="23">
        <f>IF(AND(ISNUMBER(F179),ISNUMBER(I179),F179&gt;0),I179/F179-1,"")</f>
        <v/>
      </c>
      <c r="K179" s="22" t="n">
        <v>208</v>
      </c>
      <c r="L179" s="23">
        <f>IF(AND(ISNUMBER(F179),ISNUMBER(K179),F179&gt;0),K179/F179-1,"")</f>
        <v/>
      </c>
      <c r="M179" s="24" t="n">
        <v>28</v>
      </c>
      <c r="N179" s="25" t="n">
        <v>2.22</v>
      </c>
      <c r="O179" s="26">
        <f>IF(AND(ISNUMBER(F179),ISNUMBER(N179),F179&gt;0),N179/F179,"")</f>
        <v/>
      </c>
      <c r="P179" s="27" t="n">
        <v>46248</v>
      </c>
      <c r="Q179" s="27" t="n">
        <v>46330</v>
      </c>
      <c r="R179" s="25" t="n">
        <v>4.57</v>
      </c>
      <c r="S179" s="28">
        <f>IF(AND(ISNUMBER(F179),ISNUMBER(R179),R179&gt;0),F179/R179,"")</f>
        <v/>
      </c>
      <c r="T179" s="27" t="n">
        <v>46323</v>
      </c>
    </row>
    <row r="180">
      <c r="A180" s="11" t="inlineStr">
        <is>
          <t>CEG</t>
        </is>
      </c>
      <c r="B180" s="11" t="inlineStr">
        <is>
          <t>Constellation Energy Corporatio</t>
        </is>
      </c>
      <c r="C180" s="11" t="inlineStr">
        <is>
          <t>Utilities - Independent Power Producers</t>
        </is>
      </c>
      <c r="D180" s="11" t="inlineStr">
        <is>
          <t>United States</t>
        </is>
      </c>
      <c r="E180" s="12" t="n">
        <v>91.76000000000001</v>
      </c>
      <c r="F180" s="13" t="n">
        <v>258.98</v>
      </c>
      <c r="G180" s="13" t="n">
        <v>338.81042</v>
      </c>
      <c r="H180" s="14">
        <f>IF(AND(ISNUMBER(F180),ISNUMBER(G180),F180&gt;0),G180/F180-1,"")</f>
        <v/>
      </c>
      <c r="I180" s="13" t="n">
        <v>238</v>
      </c>
      <c r="J180" s="14">
        <f>IF(AND(ISNUMBER(F180),ISNUMBER(I180),F180&gt;0),I180/F180-1,"")</f>
        <v/>
      </c>
      <c r="K180" s="13" t="n">
        <v>399</v>
      </c>
      <c r="L180" s="14">
        <f>IF(AND(ISNUMBER(F180),ISNUMBER(K180),F180&gt;0),K180/F180-1,"")</f>
        <v/>
      </c>
      <c r="M180" s="15" t="n">
        <v>23</v>
      </c>
      <c r="N180" s="16" t="n">
        <v>1.71</v>
      </c>
      <c r="O180" s="17">
        <f>IF(AND(ISNUMBER(F180),ISNUMBER(N180),F180&gt;0),N180/F180,"")</f>
        <v/>
      </c>
      <c r="P180" s="18" t="n">
        <v>46252</v>
      </c>
      <c r="Q180" s="18" t="n">
        <v>46335</v>
      </c>
      <c r="R180" s="16" t="n">
        <v>10.23</v>
      </c>
      <c r="S180" s="19">
        <f>IF(AND(ISNUMBER(F180),ISNUMBER(R180),R180&gt;0),F180/R180,"")</f>
        <v/>
      </c>
      <c r="T180" s="18" t="n">
        <v>46323</v>
      </c>
    </row>
    <row r="181">
      <c r="A181" s="20" t="inlineStr">
        <is>
          <t>AEM</t>
        </is>
      </c>
      <c r="B181" s="20" t="inlineStr">
        <is>
          <t>Agnico Eagle Mines Limited</t>
        </is>
      </c>
      <c r="C181" s="20" t="inlineStr">
        <is>
          <t>Gold</t>
        </is>
      </c>
      <c r="D181" s="20" t="inlineStr">
        <is>
          <t>Canada</t>
        </is>
      </c>
      <c r="E181" s="21" t="n">
        <v>91.51000000000001</v>
      </c>
      <c r="F181" s="22" t="n">
        <v>180.71</v>
      </c>
      <c r="G181" s="22" t="n">
        <v>211.37215</v>
      </c>
      <c r="H181" s="23">
        <f>IF(AND(ISNUMBER(F181),ISNUMBER(G181),F181&gt;0),G181/F181-1,"")</f>
        <v/>
      </c>
      <c r="I181" s="22" t="n">
        <v>87</v>
      </c>
      <c r="J181" s="23">
        <f>IF(AND(ISNUMBER(F181),ISNUMBER(I181),F181&gt;0),I181/F181-1,"")</f>
        <v/>
      </c>
      <c r="K181" s="22" t="n">
        <v>260</v>
      </c>
      <c r="L181" s="23">
        <f>IF(AND(ISNUMBER(F181),ISNUMBER(K181),F181&gt;0),K181/F181-1,"")</f>
        <v/>
      </c>
      <c r="M181" s="24" t="n">
        <v>14</v>
      </c>
      <c r="N181" s="25" t="n">
        <v>1.8</v>
      </c>
      <c r="O181" s="26">
        <f>IF(AND(ISNUMBER(F181),ISNUMBER(N181),F181&gt;0),N181/F181,"")</f>
        <v/>
      </c>
      <c r="P181" s="27" t="n">
        <v>46357</v>
      </c>
      <c r="Q181" s="27" t="n">
        <v>46323</v>
      </c>
      <c r="R181" s="25" t="n">
        <v>11.69</v>
      </c>
      <c r="S181" s="28">
        <f>IF(AND(ISNUMBER(F181),ISNUMBER(R181),R181&gt;0),F181/R181,"")</f>
        <v/>
      </c>
      <c r="T181" s="27" t="n">
        <v>46323</v>
      </c>
    </row>
    <row r="182">
      <c r="A182" s="11" t="inlineStr">
        <is>
          <t>ELV</t>
        </is>
      </c>
      <c r="B182" s="11" t="inlineStr">
        <is>
          <t>Elevance Health, Inc.</t>
        </is>
      </c>
      <c r="C182" s="11" t="inlineStr">
        <is>
          <t>Healthcare Plans</t>
        </is>
      </c>
      <c r="D182" s="11" t="inlineStr">
        <is>
          <t>United States</t>
        </is>
      </c>
      <c r="E182" s="12" t="n">
        <v>91.41</v>
      </c>
      <c r="F182" s="13" t="n">
        <v>421.49</v>
      </c>
      <c r="G182" s="13" t="n">
        <v>482.38095</v>
      </c>
      <c r="H182" s="14">
        <f>IF(AND(ISNUMBER(F182),ISNUMBER(G182),F182&gt;0),G182/F182-1,"")</f>
        <v/>
      </c>
      <c r="I182" s="13" t="n">
        <v>406</v>
      </c>
      <c r="J182" s="14">
        <f>IF(AND(ISNUMBER(F182),ISNUMBER(I182),F182&gt;0),I182/F182-1,"")</f>
        <v/>
      </c>
      <c r="K182" s="13" t="n">
        <v>523</v>
      </c>
      <c r="L182" s="14">
        <f>IF(AND(ISNUMBER(F182),ISNUMBER(K182),F182&gt;0),K182/F182-1,"")</f>
        <v/>
      </c>
      <c r="M182" s="15" t="n">
        <v>21</v>
      </c>
      <c r="N182" s="16" t="n">
        <v>6.88</v>
      </c>
      <c r="O182" s="17">
        <f>IF(AND(ISNUMBER(F182),ISNUMBER(N182),F182&gt;0),N182/F182,"")</f>
        <v/>
      </c>
      <c r="P182" s="18" t="n">
        <v>46360</v>
      </c>
      <c r="Q182" s="18" t="n">
        <v>46316</v>
      </c>
      <c r="R182" s="16" t="n">
        <v>23.55</v>
      </c>
      <c r="S182" s="19">
        <f>IF(AND(ISNUMBER(F182),ISNUMBER(R182),R182&gt;0),F182/R182,"")</f>
        <v/>
      </c>
      <c r="T182" s="18" t="n">
        <v>46323</v>
      </c>
    </row>
    <row r="183">
      <c r="A183" s="20" t="inlineStr">
        <is>
          <t>SNPS</t>
        </is>
      </c>
      <c r="B183" s="20" t="inlineStr">
        <is>
          <t>Synopsys, Inc.</t>
        </is>
      </c>
      <c r="C183" s="20" t="inlineStr">
        <is>
          <t>Software - Infrastructure</t>
        </is>
      </c>
      <c r="D183" s="20" t="inlineStr">
        <is>
          <t>United States</t>
        </is>
      </c>
      <c r="E183" s="21" t="n">
        <v>90.92</v>
      </c>
      <c r="F183" s="22" t="n">
        <v>474.42</v>
      </c>
      <c r="G183" s="22" t="n">
        <v>586.946</v>
      </c>
      <c r="H183" s="23">
        <f>IF(AND(ISNUMBER(F183),ISNUMBER(G183),F183&gt;0),G183/F183-1,"")</f>
        <v/>
      </c>
      <c r="I183" s="22" t="n">
        <v>475</v>
      </c>
      <c r="J183" s="23">
        <f>IF(AND(ISNUMBER(F183),ISNUMBER(I183),F183&gt;0),I183/F183-1,"")</f>
        <v/>
      </c>
      <c r="K183" s="22" t="n">
        <v>700</v>
      </c>
      <c r="L183" s="23">
        <f>IF(AND(ISNUMBER(F183),ISNUMBER(K183),F183&gt;0),K183/F183-1,"")</f>
        <v/>
      </c>
      <c r="M183" s="24" t="n">
        <v>25</v>
      </c>
      <c r="N183" s="25" t="n"/>
      <c r="O183" s="26">
        <f>IF(AND(ISNUMBER(F183),ISNUMBER(N183),F183&gt;0),N183/F183,"")</f>
        <v/>
      </c>
      <c r="P183" s="27" t="n"/>
      <c r="Q183" s="27" t="n">
        <v>46260</v>
      </c>
      <c r="R183" s="25" t="n">
        <v>5.66</v>
      </c>
      <c r="S183" s="28">
        <f>IF(AND(ISNUMBER(F183),ISNUMBER(R183),R183&gt;0),F183/R183,"")</f>
        <v/>
      </c>
      <c r="T183" s="27" t="n">
        <v>46323</v>
      </c>
    </row>
    <row r="184">
      <c r="A184" s="11" t="inlineStr">
        <is>
          <t>WMB</t>
        </is>
      </c>
      <c r="B184" s="11" t="inlineStr">
        <is>
          <t>Williams Companies, Inc. (The)</t>
        </is>
      </c>
      <c r="C184" s="11" t="inlineStr">
        <is>
          <t>Oil &amp; Gas Midstream</t>
        </is>
      </c>
      <c r="D184" s="11" t="inlineStr">
        <is>
          <t>United States</t>
        </is>
      </c>
      <c r="E184" s="12" t="n">
        <v>90.62</v>
      </c>
      <c r="F184" s="13" t="n">
        <v>74.09</v>
      </c>
      <c r="G184" s="13" t="n">
        <v>85.25</v>
      </c>
      <c r="H184" s="14">
        <f>IF(AND(ISNUMBER(F184),ISNUMBER(G184),F184&gt;0),G184/F184-1,"")</f>
        <v/>
      </c>
      <c r="I184" s="13" t="n">
        <v>69</v>
      </c>
      <c r="J184" s="14">
        <f>IF(AND(ISNUMBER(F184),ISNUMBER(I184),F184&gt;0),I184/F184-1,"")</f>
        <v/>
      </c>
      <c r="K184" s="13" t="n">
        <v>103</v>
      </c>
      <c r="L184" s="14">
        <f>IF(AND(ISNUMBER(F184),ISNUMBER(K184),F184&gt;0),K184/F184-1,"")</f>
        <v/>
      </c>
      <c r="M184" s="15" t="n">
        <v>24</v>
      </c>
      <c r="N184" s="16" t="n">
        <v>2.1</v>
      </c>
      <c r="O184" s="17">
        <f>IF(AND(ISNUMBER(F184),ISNUMBER(N184),F184&gt;0),N184/F184,"")</f>
        <v/>
      </c>
      <c r="P184" s="18" t="n">
        <v>46276</v>
      </c>
      <c r="Q184" s="18" t="n">
        <v>46328</v>
      </c>
      <c r="R184" s="16" t="n">
        <v>2.51</v>
      </c>
      <c r="S184" s="19">
        <f>IF(AND(ISNUMBER(F184),ISNUMBER(R184),R184&gt;0),F184/R184,"")</f>
        <v/>
      </c>
      <c r="T184" s="18" t="n">
        <v>46323</v>
      </c>
    </row>
    <row r="185">
      <c r="A185" s="20" t="inlineStr">
        <is>
          <t>UPS</t>
        </is>
      </c>
      <c r="B185" s="20" t="inlineStr">
        <is>
          <t>United Parcel Service, Inc.</t>
        </is>
      </c>
      <c r="C185" s="20" t="inlineStr">
        <is>
          <t>Integrated Freight &amp; Logistics</t>
        </is>
      </c>
      <c r="D185" s="20" t="inlineStr">
        <is>
          <t>United States</t>
        </is>
      </c>
      <c r="E185" s="21" t="n">
        <v>90.26000000000001</v>
      </c>
      <c r="F185" s="22" t="n">
        <v>106.09</v>
      </c>
      <c r="G185" s="22" t="n">
        <v>112.54167</v>
      </c>
      <c r="H185" s="23">
        <f>IF(AND(ISNUMBER(F185),ISNUMBER(G185),F185&gt;0),G185/F185-1,"")</f>
        <v/>
      </c>
      <c r="I185" s="22" t="n">
        <v>76</v>
      </c>
      <c r="J185" s="23">
        <f>IF(AND(ISNUMBER(F185),ISNUMBER(I185),F185&gt;0),I185/F185-1,"")</f>
        <v/>
      </c>
      <c r="K185" s="22" t="n">
        <v>132</v>
      </c>
      <c r="L185" s="23">
        <f>IF(AND(ISNUMBER(F185),ISNUMBER(K185),F185&gt;0),K185/F185-1,"")</f>
        <v/>
      </c>
      <c r="M185" s="24" t="n">
        <v>24</v>
      </c>
      <c r="N185" s="25" t="n">
        <v>6.56</v>
      </c>
      <c r="O185" s="26">
        <f>IF(AND(ISNUMBER(F185),ISNUMBER(N185),F185&gt;0),N185/F185,"")</f>
        <v/>
      </c>
      <c r="P185" s="27" t="n">
        <v>46251</v>
      </c>
      <c r="Q185" s="27" t="n">
        <v>46322</v>
      </c>
      <c r="R185" s="25" t="n">
        <v>5.38</v>
      </c>
      <c r="S185" s="28">
        <f>IF(AND(ISNUMBER(F185),ISNUMBER(R185),R185&gt;0),F185/R185,"")</f>
        <v/>
      </c>
      <c r="T185" s="27" t="n">
        <v>46323</v>
      </c>
    </row>
    <row r="186">
      <c r="A186" s="11" t="inlineStr">
        <is>
          <t>MNST</t>
        </is>
      </c>
      <c r="B186" s="11" t="inlineStr">
        <is>
          <t>Monster Beverage Corporation</t>
        </is>
      </c>
      <c r="C186" s="11" t="inlineStr">
        <is>
          <t>Beverages - Non-Alcoholic</t>
        </is>
      </c>
      <c r="D186" s="11" t="inlineStr">
        <is>
          <t>United States</t>
        </is>
      </c>
      <c r="E186" s="12" t="n">
        <v>89.02</v>
      </c>
      <c r="F186" s="13" t="n">
        <v>45.44</v>
      </c>
      <c r="G186" s="13" t="n">
        <v>49.84783</v>
      </c>
      <c r="H186" s="14">
        <f>IF(AND(ISNUMBER(F186),ISNUMBER(G186),F186&gt;0),G186/F186-1,"")</f>
        <v/>
      </c>
      <c r="I186" s="13" t="n">
        <v>35</v>
      </c>
      <c r="J186" s="14">
        <f>IF(AND(ISNUMBER(F186),ISNUMBER(I186),F186&gt;0),I186/F186-1,"")</f>
        <v/>
      </c>
      <c r="K186" s="13" t="n">
        <v>57</v>
      </c>
      <c r="L186" s="14">
        <f>IF(AND(ISNUMBER(F186),ISNUMBER(K186),F186&gt;0),K186/F186-1,"")</f>
        <v/>
      </c>
      <c r="M186" s="15" t="n">
        <v>23</v>
      </c>
      <c r="N186" s="16" t="n"/>
      <c r="O186" s="17">
        <f>IF(AND(ISNUMBER(F186),ISNUMBER(N186),F186&gt;0),N186/F186,"")</f>
        <v/>
      </c>
      <c r="P186" s="18" t="n"/>
      <c r="Q186" s="18" t="n">
        <v>46331</v>
      </c>
      <c r="R186" s="16" t="n">
        <v>1.08</v>
      </c>
      <c r="S186" s="19">
        <f>IF(AND(ISNUMBER(F186),ISNUMBER(R186),R186&gt;0),F186/R186,"")</f>
        <v/>
      </c>
      <c r="T186" s="18" t="n">
        <v>46323</v>
      </c>
    </row>
    <row r="187">
      <c r="A187" s="20" t="inlineStr">
        <is>
          <t>MMM</t>
        </is>
      </c>
      <c r="B187" s="20" t="inlineStr">
        <is>
          <t>3M Company</t>
        </is>
      </c>
      <c r="C187" s="20" t="inlineStr">
        <is>
          <t>Conglomerates</t>
        </is>
      </c>
      <c r="D187" s="20" t="inlineStr">
        <is>
          <t>United States</t>
        </is>
      </c>
      <c r="E187" s="21" t="n">
        <v>88.48999999999999</v>
      </c>
      <c r="F187" s="22" t="n">
        <v>171.58</v>
      </c>
      <c r="G187" s="22" t="n">
        <v>190.09444</v>
      </c>
      <c r="H187" s="23">
        <f>IF(AND(ISNUMBER(F187),ISNUMBER(G187),F187&gt;0),G187/F187-1,"")</f>
        <v/>
      </c>
      <c r="I187" s="22" t="n">
        <v>125</v>
      </c>
      <c r="J187" s="23">
        <f>IF(AND(ISNUMBER(F187),ISNUMBER(I187),F187&gt;0),I187/F187-1,"")</f>
        <v/>
      </c>
      <c r="K187" s="22" t="n">
        <v>230</v>
      </c>
      <c r="L187" s="23">
        <f>IF(AND(ISNUMBER(F187),ISNUMBER(K187),F187&gt;0),K187/F187-1,"")</f>
        <v/>
      </c>
      <c r="M187" s="24" t="n">
        <v>18</v>
      </c>
      <c r="N187" s="25" t="n">
        <v>3.12</v>
      </c>
      <c r="O187" s="26">
        <f>IF(AND(ISNUMBER(F187),ISNUMBER(N187),F187&gt;0),N187/F187,"")</f>
        <v/>
      </c>
      <c r="P187" s="27" t="n">
        <v>46258</v>
      </c>
      <c r="Q187" s="27" t="n">
        <v>46406</v>
      </c>
      <c r="R187" s="25" t="n">
        <v>6.7</v>
      </c>
      <c r="S187" s="28">
        <f>IF(AND(ISNUMBER(F187),ISNUMBER(R187),R187&gt;0),F187/R187,"")</f>
        <v/>
      </c>
      <c r="T187" s="27" t="n">
        <v>46323</v>
      </c>
    </row>
    <row r="188">
      <c r="A188" s="11" t="inlineStr">
        <is>
          <t>APP</t>
        </is>
      </c>
      <c r="B188" s="11" t="inlineStr">
        <is>
          <t>Applovin Corporation</t>
        </is>
      </c>
      <c r="C188" s="11" t="inlineStr">
        <is>
          <t>Advertising Agencies</t>
        </is>
      </c>
      <c r="D188" s="11" t="inlineStr">
        <is>
          <t>United States</t>
        </is>
      </c>
      <c r="E188" s="12" t="n">
        <v>88.29000000000001</v>
      </c>
      <c r="F188" s="13" t="n">
        <v>262.82</v>
      </c>
      <c r="G188" s="13" t="n">
        <v>471.69064</v>
      </c>
      <c r="H188" s="14">
        <f>IF(AND(ISNUMBER(F188),ISNUMBER(G188),F188&gt;0),G188/F188-1,"")</f>
        <v/>
      </c>
      <c r="I188" s="13" t="n">
        <v>325</v>
      </c>
      <c r="J188" s="14">
        <f>IF(AND(ISNUMBER(F188),ISNUMBER(I188),F188&gt;0),I188/F188-1,"")</f>
        <v/>
      </c>
      <c r="K188" s="13" t="n">
        <v>790</v>
      </c>
      <c r="L188" s="14">
        <f>IF(AND(ISNUMBER(F188),ISNUMBER(K188),F188&gt;0),K188/F188-1,"")</f>
        <v/>
      </c>
      <c r="M188" s="15" t="n">
        <v>31</v>
      </c>
      <c r="N188" s="16" t="n"/>
      <c r="O188" s="17">
        <f>IF(AND(ISNUMBER(F188),ISNUMBER(N188),F188&gt;0),N188/F188,"")</f>
        <v/>
      </c>
      <c r="P188" s="18" t="n"/>
      <c r="Q188" s="18" t="n">
        <v>46330</v>
      </c>
      <c r="R188" s="16" t="n">
        <v>13.01</v>
      </c>
      <c r="S188" s="19">
        <f>IF(AND(ISNUMBER(F188),ISNUMBER(R188),R188&gt;0),F188/R188,"")</f>
        <v/>
      </c>
      <c r="T188" s="18" t="n">
        <v>46323</v>
      </c>
    </row>
    <row r="189">
      <c r="A189" s="20" t="inlineStr">
        <is>
          <t>INTU</t>
        </is>
      </c>
      <c r="B189" s="20" t="inlineStr">
        <is>
          <t>Intuit Inc.</t>
        </is>
      </c>
      <c r="C189" s="20" t="inlineStr">
        <is>
          <t>Software - Application</t>
        </is>
      </c>
      <c r="D189" s="20" t="inlineStr">
        <is>
          <t>United States</t>
        </is>
      </c>
      <c r="E189" s="21" t="n">
        <v>87.77</v>
      </c>
      <c r="F189" s="22" t="n">
        <v>328.45</v>
      </c>
      <c r="G189" s="22" t="n">
        <v>407.75934</v>
      </c>
      <c r="H189" s="23">
        <f>IF(AND(ISNUMBER(F189),ISNUMBER(G189),F189&gt;0),G189/F189-1,"")</f>
        <v/>
      </c>
      <c r="I189" s="22" t="n">
        <v>290</v>
      </c>
      <c r="J189" s="23">
        <f>IF(AND(ISNUMBER(F189),ISNUMBER(I189),F189&gt;0),I189/F189-1,"")</f>
        <v/>
      </c>
      <c r="K189" s="22" t="n">
        <v>732</v>
      </c>
      <c r="L189" s="23">
        <f>IF(AND(ISNUMBER(F189),ISNUMBER(K189),F189&gt;0),K189/F189-1,"")</f>
        <v/>
      </c>
      <c r="M189" s="24" t="n">
        <v>31</v>
      </c>
      <c r="N189" s="25" t="n">
        <v>5.52</v>
      </c>
      <c r="O189" s="26">
        <f>IF(AND(ISNUMBER(F189),ISNUMBER(N189),F189&gt;0),N189/F189,"")</f>
        <v/>
      </c>
      <c r="P189" s="27" t="n">
        <v>46303</v>
      </c>
      <c r="Q189" s="27" t="n">
        <v>46345</v>
      </c>
      <c r="R189" s="25" t="n">
        <v>16.46</v>
      </c>
      <c r="S189" s="28">
        <f>IF(AND(ISNUMBER(F189),ISNUMBER(R189),R189&gt;0),F189/R189,"")</f>
        <v/>
      </c>
      <c r="T189" s="27" t="n">
        <v>46323</v>
      </c>
    </row>
    <row r="190">
      <c r="A190" s="11" t="inlineStr">
        <is>
          <t>ICE</t>
        </is>
      </c>
      <c r="B190" s="11" t="inlineStr">
        <is>
          <t>Intercontinental Exchange Inc.</t>
        </is>
      </c>
      <c r="C190" s="11" t="inlineStr">
        <is>
          <t>Financial Data &amp; Stock Exchanges</t>
        </is>
      </c>
      <c r="D190" s="11" t="inlineStr">
        <is>
          <t>United States</t>
        </is>
      </c>
      <c r="E190" s="12" t="n">
        <v>87.26000000000001</v>
      </c>
      <c r="F190" s="13" t="n">
        <v>155.44</v>
      </c>
      <c r="G190" s="13" t="n">
        <v>187.53333</v>
      </c>
      <c r="H190" s="14">
        <f>IF(AND(ISNUMBER(F190),ISNUMBER(G190),F190&gt;0),G190/F190-1,"")</f>
        <v/>
      </c>
      <c r="I190" s="13" t="n">
        <v>160</v>
      </c>
      <c r="J190" s="14">
        <f>IF(AND(ISNUMBER(F190),ISNUMBER(I190),F190&gt;0),I190/F190-1,"")</f>
        <v/>
      </c>
      <c r="K190" s="13" t="n">
        <v>243</v>
      </c>
      <c r="L190" s="14">
        <f>IF(AND(ISNUMBER(F190),ISNUMBER(K190),F190&gt;0),K190/F190-1,"")</f>
        <v/>
      </c>
      <c r="M190" s="15" t="n">
        <v>15</v>
      </c>
      <c r="N190" s="16" t="n">
        <v>2.08</v>
      </c>
      <c r="O190" s="17">
        <f>IF(AND(ISNUMBER(F190),ISNUMBER(N190),F190&gt;0),N190/F190,"")</f>
        <v/>
      </c>
      <c r="P190" s="18" t="n">
        <v>46372</v>
      </c>
      <c r="Q190" s="18" t="n">
        <v>46324</v>
      </c>
      <c r="R190" s="16" t="n">
        <v>7.09</v>
      </c>
      <c r="S190" s="19">
        <f>IF(AND(ISNUMBER(F190),ISNUMBER(R190),R190&gt;0),F190/R190,"")</f>
        <v/>
      </c>
      <c r="T190" s="18" t="n">
        <v>46323</v>
      </c>
    </row>
    <row r="191">
      <c r="A191" s="20" t="inlineStr">
        <is>
          <t>AMT</t>
        </is>
      </c>
      <c r="B191" s="20" t="inlineStr">
        <is>
          <t>American Tower Corporation (REI</t>
        </is>
      </c>
      <c r="C191" s="20" t="inlineStr">
        <is>
          <t>Reit - Specialty</t>
        </is>
      </c>
      <c r="D191" s="20" t="inlineStr">
        <is>
          <t>United States</t>
        </is>
      </c>
      <c r="E191" s="21" t="n">
        <v>85.66</v>
      </c>
      <c r="F191" s="22" t="n">
        <v>183.83</v>
      </c>
      <c r="G191" s="22" t="n">
        <v>215.73914</v>
      </c>
      <c r="H191" s="23">
        <f>IF(AND(ISNUMBER(F191),ISNUMBER(G191),F191&gt;0),G191/F191-1,"")</f>
        <v/>
      </c>
      <c r="I191" s="22" t="n">
        <v>188</v>
      </c>
      <c r="J191" s="23">
        <f>IF(AND(ISNUMBER(F191),ISNUMBER(I191),F191&gt;0),I191/F191-1,"")</f>
        <v/>
      </c>
      <c r="K191" s="22" t="n">
        <v>260</v>
      </c>
      <c r="L191" s="23">
        <f>IF(AND(ISNUMBER(F191),ISNUMBER(K191),F191&gt;0),K191/F191-1,"")</f>
        <v/>
      </c>
      <c r="M191" s="24" t="n">
        <v>23</v>
      </c>
      <c r="N191" s="25" t="n">
        <v>7.16</v>
      </c>
      <c r="O191" s="26">
        <f>IF(AND(ISNUMBER(F191),ISNUMBER(N191),F191&gt;0),N191/F191,"")</f>
        <v/>
      </c>
      <c r="P191" s="27" t="n">
        <v>46295</v>
      </c>
      <c r="Q191" s="27" t="n">
        <v>46322</v>
      </c>
      <c r="R191" s="25" t="n">
        <v>7.27</v>
      </c>
      <c r="S191" s="28">
        <f>IF(AND(ISNUMBER(F191),ISNUMBER(R191),R191&gt;0),F191/R191,"")</f>
        <v/>
      </c>
      <c r="T191" s="27" t="n">
        <v>46323</v>
      </c>
    </row>
    <row r="192">
      <c r="A192" s="11" t="inlineStr">
        <is>
          <t>CTAS</t>
        </is>
      </c>
      <c r="B192" s="11" t="inlineStr">
        <is>
          <t>Cintas Corporation</t>
        </is>
      </c>
      <c r="C192" s="11" t="inlineStr">
        <is>
          <t>Specialty Business Services</t>
        </is>
      </c>
      <c r="D192" s="11" t="inlineStr">
        <is>
          <t>United States</t>
        </is>
      </c>
      <c r="E192" s="12" t="n">
        <v>85.29000000000001</v>
      </c>
      <c r="F192" s="13" t="n">
        <v>214.8</v>
      </c>
      <c r="G192" s="13" t="n">
        <v>218.3125</v>
      </c>
      <c r="H192" s="14">
        <f>IF(AND(ISNUMBER(F192),ISNUMBER(G192),F192&gt;0),G192/F192-1,"")</f>
        <v/>
      </c>
      <c r="I192" s="13" t="n">
        <v>181</v>
      </c>
      <c r="J192" s="14">
        <f>IF(AND(ISNUMBER(F192),ISNUMBER(I192),F192&gt;0),I192/F192-1,"")</f>
        <v/>
      </c>
      <c r="K192" s="13" t="n">
        <v>250</v>
      </c>
      <c r="L192" s="14">
        <f>IF(AND(ISNUMBER(F192),ISNUMBER(K192),F192&gt;0),K192/F192-1,"")</f>
        <v/>
      </c>
      <c r="M192" s="15" t="n">
        <v>16</v>
      </c>
      <c r="N192" s="16" t="n">
        <v>2.08</v>
      </c>
      <c r="O192" s="17">
        <f>IF(AND(ISNUMBER(F192),ISNUMBER(N192),F192&gt;0),N192/F192,"")</f>
        <v/>
      </c>
      <c r="P192" s="18" t="n">
        <v>46248</v>
      </c>
      <c r="Q192" s="18" t="n">
        <v>46373</v>
      </c>
      <c r="R192" s="16" t="n">
        <v>5.07</v>
      </c>
      <c r="S192" s="19">
        <f>IF(AND(ISNUMBER(F192),ISNUMBER(R192),R192&gt;0),F192/R192,"")</f>
        <v/>
      </c>
      <c r="T192" s="18" t="n">
        <v>46323</v>
      </c>
    </row>
    <row r="193">
      <c r="A193" s="20" t="inlineStr">
        <is>
          <t>MELI</t>
        </is>
      </c>
      <c r="B193" s="20" t="inlineStr">
        <is>
          <t>MercadoLibre, Inc.</t>
        </is>
      </c>
      <c r="C193" s="20" t="inlineStr">
        <is>
          <t>Internet Retail</t>
        </is>
      </c>
      <c r="D193" s="20" t="inlineStr">
        <is>
          <t>Uruguay</t>
        </is>
      </c>
      <c r="E193" s="21" t="n">
        <v>85.2</v>
      </c>
      <c r="F193" s="22" t="n">
        <v>1680.51</v>
      </c>
      <c r="G193" s="22" t="n">
        <v>2273.855</v>
      </c>
      <c r="H193" s="23">
        <f>IF(AND(ISNUMBER(F193),ISNUMBER(G193),F193&gt;0),G193/F193-1,"")</f>
        <v/>
      </c>
      <c r="I193" s="22" t="n">
        <v>1750</v>
      </c>
      <c r="J193" s="23">
        <f>IF(AND(ISNUMBER(F193),ISNUMBER(I193),F193&gt;0),I193/F193-1,"")</f>
        <v/>
      </c>
      <c r="K193" s="22" t="n">
        <v>2800</v>
      </c>
      <c r="L193" s="23">
        <f>IF(AND(ISNUMBER(F193),ISNUMBER(K193),F193&gt;0),K193/F193-1,"")</f>
        <v/>
      </c>
      <c r="M193" s="24" t="n">
        <v>26</v>
      </c>
      <c r="N193" s="25" t="n"/>
      <c r="O193" s="26">
        <f>IF(AND(ISNUMBER(F193),ISNUMBER(N193),F193&gt;0),N193/F193,"")</f>
        <v/>
      </c>
      <c r="P193" s="27" t="n"/>
      <c r="Q193" s="27" t="n">
        <v>46330</v>
      </c>
      <c r="R193" s="25" t="n">
        <v>36.77</v>
      </c>
      <c r="S193" s="28">
        <f>IF(AND(ISNUMBER(F193),ISNUMBER(R193),R193&gt;0),F193/R193,"")</f>
        <v/>
      </c>
      <c r="T193" s="27" t="n">
        <v>46323</v>
      </c>
    </row>
    <row r="194">
      <c r="A194" s="11" t="inlineStr">
        <is>
          <t>HOOD</t>
        </is>
      </c>
      <c r="B194" s="11" t="inlineStr">
        <is>
          <t>Robinhood Markets, Inc.</t>
        </is>
      </c>
      <c r="C194" s="11" t="inlineStr">
        <is>
          <t>Capital Markets</t>
        </is>
      </c>
      <c r="D194" s="11" t="inlineStr">
        <is>
          <t>United States</t>
        </is>
      </c>
      <c r="E194" s="12" t="n">
        <v>85.02</v>
      </c>
      <c r="F194" s="13" t="n">
        <v>94.56</v>
      </c>
      <c r="G194" s="13" t="n">
        <v>134.90466</v>
      </c>
      <c r="H194" s="14">
        <f>IF(AND(ISNUMBER(F194),ISNUMBER(G194),F194&gt;0),G194/F194-1,"")</f>
        <v/>
      </c>
      <c r="I194" s="13" t="n">
        <v>57</v>
      </c>
      <c r="J194" s="14">
        <f>IF(AND(ISNUMBER(F194),ISNUMBER(I194),F194&gt;0),I194/F194-1,"")</f>
        <v/>
      </c>
      <c r="K194" s="13" t="n">
        <v>170</v>
      </c>
      <c r="L194" s="14">
        <f>IF(AND(ISNUMBER(F194),ISNUMBER(K194),F194&gt;0),K194/F194-1,"")</f>
        <v/>
      </c>
      <c r="M194" s="15" t="n">
        <v>30</v>
      </c>
      <c r="N194" s="16" t="n"/>
      <c r="O194" s="17">
        <f>IF(AND(ISNUMBER(F194),ISNUMBER(N194),F194&gt;0),N194/F194,"")</f>
        <v/>
      </c>
      <c r="P194" s="18" t="n"/>
      <c r="Q194" s="18" t="n">
        <v>46322</v>
      </c>
      <c r="R194" s="16" t="n">
        <v>2.27</v>
      </c>
      <c r="S194" s="19">
        <f>IF(AND(ISNUMBER(F194),ISNUMBER(R194),R194&gt;0),F194/R194,"")</f>
        <v/>
      </c>
      <c r="T194" s="18" t="n">
        <v>46323</v>
      </c>
    </row>
    <row r="195">
      <c r="A195" s="20" t="inlineStr">
        <is>
          <t>KKR</t>
        </is>
      </c>
      <c r="B195" s="20" t="inlineStr">
        <is>
          <t>KKR &amp; Co. Inc.</t>
        </is>
      </c>
      <c r="C195" s="20" t="inlineStr">
        <is>
          <t>Asset Management</t>
        </is>
      </c>
      <c r="D195" s="20" t="inlineStr">
        <is>
          <t>United States</t>
        </is>
      </c>
      <c r="E195" s="21" t="n">
        <v>84.90000000000001</v>
      </c>
      <c r="F195" s="22" t="n">
        <v>91.92</v>
      </c>
      <c r="G195" s="22" t="n">
        <v>121.00143</v>
      </c>
      <c r="H195" s="23">
        <f>IF(AND(ISNUMBER(F195),ISNUMBER(G195),F195&gt;0),G195/F195-1,"")</f>
        <v/>
      </c>
      <c r="I195" s="22" t="n">
        <v>97</v>
      </c>
      <c r="J195" s="23">
        <f>IF(AND(ISNUMBER(F195),ISNUMBER(I195),F195&gt;0),I195/F195-1,"")</f>
        <v/>
      </c>
      <c r="K195" s="22" t="n">
        <v>163</v>
      </c>
      <c r="L195" s="23">
        <f>IF(AND(ISNUMBER(F195),ISNUMBER(K195),F195&gt;0),K195/F195-1,"")</f>
        <v/>
      </c>
      <c r="M195" s="24" t="n">
        <v>21</v>
      </c>
      <c r="N195" s="25" t="n">
        <v>0.78</v>
      </c>
      <c r="O195" s="26">
        <f>IF(AND(ISNUMBER(F195),ISNUMBER(N195),F195&gt;0),N195/F195,"")</f>
        <v/>
      </c>
      <c r="P195" s="27" t="n">
        <v>46244</v>
      </c>
      <c r="Q195" s="27" t="n">
        <v>46335</v>
      </c>
      <c r="R195" s="25" t="n">
        <v>3.13</v>
      </c>
      <c r="S195" s="28">
        <f>IF(AND(ISNUMBER(F195),ISNUMBER(R195),R195&gt;0),F195/R195,"")</f>
        <v/>
      </c>
      <c r="T195" s="27" t="n">
        <v>46323</v>
      </c>
    </row>
    <row r="196">
      <c r="A196" s="11" t="inlineStr">
        <is>
          <t>BN</t>
        </is>
      </c>
      <c r="B196" s="11" t="inlineStr">
        <is>
          <t>Brookfield Corporation</t>
        </is>
      </c>
      <c r="C196" s="11" t="inlineStr">
        <is>
          <t>Asset Management</t>
        </is>
      </c>
      <c r="D196" s="11" t="inlineStr">
        <is>
          <t>Canada</t>
        </is>
      </c>
      <c r="E196" s="12" t="n">
        <v>84.90000000000001</v>
      </c>
      <c r="F196" s="13" t="n">
        <v>38.03</v>
      </c>
      <c r="G196" s="13" t="n">
        <v>53.75</v>
      </c>
      <c r="H196" s="14">
        <f>IF(AND(ISNUMBER(F196),ISNUMBER(G196),F196&gt;0),G196/F196-1,"")</f>
        <v/>
      </c>
      <c r="I196" s="13" t="n">
        <v>31</v>
      </c>
      <c r="J196" s="14">
        <f>IF(AND(ISNUMBER(F196),ISNUMBER(I196),F196&gt;0),I196/F196-1,"")</f>
        <v/>
      </c>
      <c r="K196" s="13" t="n">
        <v>61</v>
      </c>
      <c r="L196" s="14">
        <f>IF(AND(ISNUMBER(F196),ISNUMBER(K196),F196&gt;0),K196/F196-1,"")</f>
        <v/>
      </c>
      <c r="M196" s="15" t="n">
        <v>10</v>
      </c>
      <c r="N196" s="16" t="n">
        <v>0.28</v>
      </c>
      <c r="O196" s="17">
        <f>IF(AND(ISNUMBER(F196),ISNUMBER(N196),F196&gt;0),N196/F196,"")</f>
        <v/>
      </c>
      <c r="P196" s="18" t="n">
        <v>46279</v>
      </c>
      <c r="Q196" s="18" t="n">
        <v>46338</v>
      </c>
      <c r="R196" s="16" t="n">
        <v>0.54</v>
      </c>
      <c r="S196" s="19">
        <f>IF(AND(ISNUMBER(F196),ISNUMBER(R196),R196&gt;0),F196/R196,"")</f>
        <v/>
      </c>
      <c r="T196" s="18" t="n">
        <v>46323</v>
      </c>
    </row>
    <row r="197">
      <c r="A197" s="20" t="inlineStr">
        <is>
          <t>ITUB</t>
        </is>
      </c>
      <c r="B197" s="20" t="inlineStr">
        <is>
          <t>Itau Unibanco Banco Holding SA</t>
        </is>
      </c>
      <c r="C197" s="20" t="inlineStr">
        <is>
          <t>Banks - Regional</t>
        </is>
      </c>
      <c r="D197" s="20" t="inlineStr">
        <is>
          <t>Brazil</t>
        </is>
      </c>
      <c r="E197" s="21" t="n">
        <v>84.54000000000001</v>
      </c>
      <c r="F197" s="22" t="n">
        <v>7.67</v>
      </c>
      <c r="G197" s="22" t="n">
        <v>9.025</v>
      </c>
      <c r="H197" s="23">
        <f>IF(AND(ISNUMBER(F197),ISNUMBER(G197),F197&gt;0),G197/F197-1,"")</f>
        <v/>
      </c>
      <c r="I197" s="22" t="n">
        <v>6.1</v>
      </c>
      <c r="J197" s="23">
        <f>IF(AND(ISNUMBER(F197),ISNUMBER(I197),F197&gt;0),I197/F197-1,"")</f>
        <v/>
      </c>
      <c r="K197" s="22" t="n">
        <v>10.5</v>
      </c>
      <c r="L197" s="23">
        <f>IF(AND(ISNUMBER(F197),ISNUMBER(K197),F197&gt;0),K197/F197-1,"")</f>
        <v/>
      </c>
      <c r="M197" s="24" t="n">
        <v>8</v>
      </c>
      <c r="N197" s="25" t="n">
        <v>0.17</v>
      </c>
      <c r="O197" s="26">
        <f>IF(AND(ISNUMBER(F197),ISNUMBER(N197),F197&gt;0),N197/F197,"")</f>
        <v/>
      </c>
      <c r="P197" s="27" t="n">
        <v>46330</v>
      </c>
      <c r="Q197" s="27" t="n">
        <v>46329</v>
      </c>
      <c r="R197" s="25" t="n">
        <v>0.78</v>
      </c>
      <c r="S197" s="28">
        <f>IF(AND(ISNUMBER(F197),ISNUMBER(R197),R197&gt;0),F197/R197,"")</f>
        <v/>
      </c>
      <c r="T197" s="27" t="n">
        <v>46323</v>
      </c>
    </row>
    <row r="198">
      <c r="A198" s="11" t="inlineStr">
        <is>
          <t>EOG</t>
        </is>
      </c>
      <c r="B198" s="11" t="inlineStr">
        <is>
          <t>EOG Resources, Inc.</t>
        </is>
      </c>
      <c r="C198" s="11" t="inlineStr">
        <is>
          <t>Oil &amp; Gas E&amp;P</t>
        </is>
      </c>
      <c r="D198" s="11" t="inlineStr">
        <is>
          <t>United States</t>
        </is>
      </c>
      <c r="E198" s="12" t="n">
        <v>84.5</v>
      </c>
      <c r="F198" s="13" t="n">
        <v>161.1</v>
      </c>
      <c r="G198" s="13" t="n">
        <v>166.75862</v>
      </c>
      <c r="H198" s="14">
        <f>IF(AND(ISNUMBER(F198),ISNUMBER(G198),F198&gt;0),G198/F198-1,"")</f>
        <v/>
      </c>
      <c r="I198" s="13" t="n">
        <v>141</v>
      </c>
      <c r="J198" s="14">
        <f>IF(AND(ISNUMBER(F198),ISNUMBER(I198),F198&gt;0),I198/F198-1,"")</f>
        <v/>
      </c>
      <c r="K198" s="13" t="n">
        <v>213</v>
      </c>
      <c r="L198" s="14">
        <f>IF(AND(ISNUMBER(F198),ISNUMBER(K198),F198&gt;0),K198/F198-1,"")</f>
        <v/>
      </c>
      <c r="M198" s="15" t="n">
        <v>29</v>
      </c>
      <c r="N198" s="16" t="n">
        <v>4.08</v>
      </c>
      <c r="O198" s="17">
        <f>IF(AND(ISNUMBER(F198),ISNUMBER(N198),F198&gt;0),N198/F198,"")</f>
        <v/>
      </c>
      <c r="P198" s="18" t="n">
        <v>46311</v>
      </c>
      <c r="Q198" s="18" t="n">
        <v>46331</v>
      </c>
      <c r="R198" s="16" t="n">
        <v>12.85</v>
      </c>
      <c r="S198" s="19">
        <f>IF(AND(ISNUMBER(F198),ISNUMBER(R198),R198&gt;0),F198/R198,"")</f>
        <v/>
      </c>
      <c r="T198" s="18" t="n">
        <v>46323</v>
      </c>
    </row>
    <row r="199">
      <c r="A199" s="20" t="inlineStr">
        <is>
          <t>REGN</t>
        </is>
      </c>
      <c r="B199" s="20" t="inlineStr">
        <is>
          <t>Regeneron Pharmaceuticals, Inc.</t>
        </is>
      </c>
      <c r="C199" s="20" t="inlineStr">
        <is>
          <t>Biotechnology</t>
        </is>
      </c>
      <c r="D199" s="20" t="inlineStr">
        <is>
          <t>United States</t>
        </is>
      </c>
      <c r="E199" s="21" t="n">
        <v>84.02</v>
      </c>
      <c r="F199" s="22" t="n">
        <v>816.1</v>
      </c>
      <c r="G199" s="22" t="n">
        <v>867.3333</v>
      </c>
      <c r="H199" s="23">
        <f>IF(AND(ISNUMBER(F199),ISNUMBER(G199),F199&gt;0),G199/F199-1,"")</f>
        <v/>
      </c>
      <c r="I199" s="22" t="n">
        <v>730</v>
      </c>
      <c r="J199" s="23">
        <f>IF(AND(ISNUMBER(F199),ISNUMBER(I199),F199&gt;0),I199/F199-1,"")</f>
        <v/>
      </c>
      <c r="K199" s="22" t="n">
        <v>1030</v>
      </c>
      <c r="L199" s="23">
        <f>IF(AND(ISNUMBER(F199),ISNUMBER(K199),F199&gt;0),K199/F199-1,"")</f>
        <v/>
      </c>
      <c r="M199" s="24" t="n">
        <v>27</v>
      </c>
      <c r="N199" s="25" t="n">
        <v>3.76</v>
      </c>
      <c r="O199" s="26">
        <f>IF(AND(ISNUMBER(F199),ISNUMBER(N199),F199&gt;0),N199/F199,"")</f>
        <v/>
      </c>
      <c r="P199" s="27" t="n">
        <v>46252</v>
      </c>
      <c r="Q199" s="27" t="n">
        <v>46325</v>
      </c>
      <c r="R199" s="25" t="n">
        <v>40.44</v>
      </c>
      <c r="S199" s="28">
        <f>IF(AND(ISNUMBER(F199),ISNUMBER(R199),R199&gt;0),F199/R199,"")</f>
        <v/>
      </c>
      <c r="T199" s="27" t="n">
        <v>46323</v>
      </c>
    </row>
    <row r="200">
      <c r="A200" s="11" t="inlineStr">
        <is>
          <t>XIACY</t>
        </is>
      </c>
      <c r="B200" s="11" t="inlineStr">
        <is>
          <t>Xiaomi Corp.</t>
        </is>
      </c>
      <c r="C200" s="11" t="inlineStr">
        <is>
          <t>Consumer Electronics</t>
        </is>
      </c>
      <c r="D200" s="11" t="inlineStr">
        <is>
          <t>China</t>
        </is>
      </c>
      <c r="E200" s="12" t="n">
        <v>83.91</v>
      </c>
      <c r="F200" s="13" t="n">
        <v>16.3</v>
      </c>
      <c r="G200" s="13" t="n">
        <v>30.347872</v>
      </c>
      <c r="H200" s="14">
        <f>IF(AND(ISNUMBER(F200),ISNUMBER(G200),F200&gt;0),G200/F200-1,"")</f>
        <v/>
      </c>
      <c r="I200" s="13" t="n">
        <v>30.347872</v>
      </c>
      <c r="J200" s="14">
        <f>IF(AND(ISNUMBER(F200),ISNUMBER(I200),F200&gt;0),I200/F200-1,"")</f>
        <v/>
      </c>
      <c r="K200" s="13" t="n">
        <v>30.347872</v>
      </c>
      <c r="L200" s="14">
        <f>IF(AND(ISNUMBER(F200),ISNUMBER(K200),F200&gt;0),K200/F200-1,"")</f>
        <v/>
      </c>
      <c r="M200" s="15" t="n">
        <v>1</v>
      </c>
      <c r="N200" s="16" t="n"/>
      <c r="O200" s="17">
        <f>IF(AND(ISNUMBER(F200),ISNUMBER(N200),F200&gt;0),N200/F200,"")</f>
        <v/>
      </c>
      <c r="P200" s="18" t="n"/>
      <c r="Q200" s="18" t="n">
        <v>46350</v>
      </c>
      <c r="R200" s="16" t="n">
        <v>0.87</v>
      </c>
      <c r="S200" s="19">
        <f>IF(AND(ISNUMBER(F200),ISNUMBER(R200),R200&gt;0),F200/R200,"")</f>
        <v/>
      </c>
      <c r="T200" s="18" t="n">
        <v>46323</v>
      </c>
    </row>
    <row r="201">
      <c r="A201" s="20" t="inlineStr">
        <is>
          <t>MRNA</t>
        </is>
      </c>
      <c r="B201" s="20" t="inlineStr">
        <is>
          <t>Moderna, Inc.</t>
        </is>
      </c>
      <c r="C201" s="20" t="inlineStr">
        <is>
          <t>Biotechnology</t>
        </is>
      </c>
      <c r="D201" s="20" t="inlineStr">
        <is>
          <t>United States</t>
        </is>
      </c>
      <c r="E201" s="21" t="n">
        <v>83.03</v>
      </c>
      <c r="F201" s="22" t="n">
        <v>207.97</v>
      </c>
      <c r="G201" s="22" t="n">
        <v>138.36842</v>
      </c>
      <c r="H201" s="23">
        <f>IF(AND(ISNUMBER(F201),ISNUMBER(G201),F201&gt;0),G201/F201-1,"")</f>
        <v/>
      </c>
      <c r="I201" s="22" t="n">
        <v>45</v>
      </c>
      <c r="J201" s="23">
        <f>IF(AND(ISNUMBER(F201),ISNUMBER(I201),F201&gt;0),I201/F201-1,"")</f>
        <v/>
      </c>
      <c r="K201" s="22" t="n">
        <v>251</v>
      </c>
      <c r="L201" s="23">
        <f>IF(AND(ISNUMBER(F201),ISNUMBER(K201),F201&gt;0),K201/F201-1,"")</f>
        <v/>
      </c>
      <c r="M201" s="24" t="n">
        <v>19</v>
      </c>
      <c r="N201" s="25" t="n"/>
      <c r="O201" s="26">
        <f>IF(AND(ISNUMBER(F201),ISNUMBER(N201),F201&gt;0),N201/F201,"")</f>
        <v/>
      </c>
      <c r="P201" s="27" t="n"/>
      <c r="Q201" s="27" t="n">
        <v>46332</v>
      </c>
      <c r="R201" s="25" t="n">
        <v>-7.98</v>
      </c>
      <c r="S201" s="28">
        <f>IF(AND(ISNUMBER(F201),ISNUMBER(R201),R201&gt;0),F201/R201,"")</f>
        <v/>
      </c>
      <c r="T201" s="27" t="n">
        <v>46323</v>
      </c>
    </row>
    <row r="202">
      <c r="A202" s="11" t="inlineStr">
        <is>
          <t>NGG</t>
        </is>
      </c>
      <c r="B202" s="11" t="inlineStr">
        <is>
          <t>National Grid Transco, PLC Nati</t>
        </is>
      </c>
      <c r="C202" s="11" t="inlineStr">
        <is>
          <t>Utilities - Regulated Electric</t>
        </is>
      </c>
      <c r="D202" s="11" t="inlineStr">
        <is>
          <t>United Kingdom</t>
        </is>
      </c>
      <c r="E202" s="12" t="n">
        <v>82.2</v>
      </c>
      <c r="F202" s="13" t="n">
        <v>81.76000000000001</v>
      </c>
      <c r="G202" s="13" t="n">
        <v>89.94</v>
      </c>
      <c r="H202" s="14">
        <f>IF(AND(ISNUMBER(F202),ISNUMBER(G202),F202&gt;0),G202/F202-1,"")</f>
        <v/>
      </c>
      <c r="I202" s="13" t="n">
        <v>71</v>
      </c>
      <c r="J202" s="14">
        <f>IF(AND(ISNUMBER(F202),ISNUMBER(I202),F202&gt;0),I202/F202-1,"")</f>
        <v/>
      </c>
      <c r="K202" s="13" t="n">
        <v>98</v>
      </c>
      <c r="L202" s="14">
        <f>IF(AND(ISNUMBER(F202),ISNUMBER(K202),F202&gt;0),K202/F202-1,"")</f>
        <v/>
      </c>
      <c r="M202" s="15" t="n">
        <v>5</v>
      </c>
      <c r="N202" s="16" t="n">
        <v>3.24</v>
      </c>
      <c r="O202" s="17">
        <f>IF(AND(ISNUMBER(F202),ISNUMBER(N202),F202&gt;0),N202/F202,"")</f>
        <v/>
      </c>
      <c r="P202" s="18" t="n">
        <v>46171</v>
      </c>
      <c r="Q202" s="18" t="n">
        <v>46331</v>
      </c>
      <c r="R202" s="16" t="n">
        <v>4.39</v>
      </c>
      <c r="S202" s="19">
        <f>IF(AND(ISNUMBER(F202),ISNUMBER(R202),R202&gt;0),F202/R202,"")</f>
        <v/>
      </c>
      <c r="T202" s="18" t="n">
        <v>46323</v>
      </c>
    </row>
    <row r="203">
      <c r="A203" s="20" t="inlineStr">
        <is>
          <t>BYDDY</t>
        </is>
      </c>
      <c r="B203" s="20" t="inlineStr">
        <is>
          <t>BYD Co., Ltd.</t>
        </is>
      </c>
      <c r="C203" s="20" t="inlineStr">
        <is>
          <t>Auto Manufacturers</t>
        </is>
      </c>
      <c r="D203" s="20" t="inlineStr">
        <is>
          <t>China</t>
        </is>
      </c>
      <c r="E203" s="21" t="n">
        <v>81.78</v>
      </c>
      <c r="F203" s="22" t="n">
        <v>8.970000000000001</v>
      </c>
      <c r="G203" s="22" t="n">
        <v>16</v>
      </c>
      <c r="H203" s="23">
        <f>IF(AND(ISNUMBER(F203),ISNUMBER(G203),F203&gt;0),G203/F203-1,"")</f>
        <v/>
      </c>
      <c r="I203" s="22" t="n">
        <v>16</v>
      </c>
      <c r="J203" s="23">
        <f>IF(AND(ISNUMBER(F203),ISNUMBER(I203),F203&gt;0),I203/F203-1,"")</f>
        <v/>
      </c>
      <c r="K203" s="22" t="n">
        <v>16</v>
      </c>
      <c r="L203" s="23">
        <f>IF(AND(ISNUMBER(F203),ISNUMBER(K203),F203&gt;0),K203/F203-1,"")</f>
        <v/>
      </c>
      <c r="M203" s="24" t="n">
        <v>1</v>
      </c>
      <c r="N203" s="25" t="n">
        <v>0.05</v>
      </c>
      <c r="O203" s="26">
        <f>IF(AND(ISNUMBER(F203),ISNUMBER(N203),F203&gt;0),N203/F203,"")</f>
        <v/>
      </c>
      <c r="P203" s="27" t="n">
        <v>46185</v>
      </c>
      <c r="Q203" s="27" t="n">
        <v>46324</v>
      </c>
      <c r="R203" s="25" t="n">
        <v>0.45</v>
      </c>
      <c r="S203" s="28">
        <f>IF(AND(ISNUMBER(F203),ISNUMBER(R203),R203&gt;0),F203/R203,"")</f>
        <v/>
      </c>
      <c r="T203" s="27" t="n">
        <v>46323</v>
      </c>
    </row>
    <row r="204">
      <c r="A204" s="11" t="inlineStr">
        <is>
          <t>MCO</t>
        </is>
      </c>
      <c r="B204" s="11" t="inlineStr">
        <is>
          <t>Moody's Corporation</t>
        </is>
      </c>
      <c r="C204" s="11" t="inlineStr">
        <is>
          <t>Financial Data &amp; Stock Exchanges</t>
        </is>
      </c>
      <c r="D204" s="11" t="inlineStr">
        <is>
          <t>United States</t>
        </is>
      </c>
      <c r="E204" s="12" t="n">
        <v>81.73</v>
      </c>
      <c r="F204" s="13" t="n">
        <v>474</v>
      </c>
      <c r="G204" s="13" t="n">
        <v>552.1429000000001</v>
      </c>
      <c r="H204" s="14">
        <f>IF(AND(ISNUMBER(F204),ISNUMBER(G204),F204&gt;0),G204/F204-1,"")</f>
        <v/>
      </c>
      <c r="I204" s="13" t="n">
        <v>480</v>
      </c>
      <c r="J204" s="14">
        <f>IF(AND(ISNUMBER(F204),ISNUMBER(I204),F204&gt;0),I204/F204-1,"")</f>
        <v/>
      </c>
      <c r="K204" s="13" t="n">
        <v>600</v>
      </c>
      <c r="L204" s="14">
        <f>IF(AND(ISNUMBER(F204),ISNUMBER(K204),F204&gt;0),K204/F204-1,"")</f>
        <v/>
      </c>
      <c r="M204" s="15" t="n">
        <v>21</v>
      </c>
      <c r="N204" s="16" t="n">
        <v>4.12</v>
      </c>
      <c r="O204" s="17">
        <f>IF(AND(ISNUMBER(F204),ISNUMBER(N204),F204&gt;0),N204/F204,"")</f>
        <v/>
      </c>
      <c r="P204" s="18" t="n">
        <v>46248</v>
      </c>
      <c r="Q204" s="18" t="n">
        <v>46316</v>
      </c>
      <c r="R204" s="16" t="n">
        <v>16.73</v>
      </c>
      <c r="S204" s="19">
        <f>IF(AND(ISNUMBER(F204),ISNUMBER(R204),R204&gt;0),F204/R204,"")</f>
        <v/>
      </c>
      <c r="T204" s="18" t="n">
        <v>46323</v>
      </c>
    </row>
    <row r="205">
      <c r="A205" s="20" t="inlineStr">
        <is>
          <t>ECL</t>
        </is>
      </c>
      <c r="B205" s="20" t="inlineStr">
        <is>
          <t>Ecolab Inc.</t>
        </is>
      </c>
      <c r="C205" s="20" t="inlineStr">
        <is>
          <t>Specialty Chemicals</t>
        </is>
      </c>
      <c r="D205" s="20" t="inlineStr">
        <is>
          <t>United States</t>
        </is>
      </c>
      <c r="E205" s="21" t="n">
        <v>81.65000000000001</v>
      </c>
      <c r="F205" s="22" t="n">
        <v>291.27</v>
      </c>
      <c r="G205" s="22" t="n">
        <v>325.0476</v>
      </c>
      <c r="H205" s="23">
        <f>IF(AND(ISNUMBER(F205),ISNUMBER(G205),F205&gt;0),G205/F205-1,"")</f>
        <v/>
      </c>
      <c r="I205" s="22" t="n">
        <v>295</v>
      </c>
      <c r="J205" s="23">
        <f>IF(AND(ISNUMBER(F205),ISNUMBER(I205),F205&gt;0),I205/F205-1,"")</f>
        <v/>
      </c>
      <c r="K205" s="22" t="n">
        <v>360</v>
      </c>
      <c r="L205" s="23">
        <f>IF(AND(ISNUMBER(F205),ISNUMBER(K205),F205&gt;0),K205/F205-1,"")</f>
        <v/>
      </c>
      <c r="M205" s="24" t="n">
        <v>21</v>
      </c>
      <c r="N205" s="25" t="n">
        <v>2.92</v>
      </c>
      <c r="O205" s="26">
        <f>IF(AND(ISNUMBER(F205),ISNUMBER(N205),F205&gt;0),N205/F205,"")</f>
        <v/>
      </c>
      <c r="P205" s="27" t="n">
        <v>46280</v>
      </c>
      <c r="Q205" s="27" t="n">
        <v>46322</v>
      </c>
      <c r="R205" s="25" t="n">
        <v>7.46</v>
      </c>
      <c r="S205" s="28">
        <f>IF(AND(ISNUMBER(F205),ISNUMBER(R205),R205&gt;0),F205/R205,"")</f>
        <v/>
      </c>
      <c r="T205" s="27" t="n">
        <v>46323</v>
      </c>
    </row>
    <row r="206">
      <c r="A206" s="11" t="inlineStr">
        <is>
          <t>TRV</t>
        </is>
      </c>
      <c r="B206" s="11" t="inlineStr">
        <is>
          <t>The Travelers Companies, Inc.</t>
        </is>
      </c>
      <c r="C206" s="11" t="inlineStr">
        <is>
          <t>Insurance - Property &amp; Casualty</t>
        </is>
      </c>
      <c r="D206" s="11" t="inlineStr">
        <is>
          <t>United States</t>
        </is>
      </c>
      <c r="E206" s="12" t="n">
        <v>81.34999999999999</v>
      </c>
      <c r="F206" s="13" t="n">
        <v>397.03</v>
      </c>
      <c r="G206" s="13" t="n">
        <v>376.54166</v>
      </c>
      <c r="H206" s="14">
        <f>IF(AND(ISNUMBER(F206),ISNUMBER(G206),F206&gt;0),G206/F206-1,"")</f>
        <v/>
      </c>
      <c r="I206" s="13" t="n">
        <v>262</v>
      </c>
      <c r="J206" s="14">
        <f>IF(AND(ISNUMBER(F206),ISNUMBER(I206),F206&gt;0),I206/F206-1,"")</f>
        <v/>
      </c>
      <c r="K206" s="13" t="n">
        <v>460</v>
      </c>
      <c r="L206" s="14">
        <f>IF(AND(ISNUMBER(F206),ISNUMBER(K206),F206&gt;0),K206/F206-1,"")</f>
        <v/>
      </c>
      <c r="M206" s="15" t="n">
        <v>24</v>
      </c>
      <c r="N206" s="16" t="n">
        <v>5</v>
      </c>
      <c r="O206" s="17">
        <f>IF(AND(ISNUMBER(F206),ISNUMBER(N206),F206&gt;0),N206/F206,"")</f>
        <v/>
      </c>
      <c r="P206" s="18" t="n">
        <v>46366</v>
      </c>
      <c r="Q206" s="18" t="n">
        <v>46311</v>
      </c>
      <c r="R206" s="16" t="n">
        <v>38.03</v>
      </c>
      <c r="S206" s="19">
        <f>IF(AND(ISNUMBER(F206),ISNUMBER(R206),R206&gt;0),F206/R206,"")</f>
        <v/>
      </c>
      <c r="T206" s="18" t="n">
        <v>46323</v>
      </c>
    </row>
    <row r="207">
      <c r="A207" s="20" t="inlineStr">
        <is>
          <t>HPE</t>
        </is>
      </c>
      <c r="B207" s="20" t="inlineStr">
        <is>
          <t>Hewlett Packard Enterprise Comp</t>
        </is>
      </c>
      <c r="C207" s="20" t="inlineStr">
        <is>
          <t>Communication Equipment</t>
        </is>
      </c>
      <c r="D207" s="20" t="inlineStr">
        <is>
          <t>United States</t>
        </is>
      </c>
      <c r="E207" s="21" t="n">
        <v>80.76000000000001</v>
      </c>
      <c r="F207" s="22" t="n">
        <v>60.84</v>
      </c>
      <c r="G207" s="22" t="n">
        <v>71.74238</v>
      </c>
      <c r="H207" s="23">
        <f>IF(AND(ISNUMBER(F207),ISNUMBER(G207),F207&gt;0),G207/F207-1,"")</f>
        <v/>
      </c>
      <c r="I207" s="22" t="n">
        <v>52.59</v>
      </c>
      <c r="J207" s="23">
        <f>IF(AND(ISNUMBER(F207),ISNUMBER(I207),F207&gt;0),I207/F207-1,"")</f>
        <v/>
      </c>
      <c r="K207" s="22" t="n">
        <v>92</v>
      </c>
      <c r="L207" s="23">
        <f>IF(AND(ISNUMBER(F207),ISNUMBER(K207),F207&gt;0),K207/F207-1,"")</f>
        <v/>
      </c>
      <c r="M207" s="24" t="n">
        <v>21</v>
      </c>
      <c r="N207" s="25" t="n">
        <v>0.57</v>
      </c>
      <c r="O207" s="26">
        <f>IF(AND(ISNUMBER(F207),ISNUMBER(N207),F207&gt;0),N207/F207,"")</f>
        <v/>
      </c>
      <c r="P207" s="27" t="n">
        <v>46282</v>
      </c>
      <c r="Q207" s="27" t="n">
        <v>46267</v>
      </c>
      <c r="R207" s="25" t="n">
        <v>1.94</v>
      </c>
      <c r="S207" s="28">
        <f>IF(AND(ISNUMBER(F207),ISNUMBER(R207),R207&gt;0),F207/R207,"")</f>
        <v/>
      </c>
      <c r="T207" s="27" t="n">
        <v>46323</v>
      </c>
    </row>
    <row r="208">
      <c r="A208" s="11" t="inlineStr">
        <is>
          <t>SPG</t>
        </is>
      </c>
      <c r="B208" s="11" t="inlineStr">
        <is>
          <t>Simon Property Group, Inc.</t>
        </is>
      </c>
      <c r="C208" s="11" t="inlineStr">
        <is>
          <t>Reit - Retail</t>
        </is>
      </c>
      <c r="D208" s="11" t="inlineStr">
        <is>
          <t>United States</t>
        </is>
      </c>
      <c r="E208" s="12" t="n">
        <v>80.59</v>
      </c>
      <c r="F208" s="13" t="n">
        <v>212.28</v>
      </c>
      <c r="G208" s="13" t="n">
        <v>228.89474</v>
      </c>
      <c r="H208" s="14">
        <f>IF(AND(ISNUMBER(F208),ISNUMBER(G208),F208&gt;0),G208/F208-1,"")</f>
        <v/>
      </c>
      <c r="I208" s="13" t="n">
        <v>205</v>
      </c>
      <c r="J208" s="14">
        <f>IF(AND(ISNUMBER(F208),ISNUMBER(I208),F208&gt;0),I208/F208-1,"")</f>
        <v/>
      </c>
      <c r="K208" s="13" t="n">
        <v>275</v>
      </c>
      <c r="L208" s="14">
        <f>IF(AND(ISNUMBER(F208),ISNUMBER(K208),F208&gt;0),K208/F208-1,"")</f>
        <v/>
      </c>
      <c r="M208" s="15" t="n">
        <v>19</v>
      </c>
      <c r="N208" s="16" t="n">
        <v>8.9</v>
      </c>
      <c r="O208" s="17">
        <f>IF(AND(ISNUMBER(F208),ISNUMBER(N208),F208&gt;0),N208/F208,"")</f>
        <v/>
      </c>
      <c r="P208" s="18" t="n">
        <v>46274</v>
      </c>
      <c r="Q208" s="18" t="n">
        <v>46331</v>
      </c>
      <c r="R208" s="16" t="n">
        <v>14.17</v>
      </c>
      <c r="S208" s="19">
        <f>IF(AND(ISNUMBER(F208),ISNUMBER(R208),R208&gt;0),F208/R208,"")</f>
        <v/>
      </c>
      <c r="T208" s="18" t="n">
        <v>46323</v>
      </c>
    </row>
    <row r="209">
      <c r="A209" s="20" t="inlineStr">
        <is>
          <t>VRT</t>
        </is>
      </c>
      <c r="B209" s="20" t="inlineStr">
        <is>
          <t>Vertiv Holdings, LLC</t>
        </is>
      </c>
      <c r="C209" s="20" t="inlineStr">
        <is>
          <t>Electrical Equipment &amp; Parts</t>
        </is>
      </c>
      <c r="D209" s="20" t="inlineStr">
        <is>
          <t>United States</t>
        </is>
      </c>
      <c r="E209" s="21" t="n">
        <v>80.29000000000001</v>
      </c>
      <c r="F209" s="22" t="n">
        <v>208.56</v>
      </c>
      <c r="G209" s="22" t="n">
        <v>333</v>
      </c>
      <c r="H209" s="23">
        <f>IF(AND(ISNUMBER(F209),ISNUMBER(G209),F209&gt;0),G209/F209-1,"")</f>
        <v/>
      </c>
      <c r="I209" s="22" t="n">
        <v>236</v>
      </c>
      <c r="J209" s="23">
        <f>IF(AND(ISNUMBER(F209),ISNUMBER(I209),F209&gt;0),I209/F209-1,"")</f>
        <v/>
      </c>
      <c r="K209" s="22" t="n">
        <v>427</v>
      </c>
      <c r="L209" s="23">
        <f>IF(AND(ISNUMBER(F209),ISNUMBER(K209),F209&gt;0),K209/F209-1,"")</f>
        <v/>
      </c>
      <c r="M209" s="24" t="n">
        <v>28</v>
      </c>
      <c r="N209" s="25" t="n">
        <v>0.25</v>
      </c>
      <c r="O209" s="26">
        <f>IF(AND(ISNUMBER(F209),ISNUMBER(N209),F209&gt;0),N209/F209,"")</f>
        <v/>
      </c>
      <c r="P209" s="27" t="n">
        <v>46279</v>
      </c>
      <c r="Q209" s="27" t="n">
        <v>46323</v>
      </c>
      <c r="R209" s="25" t="n">
        <v>4.54</v>
      </c>
      <c r="S209" s="28">
        <f>IF(AND(ISNUMBER(F209),ISNUMBER(R209),R209&gt;0),F209/R209,"")</f>
        <v/>
      </c>
      <c r="T209" s="27" t="n">
        <v>46323</v>
      </c>
    </row>
    <row r="210">
      <c r="A210" s="11" t="inlineStr">
        <is>
          <t>EPD</t>
        </is>
      </c>
      <c r="B210" s="11" t="inlineStr">
        <is>
          <t>Enterprise Products Partners L.</t>
        </is>
      </c>
      <c r="C210" s="11" t="inlineStr">
        <is>
          <t>Oil &amp; Gas Midstream</t>
        </is>
      </c>
      <c r="D210" s="11" t="inlineStr">
        <is>
          <t>United States</t>
        </is>
      </c>
      <c r="E210" s="12" t="n">
        <v>80.27</v>
      </c>
      <c r="F210" s="13" t="n">
        <v>37.17</v>
      </c>
      <c r="G210" s="13" t="n">
        <v>41.28571</v>
      </c>
      <c r="H210" s="14">
        <f>IF(AND(ISNUMBER(F210),ISNUMBER(G210),F210&gt;0),G210/F210-1,"")</f>
        <v/>
      </c>
      <c r="I210" s="13" t="n">
        <v>38</v>
      </c>
      <c r="J210" s="14">
        <f>IF(AND(ISNUMBER(F210),ISNUMBER(I210),F210&gt;0),I210/F210-1,"")</f>
        <v/>
      </c>
      <c r="K210" s="13" t="n">
        <v>46</v>
      </c>
      <c r="L210" s="14">
        <f>IF(AND(ISNUMBER(F210),ISNUMBER(K210),F210&gt;0),K210/F210-1,"")</f>
        <v/>
      </c>
      <c r="M210" s="15" t="n">
        <v>21</v>
      </c>
      <c r="N210" s="16" t="n">
        <v>2.24</v>
      </c>
      <c r="O210" s="17">
        <f>IF(AND(ISNUMBER(F210),ISNUMBER(N210),F210&gt;0),N210/F210,"")</f>
        <v/>
      </c>
      <c r="P210" s="18" t="n">
        <v>46325</v>
      </c>
      <c r="Q210" s="18" t="n">
        <v>46324</v>
      </c>
      <c r="R210" s="16" t="n">
        <v>2.88</v>
      </c>
      <c r="S210" s="19">
        <f>IF(AND(ISNUMBER(F210),ISNUMBER(R210),R210&gt;0),F210/R210,"")</f>
        <v/>
      </c>
      <c r="T210" s="18" t="n">
        <v>46323</v>
      </c>
    </row>
    <row r="211">
      <c r="A211" s="20" t="inlineStr">
        <is>
          <t>CP</t>
        </is>
      </c>
      <c r="B211" s="20" t="inlineStr">
        <is>
          <t>Canadian Pacific Kansas City Li</t>
        </is>
      </c>
      <c r="C211" s="20" t="inlineStr">
        <is>
          <t>Railroads</t>
        </is>
      </c>
      <c r="D211" s="20" t="inlineStr">
        <is>
          <t>Canada</t>
        </is>
      </c>
      <c r="E211" s="21" t="n">
        <v>80.11</v>
      </c>
      <c r="F211" s="22" t="n">
        <v>91.13</v>
      </c>
      <c r="G211" s="22" t="n">
        <v>99.03176000000001</v>
      </c>
      <c r="H211" s="23">
        <f>IF(AND(ISNUMBER(F211),ISNUMBER(G211),F211&gt;0),G211/F211-1,"")</f>
        <v/>
      </c>
      <c r="I211" s="22" t="n">
        <v>74.84723</v>
      </c>
      <c r="J211" s="23">
        <f>IF(AND(ISNUMBER(F211),ISNUMBER(I211),F211&gt;0),I211/F211-1,"")</f>
        <v/>
      </c>
      <c r="K211" s="22" t="n">
        <v>106.21599</v>
      </c>
      <c r="L211" s="23">
        <f>IF(AND(ISNUMBER(F211),ISNUMBER(K211),F211&gt;0),K211/F211-1,"")</f>
        <v/>
      </c>
      <c r="M211" s="24" t="n">
        <v>13</v>
      </c>
      <c r="N211" s="25" t="n">
        <v>0.76</v>
      </c>
      <c r="O211" s="26">
        <f>IF(AND(ISNUMBER(F211),ISNUMBER(N211),F211&gt;0),N211/F211,"")</f>
        <v/>
      </c>
      <c r="P211" s="27" t="n">
        <v>46290</v>
      </c>
      <c r="Q211" s="27" t="n">
        <v>46323</v>
      </c>
      <c r="R211" s="25" t="n">
        <v>3.11</v>
      </c>
      <c r="S211" s="28">
        <f>IF(AND(ISNUMBER(F211),ISNUMBER(R211),R211&gt;0),F211/R211,"")</f>
        <v/>
      </c>
      <c r="T211" s="27" t="n">
        <v>46323</v>
      </c>
    </row>
    <row r="212">
      <c r="A212" s="11" t="inlineStr">
        <is>
          <t>MSI</t>
        </is>
      </c>
      <c r="B212" s="11" t="inlineStr">
        <is>
          <t>Motorola Solutions, Inc.</t>
        </is>
      </c>
      <c r="C212" s="11" t="inlineStr">
        <is>
          <t>Communication Equipment</t>
        </is>
      </c>
      <c r="D212" s="11" t="inlineStr">
        <is>
          <t>United States</t>
        </is>
      </c>
      <c r="E212" s="12" t="n">
        <v>80.03</v>
      </c>
      <c r="F212" s="13" t="n">
        <v>483.61</v>
      </c>
      <c r="G212" s="13" t="n">
        <v>526.9091</v>
      </c>
      <c r="H212" s="14">
        <f>IF(AND(ISNUMBER(F212),ISNUMBER(G212),F212&gt;0),G212/F212-1,"")</f>
        <v/>
      </c>
      <c r="I212" s="13" t="n">
        <v>476</v>
      </c>
      <c r="J212" s="14">
        <f>IF(AND(ISNUMBER(F212),ISNUMBER(I212),F212&gt;0),I212/F212-1,"")</f>
        <v/>
      </c>
      <c r="K212" s="13" t="n">
        <v>550</v>
      </c>
      <c r="L212" s="14">
        <f>IF(AND(ISNUMBER(F212),ISNUMBER(K212),F212&gt;0),K212/F212-1,"")</f>
        <v/>
      </c>
      <c r="M212" s="15" t="n">
        <v>11</v>
      </c>
      <c r="N212" s="16" t="n">
        <v>4.84</v>
      </c>
      <c r="O212" s="17">
        <f>IF(AND(ISNUMBER(F212),ISNUMBER(N212),F212&gt;0),N212/F212,"")</f>
        <v/>
      </c>
      <c r="P212" s="18" t="n">
        <v>46281</v>
      </c>
      <c r="Q212" s="18" t="n">
        <v>46330</v>
      </c>
      <c r="R212" s="16" t="n">
        <v>12.7</v>
      </c>
      <c r="S212" s="19">
        <f>IF(AND(ISNUMBER(F212),ISNUMBER(R212),R212&gt;0),F212/R212,"")</f>
        <v/>
      </c>
      <c r="T212" s="18" t="n">
        <v>46323</v>
      </c>
    </row>
    <row r="213">
      <c r="A213" s="20" t="inlineStr">
        <is>
          <t>SLB</t>
        </is>
      </c>
      <c r="B213" s="20" t="inlineStr">
        <is>
          <t>SLB Limited</t>
        </is>
      </c>
      <c r="C213" s="20" t="inlineStr">
        <is>
          <t>Oil &amp; Gas Equipment &amp; Services</t>
        </is>
      </c>
      <c r="D213" s="20" t="inlineStr">
        <is>
          <t>United States</t>
        </is>
      </c>
      <c r="E213" s="21" t="n">
        <v>79.81999999999999</v>
      </c>
      <c r="F213" s="22" t="n">
        <v>54.08</v>
      </c>
      <c r="G213" s="22" t="n">
        <v>62.37931</v>
      </c>
      <c r="H213" s="23">
        <f>IF(AND(ISNUMBER(F213),ISNUMBER(G213),F213&gt;0),G213/F213-1,"")</f>
        <v/>
      </c>
      <c r="I213" s="22" t="n">
        <v>44</v>
      </c>
      <c r="J213" s="23">
        <f>IF(AND(ISNUMBER(F213),ISNUMBER(I213),F213&gt;0),I213/F213-1,"")</f>
        <v/>
      </c>
      <c r="K213" s="22" t="n">
        <v>71</v>
      </c>
      <c r="L213" s="23">
        <f>IF(AND(ISNUMBER(F213),ISNUMBER(K213),F213&gt;0),K213/F213-1,"")</f>
        <v/>
      </c>
      <c r="M213" s="24" t="n">
        <v>29</v>
      </c>
      <c r="N213" s="25" t="n">
        <v>1.18</v>
      </c>
      <c r="O213" s="26">
        <f>IF(AND(ISNUMBER(F213),ISNUMBER(N213),F213&gt;0),N213/F213,"")</f>
        <v/>
      </c>
      <c r="P213" s="27" t="n">
        <v>46358</v>
      </c>
      <c r="Q213" s="27" t="n">
        <v>46409</v>
      </c>
      <c r="R213" s="25" t="n">
        <v>2.07</v>
      </c>
      <c r="S213" s="28">
        <f>IF(AND(ISNUMBER(F213),ISNUMBER(R213),R213&gt;0),F213/R213,"")</f>
        <v/>
      </c>
      <c r="T213" s="27" t="n">
        <v>46323</v>
      </c>
    </row>
    <row r="214">
      <c r="A214" s="11" t="inlineStr">
        <is>
          <t>MDLZ</t>
        </is>
      </c>
      <c r="B214" s="11" t="inlineStr">
        <is>
          <t>Mondelez International, Inc.</t>
        </is>
      </c>
      <c r="C214" s="11" t="inlineStr">
        <is>
          <t>Confectioners</t>
        </is>
      </c>
      <c r="D214" s="11" t="inlineStr">
        <is>
          <t>United States</t>
        </is>
      </c>
      <c r="E214" s="12" t="n">
        <v>79.58</v>
      </c>
      <c r="F214" s="13" t="n">
        <v>62.35</v>
      </c>
      <c r="G214" s="13" t="n">
        <v>69.09090999999999</v>
      </c>
      <c r="H214" s="14">
        <f>IF(AND(ISNUMBER(F214),ISNUMBER(G214),F214&gt;0),G214/F214-1,"")</f>
        <v/>
      </c>
      <c r="I214" s="13" t="n">
        <v>55</v>
      </c>
      <c r="J214" s="14">
        <f>IF(AND(ISNUMBER(F214),ISNUMBER(I214),F214&gt;0),I214/F214-1,"")</f>
        <v/>
      </c>
      <c r="K214" s="13" t="n">
        <v>77</v>
      </c>
      <c r="L214" s="14">
        <f>IF(AND(ISNUMBER(F214),ISNUMBER(K214),F214&gt;0),K214/F214-1,"")</f>
        <v/>
      </c>
      <c r="M214" s="15" t="n">
        <v>22</v>
      </c>
      <c r="N214" s="16" t="n">
        <v>2.08</v>
      </c>
      <c r="O214" s="17">
        <f>IF(AND(ISNUMBER(F214),ISNUMBER(N214),F214&gt;0),N214/F214,"")</f>
        <v/>
      </c>
      <c r="P214" s="18" t="n">
        <v>46295</v>
      </c>
      <c r="Q214" s="18" t="n">
        <v>46324</v>
      </c>
      <c r="R214" s="16" t="n">
        <v>2.72</v>
      </c>
      <c r="S214" s="19">
        <f>IF(AND(ISNUMBER(F214),ISNUMBER(R214),R214&gt;0),F214/R214,"")</f>
        <v/>
      </c>
      <c r="T214" s="18" t="n">
        <v>46323</v>
      </c>
    </row>
    <row r="215">
      <c r="A215" s="20" t="inlineStr">
        <is>
          <t>BAESY</t>
        </is>
      </c>
      <c r="B215" s="20" t="inlineStr">
        <is>
          <t>BAE Systems PLC</t>
        </is>
      </c>
      <c r="C215" s="20" t="inlineStr">
        <is>
          <t>Aerospace &amp; Defense</t>
        </is>
      </c>
      <c r="D215" s="20" t="inlineStr">
        <is>
          <t>United Kingdom</t>
        </is>
      </c>
      <c r="E215" s="21" t="n">
        <v>79.36</v>
      </c>
      <c r="F215" s="22" t="n">
        <v>108.52</v>
      </c>
      <c r="G215" s="22" t="n">
        <v>126.52267</v>
      </c>
      <c r="H215" s="23">
        <f>IF(AND(ISNUMBER(F215),ISNUMBER(G215),F215&gt;0),G215/F215-1,"")</f>
        <v/>
      </c>
      <c r="I215" s="22" t="n">
        <v>113</v>
      </c>
      <c r="J215" s="23">
        <f>IF(AND(ISNUMBER(F215),ISNUMBER(I215),F215&gt;0),I215/F215-1,"")</f>
        <v/>
      </c>
      <c r="K215" s="22" t="n">
        <v>140</v>
      </c>
      <c r="L215" s="23">
        <f>IF(AND(ISNUMBER(F215),ISNUMBER(K215),F215&gt;0),K215/F215-1,"")</f>
        <v/>
      </c>
      <c r="M215" s="24" t="n">
        <v>3</v>
      </c>
      <c r="N215" s="25" t="n">
        <v>2.02</v>
      </c>
      <c r="O215" s="26">
        <f>IF(AND(ISNUMBER(F215),ISNUMBER(N215),F215&gt;0),N215/F215,"")</f>
        <v/>
      </c>
      <c r="P215" s="27" t="n">
        <v>46318</v>
      </c>
      <c r="Q215" s="27" t="n">
        <v>46233</v>
      </c>
      <c r="R215" s="25" t="n">
        <v>3.75</v>
      </c>
      <c r="S215" s="28">
        <f>IF(AND(ISNUMBER(F215),ISNUMBER(R215),R215&gt;0),F215/R215,"")</f>
        <v/>
      </c>
      <c r="T215" s="27" t="n">
        <v>46323</v>
      </c>
    </row>
    <row r="216">
      <c r="A216" s="11" t="inlineStr">
        <is>
          <t>RCL</t>
        </is>
      </c>
      <c r="B216" s="11" t="inlineStr">
        <is>
          <t>Royal Caribbean Cruises Ltd.</t>
        </is>
      </c>
      <c r="C216" s="11" t="inlineStr">
        <is>
          <t>Travel Services</t>
        </is>
      </c>
      <c r="D216" s="11" t="inlineStr">
        <is>
          <t>United States</t>
        </is>
      </c>
      <c r="E216" s="12" t="n">
        <v>79.14</v>
      </c>
      <c r="F216" s="13" t="n">
        <v>295.92</v>
      </c>
      <c r="G216" s="13" t="n">
        <v>350.1111</v>
      </c>
      <c r="H216" s="14">
        <f>IF(AND(ISNUMBER(F216),ISNUMBER(G216),F216&gt;0),G216/F216-1,"")</f>
        <v/>
      </c>
      <c r="I216" s="13" t="n">
        <v>262</v>
      </c>
      <c r="J216" s="14">
        <f>IF(AND(ISNUMBER(F216),ISNUMBER(I216),F216&gt;0),I216/F216-1,"")</f>
        <v/>
      </c>
      <c r="K216" s="13" t="n">
        <v>425</v>
      </c>
      <c r="L216" s="14">
        <f>IF(AND(ISNUMBER(F216),ISNUMBER(K216),F216&gt;0),K216/F216-1,"")</f>
        <v/>
      </c>
      <c r="M216" s="15" t="n">
        <v>27</v>
      </c>
      <c r="N216" s="16" t="n">
        <v>6</v>
      </c>
      <c r="O216" s="17">
        <f>IF(AND(ISNUMBER(F216),ISNUMBER(N216),F216&gt;0),N216/F216,"")</f>
        <v/>
      </c>
      <c r="P216" s="18" t="n">
        <v>46282</v>
      </c>
      <c r="Q216" s="18" t="n">
        <v>46322</v>
      </c>
      <c r="R216" s="16" t="n">
        <v>16.2</v>
      </c>
      <c r="S216" s="19">
        <f>IF(AND(ISNUMBER(F216),ISNUMBER(R216),R216&gt;0),F216/R216,"")</f>
        <v/>
      </c>
      <c r="T216" s="18" t="n">
        <v>46323</v>
      </c>
    </row>
    <row r="217">
      <c r="A217" s="20" t="inlineStr">
        <is>
          <t>SHW</t>
        </is>
      </c>
      <c r="B217" s="20" t="inlineStr">
        <is>
          <t>Sherwin-Williams Company (The)</t>
        </is>
      </c>
      <c r="C217" s="20" t="inlineStr">
        <is>
          <t>Specialty Chemicals</t>
        </is>
      </c>
      <c r="D217" s="20" t="inlineStr">
        <is>
          <t>United States</t>
        </is>
      </c>
      <c r="E217" s="21" t="n">
        <v>79.14</v>
      </c>
      <c r="F217" s="22" t="n">
        <v>326.01</v>
      </c>
      <c r="G217" s="22" t="n">
        <v>383.125</v>
      </c>
      <c r="H217" s="23">
        <f>IF(AND(ISNUMBER(F217),ISNUMBER(G217),F217&gt;0),G217/F217-1,"")</f>
        <v/>
      </c>
      <c r="I217" s="22" t="n">
        <v>340</v>
      </c>
      <c r="J217" s="23">
        <f>IF(AND(ISNUMBER(F217),ISNUMBER(I217),F217&gt;0),I217/F217-1,"")</f>
        <v/>
      </c>
      <c r="K217" s="22" t="n">
        <v>420</v>
      </c>
      <c r="L217" s="23">
        <f>IF(AND(ISNUMBER(F217),ISNUMBER(K217),F217&gt;0),K217/F217-1,"")</f>
        <v/>
      </c>
      <c r="M217" s="24" t="n">
        <v>24</v>
      </c>
      <c r="N217" s="25" t="n">
        <v>3.2</v>
      </c>
      <c r="O217" s="26">
        <f>IF(AND(ISNUMBER(F217),ISNUMBER(N217),F217&gt;0),N217/F217,"")</f>
        <v/>
      </c>
      <c r="P217" s="27" t="n">
        <v>46339</v>
      </c>
      <c r="Q217" s="27" t="n">
        <v>46322</v>
      </c>
      <c r="R217" s="25" t="n">
        <v>10.85</v>
      </c>
      <c r="S217" s="28">
        <f>IF(AND(ISNUMBER(F217),ISNUMBER(R217),R217&gt;0),F217/R217,"")</f>
        <v/>
      </c>
      <c r="T217" s="27" t="n">
        <v>46323</v>
      </c>
    </row>
    <row r="218">
      <c r="A218" s="11" t="inlineStr">
        <is>
          <t>CI</t>
        </is>
      </c>
      <c r="B218" s="11" t="inlineStr">
        <is>
          <t>The Cigna Group</t>
        </is>
      </c>
      <c r="C218" s="11" t="inlineStr">
        <is>
          <t>Healthcare Plans</t>
        </is>
      </c>
      <c r="D218" s="11" t="inlineStr">
        <is>
          <t>United States</t>
        </is>
      </c>
      <c r="E218" s="12" t="n">
        <v>78.81999999999999</v>
      </c>
      <c r="F218" s="13" t="n">
        <v>298.28</v>
      </c>
      <c r="G218" s="13" t="n">
        <v>342.29166</v>
      </c>
      <c r="H218" s="14">
        <f>IF(AND(ISNUMBER(F218),ISNUMBER(G218),F218&gt;0),G218/F218-1,"")</f>
        <v/>
      </c>
      <c r="I218" s="13" t="n">
        <v>288</v>
      </c>
      <c r="J218" s="14">
        <f>IF(AND(ISNUMBER(F218),ISNUMBER(I218),F218&gt;0),I218/F218-1,"")</f>
        <v/>
      </c>
      <c r="K218" s="13" t="n">
        <v>400</v>
      </c>
      <c r="L218" s="14">
        <f>IF(AND(ISNUMBER(F218),ISNUMBER(K218),F218&gt;0),K218/F218-1,"")</f>
        <v/>
      </c>
      <c r="M218" s="15" t="n">
        <v>24</v>
      </c>
      <c r="N218" s="16" t="n">
        <v>6.24</v>
      </c>
      <c r="O218" s="17">
        <f>IF(AND(ISNUMBER(F218),ISNUMBER(N218),F218&gt;0),N218/F218,"")</f>
        <v/>
      </c>
      <c r="P218" s="18" t="n">
        <v>46273</v>
      </c>
      <c r="Q218" s="18" t="n">
        <v>46331</v>
      </c>
      <c r="R218" s="16" t="n">
        <v>24.19</v>
      </c>
      <c r="S218" s="19">
        <f>IF(AND(ISNUMBER(F218),ISNUMBER(R218),R218&gt;0),F218/R218,"")</f>
        <v/>
      </c>
      <c r="T218" s="18" t="n">
        <v>46323</v>
      </c>
    </row>
    <row r="219">
      <c r="A219" s="20" t="inlineStr">
        <is>
          <t>ITW</t>
        </is>
      </c>
      <c r="B219" s="20" t="inlineStr">
        <is>
          <t>Illinois Tool Works Inc.</t>
        </is>
      </c>
      <c r="C219" s="20" t="inlineStr">
        <is>
          <t>Specialty Industrial Machinery</t>
        </is>
      </c>
      <c r="D219" s="20" t="inlineStr">
        <is>
          <t>United States</t>
        </is>
      </c>
      <c r="E219" s="21" t="n">
        <v>78.58</v>
      </c>
      <c r="F219" s="22" t="n">
        <v>275.93</v>
      </c>
      <c r="G219" s="22" t="n">
        <v>294.57144</v>
      </c>
      <c r="H219" s="23">
        <f>IF(AND(ISNUMBER(F219),ISNUMBER(G219),F219&gt;0),G219/F219-1,"")</f>
        <v/>
      </c>
      <c r="I219" s="22" t="n">
        <v>249</v>
      </c>
      <c r="J219" s="23">
        <f>IF(AND(ISNUMBER(F219),ISNUMBER(I219),F219&gt;0),I219/F219-1,"")</f>
        <v/>
      </c>
      <c r="K219" s="22" t="n">
        <v>326</v>
      </c>
      <c r="L219" s="23">
        <f>IF(AND(ISNUMBER(F219),ISNUMBER(K219),F219&gt;0),K219/F219-1,"")</f>
        <v/>
      </c>
      <c r="M219" s="24" t="n">
        <v>14</v>
      </c>
      <c r="N219" s="25" t="n">
        <v>6.88</v>
      </c>
      <c r="O219" s="26">
        <f>IF(AND(ISNUMBER(F219),ISNUMBER(N219),F219&gt;0),N219/F219,"")</f>
        <v/>
      </c>
      <c r="P219" s="27" t="n">
        <v>46295</v>
      </c>
      <c r="Q219" s="27" t="n">
        <v>46322</v>
      </c>
      <c r="R219" s="25" t="n">
        <v>11.03</v>
      </c>
      <c r="S219" s="28">
        <f>IF(AND(ISNUMBER(F219),ISNUMBER(R219),R219&gt;0),F219/R219,"")</f>
        <v/>
      </c>
      <c r="T219" s="27" t="n">
        <v>46323</v>
      </c>
    </row>
    <row r="220">
      <c r="A220" s="11" t="inlineStr">
        <is>
          <t>LITE</t>
        </is>
      </c>
      <c r="B220" s="11" t="inlineStr">
        <is>
          <t>Lumentum Holdings Inc.</t>
        </is>
      </c>
      <c r="C220" s="11" t="inlineStr">
        <is>
          <t>Communication Equipment</t>
        </is>
      </c>
      <c r="D220" s="11" t="inlineStr">
        <is>
          <t>United States</t>
        </is>
      </c>
      <c r="E220" s="12" t="n">
        <v>78.45999999999999</v>
      </c>
      <c r="F220" s="13" t="n">
        <v>866.1799999999999</v>
      </c>
      <c r="G220" s="13" t="n">
        <v>1166.2803</v>
      </c>
      <c r="H220" s="14">
        <f>IF(AND(ISNUMBER(F220),ISNUMBER(G220),F220&gt;0),G220/F220-1,"")</f>
        <v/>
      </c>
      <c r="I220" s="13" t="n">
        <v>750</v>
      </c>
      <c r="J220" s="14">
        <f>IF(AND(ISNUMBER(F220),ISNUMBER(I220),F220&gt;0),I220/F220-1,"")</f>
        <v/>
      </c>
      <c r="K220" s="13" t="n">
        <v>1500</v>
      </c>
      <c r="L220" s="14">
        <f>IF(AND(ISNUMBER(F220),ISNUMBER(K220),F220&gt;0),K220/F220-1,"")</f>
        <v/>
      </c>
      <c r="M220" s="15" t="n">
        <v>28</v>
      </c>
      <c r="N220" s="16" t="n"/>
      <c r="O220" s="17">
        <f>IF(AND(ISNUMBER(F220),ISNUMBER(N220),F220&gt;0),N220/F220,"")</f>
        <v/>
      </c>
      <c r="P220" s="18" t="n"/>
      <c r="Q220" s="18" t="n">
        <v>46331</v>
      </c>
      <c r="R220" s="16" t="n">
        <v>-92.95999999999999</v>
      </c>
      <c r="S220" s="19">
        <f>IF(AND(ISNUMBER(F220),ISNUMBER(R220),R220&gt;0),F220/R220,"")</f>
        <v/>
      </c>
      <c r="T220" s="18" t="n">
        <v>46323</v>
      </c>
    </row>
    <row r="221">
      <c r="A221" s="20" t="inlineStr">
        <is>
          <t>NOC</t>
        </is>
      </c>
      <c r="B221" s="20" t="inlineStr">
        <is>
          <t>Northrop Grumman Corporation</t>
        </is>
      </c>
      <c r="C221" s="20" t="inlineStr">
        <is>
          <t>Aerospace &amp; Defense</t>
        </is>
      </c>
      <c r="D221" s="20" t="inlineStr">
        <is>
          <t>United States</t>
        </is>
      </c>
      <c r="E221" s="21" t="n">
        <v>78.31</v>
      </c>
      <c r="F221" s="22" t="n">
        <v>551.23</v>
      </c>
      <c r="G221" s="22" t="n">
        <v>633.5</v>
      </c>
      <c r="H221" s="23">
        <f>IF(AND(ISNUMBER(F221),ISNUMBER(G221),F221&gt;0),G221/F221-1,"")</f>
        <v/>
      </c>
      <c r="I221" s="22" t="n">
        <v>430</v>
      </c>
      <c r="J221" s="23">
        <f>IF(AND(ISNUMBER(F221),ISNUMBER(I221),F221&gt;0),I221/F221-1,"")</f>
        <v/>
      </c>
      <c r="K221" s="22" t="n">
        <v>815</v>
      </c>
      <c r="L221" s="23">
        <f>IF(AND(ISNUMBER(F221),ISNUMBER(K221),F221&gt;0),K221/F221-1,"")</f>
        <v/>
      </c>
      <c r="M221" s="24" t="n">
        <v>24</v>
      </c>
      <c r="N221" s="25" t="n">
        <v>9.880000000000001</v>
      </c>
      <c r="O221" s="26">
        <f>IF(AND(ISNUMBER(F221),ISNUMBER(N221),F221&gt;0),N221/F221,"")</f>
        <v/>
      </c>
      <c r="P221" s="27" t="n">
        <v>46265</v>
      </c>
      <c r="Q221" s="27" t="n">
        <v>46315</v>
      </c>
      <c r="R221" s="25" t="n">
        <v>31.68</v>
      </c>
      <c r="S221" s="28">
        <f>IF(AND(ISNUMBER(F221),ISNUMBER(R221),R221&gt;0),F221/R221,"")</f>
        <v/>
      </c>
      <c r="T221" s="27" t="n">
        <v>46323</v>
      </c>
    </row>
    <row r="222">
      <c r="A222" s="11" t="inlineStr">
        <is>
          <t>MURGY</t>
        </is>
      </c>
      <c r="B222" s="11" t="inlineStr">
        <is>
          <t>Muenchener Rueckver Ges</t>
        </is>
      </c>
      <c r="C222" s="11" t="inlineStr">
        <is>
          <t>Insurance - Reinsurance</t>
        </is>
      </c>
      <c r="D222" s="11" t="inlineStr">
        <is>
          <t>Germany</t>
        </is>
      </c>
      <c r="E222" s="12" t="n">
        <v>77.69</v>
      </c>
      <c r="F222" s="13" t="n">
        <v>12.35</v>
      </c>
      <c r="G222" s="13" t="n">
        <v>13.10305</v>
      </c>
      <c r="H222" s="14">
        <f>IF(AND(ISNUMBER(F222),ISNUMBER(G222),F222&gt;0),G222/F222-1,"")</f>
        <v/>
      </c>
      <c r="I222" s="13" t="n">
        <v>12.7061</v>
      </c>
      <c r="J222" s="14">
        <f>IF(AND(ISNUMBER(F222),ISNUMBER(I222),F222&gt;0),I222/F222-1,"")</f>
        <v/>
      </c>
      <c r="K222" s="13" t="n">
        <v>13.5</v>
      </c>
      <c r="L222" s="14">
        <f>IF(AND(ISNUMBER(F222),ISNUMBER(K222),F222&gt;0),K222/F222-1,"")</f>
        <v/>
      </c>
      <c r="M222" s="15" t="n">
        <v>2</v>
      </c>
      <c r="N222" s="16" t="n">
        <v>0.5600000000000001</v>
      </c>
      <c r="O222" s="17">
        <f>IF(AND(ISNUMBER(F222),ISNUMBER(N222),F222&gt;0),N222/F222,"")</f>
        <v/>
      </c>
      <c r="P222" s="18" t="n">
        <v>46146</v>
      </c>
      <c r="Q222" s="18" t="n">
        <v>45877</v>
      </c>
      <c r="R222" s="16" t="n">
        <v>1.24</v>
      </c>
      <c r="S222" s="19">
        <f>IF(AND(ISNUMBER(F222),ISNUMBER(R222),R222&gt;0),F222/R222,"")</f>
        <v/>
      </c>
      <c r="T222" s="18" t="n">
        <v>46323</v>
      </c>
    </row>
    <row r="223">
      <c r="A223" s="20" t="inlineStr">
        <is>
          <t>WBD</t>
        </is>
      </c>
      <c r="B223" s="20" t="inlineStr">
        <is>
          <t xml:space="preserve">Warner Bros. Discovery, Inc. - </t>
        </is>
      </c>
      <c r="C223" s="20" t="inlineStr">
        <is>
          <t>Entertainment</t>
        </is>
      </c>
      <c r="D223" s="20" t="inlineStr">
        <is>
          <t>United States</t>
        </is>
      </c>
      <c r="E223" s="21" t="n">
        <v>77.59999999999999</v>
      </c>
      <c r="F223" s="22" t="n">
        <v>30.95</v>
      </c>
      <c r="G223" s="22" t="n">
        <v>30.625</v>
      </c>
      <c r="H223" s="23">
        <f>IF(AND(ISNUMBER(F223),ISNUMBER(G223),F223&gt;0),G223/F223-1,"")</f>
        <v/>
      </c>
      <c r="I223" s="22" t="n">
        <v>27.75</v>
      </c>
      <c r="J223" s="23">
        <f>IF(AND(ISNUMBER(F223),ISNUMBER(I223),F223&gt;0),I223/F223-1,"")</f>
        <v/>
      </c>
      <c r="K223" s="22" t="n">
        <v>31.25</v>
      </c>
      <c r="L223" s="23">
        <f>IF(AND(ISNUMBER(F223),ISNUMBER(K223),F223&gt;0),K223/F223-1,"")</f>
        <v/>
      </c>
      <c r="M223" s="24" t="n">
        <v>8</v>
      </c>
      <c r="N223" s="25" t="n"/>
      <c r="O223" s="26">
        <f>IF(AND(ISNUMBER(F223),ISNUMBER(N223),F223&gt;0),N223/F223,"")</f>
        <v/>
      </c>
      <c r="P223" s="27" t="n"/>
      <c r="Q223" s="27" t="n"/>
      <c r="R223" s="25" t="n">
        <v>-1.28</v>
      </c>
      <c r="S223" s="28">
        <f>IF(AND(ISNUMBER(F223),ISNUMBER(R223),R223&gt;0),F223/R223,"")</f>
        <v/>
      </c>
      <c r="T223" s="27" t="n">
        <v>46323</v>
      </c>
    </row>
    <row r="224">
      <c r="A224" s="11" t="inlineStr">
        <is>
          <t>HLT</t>
        </is>
      </c>
      <c r="B224" s="11" t="inlineStr">
        <is>
          <t>Hilton Worldwide Holdings Inc.</t>
        </is>
      </c>
      <c r="C224" s="11" t="inlineStr">
        <is>
          <t>Lodging</t>
        </is>
      </c>
      <c r="D224" s="11" t="inlineStr">
        <is>
          <t>United States</t>
        </is>
      </c>
      <c r="E224" s="12" t="n">
        <v>77.56999999999999</v>
      </c>
      <c r="F224" s="13" t="n">
        <v>344.65</v>
      </c>
      <c r="G224" s="13" t="n">
        <v>355.96295</v>
      </c>
      <c r="H224" s="14">
        <f>IF(AND(ISNUMBER(F224),ISNUMBER(G224),F224&gt;0),G224/F224-1,"")</f>
        <v/>
      </c>
      <c r="I224" s="13" t="n">
        <v>270</v>
      </c>
      <c r="J224" s="14">
        <f>IF(AND(ISNUMBER(F224),ISNUMBER(I224),F224&gt;0),I224/F224-1,"")</f>
        <v/>
      </c>
      <c r="K224" s="13" t="n">
        <v>390</v>
      </c>
      <c r="L224" s="14">
        <f>IF(AND(ISNUMBER(F224),ISNUMBER(K224),F224&gt;0),K224/F224-1,"")</f>
        <v/>
      </c>
      <c r="M224" s="15" t="n">
        <v>27</v>
      </c>
      <c r="N224" s="16" t="n">
        <v>0.6</v>
      </c>
      <c r="O224" s="17">
        <f>IF(AND(ISNUMBER(F224),ISNUMBER(N224),F224&gt;0),N224/F224,"")</f>
        <v/>
      </c>
      <c r="P224" s="18" t="n">
        <v>46255</v>
      </c>
      <c r="Q224" s="18" t="n">
        <v>46322</v>
      </c>
      <c r="R224" s="16" t="n">
        <v>6.82</v>
      </c>
      <c r="S224" s="19">
        <f>IF(AND(ISNUMBER(F224),ISNUMBER(R224),R224&gt;0),F224/R224,"")</f>
        <v/>
      </c>
      <c r="T224" s="18" t="n">
        <v>46323</v>
      </c>
    </row>
    <row r="225">
      <c r="A225" s="20" t="inlineStr">
        <is>
          <t>CMCSA</t>
        </is>
      </c>
      <c r="B225" s="20" t="inlineStr">
        <is>
          <t>Comcast Corporation</t>
        </is>
      </c>
      <c r="C225" s="20" t="inlineStr">
        <is>
          <t>Telecom Services</t>
        </is>
      </c>
      <c r="D225" s="20" t="inlineStr">
        <is>
          <t>United States</t>
        </is>
      </c>
      <c r="E225" s="21" t="n">
        <v>77.55</v>
      </c>
      <c r="F225" s="22" t="n">
        <v>21.84</v>
      </c>
      <c r="G225" s="22" t="n">
        <v>27.97727</v>
      </c>
      <c r="H225" s="23">
        <f>IF(AND(ISNUMBER(F225),ISNUMBER(G225),F225&gt;0),G225/F225-1,"")</f>
        <v/>
      </c>
      <c r="I225" s="22" t="n">
        <v>17</v>
      </c>
      <c r="J225" s="23">
        <f>IF(AND(ISNUMBER(F225),ISNUMBER(I225),F225&gt;0),I225/F225-1,"")</f>
        <v/>
      </c>
      <c r="K225" s="22" t="n">
        <v>42</v>
      </c>
      <c r="L225" s="23">
        <f>IF(AND(ISNUMBER(F225),ISNUMBER(K225),F225&gt;0),K225/F225-1,"")</f>
        <v/>
      </c>
      <c r="M225" s="24" t="n">
        <v>22</v>
      </c>
      <c r="N225" s="25" t="n">
        <v>1.32</v>
      </c>
      <c r="O225" s="26">
        <f>IF(AND(ISNUMBER(F225),ISNUMBER(N225),F225&gt;0),N225/F225,"")</f>
        <v/>
      </c>
      <c r="P225" s="27" t="n">
        <v>46393</v>
      </c>
      <c r="Q225" s="27" t="n">
        <v>46317</v>
      </c>
      <c r="R225" s="25" t="n">
        <v>3.16</v>
      </c>
      <c r="S225" s="28">
        <f>IF(AND(ISNUMBER(F225),ISNUMBER(R225),R225&gt;0),F225/R225,"")</f>
        <v/>
      </c>
      <c r="T225" s="27" t="n">
        <v>46323</v>
      </c>
    </row>
    <row r="226">
      <c r="A226" s="11" t="inlineStr">
        <is>
          <t>LYG</t>
        </is>
      </c>
      <c r="B226" s="11" t="inlineStr">
        <is>
          <t>Lloyds Banking Group Plc</t>
        </is>
      </c>
      <c r="C226" s="11" t="inlineStr">
        <is>
          <t>Banks - Regional</t>
        </is>
      </c>
      <c r="D226" s="11" t="inlineStr">
        <is>
          <t>United Kingdom</t>
        </is>
      </c>
      <c r="E226" s="12" t="n">
        <v>77.40000000000001</v>
      </c>
      <c r="F226" s="13" t="n">
        <v>5.4</v>
      </c>
      <c r="G226" s="13" t="n">
        <v>6.5775</v>
      </c>
      <c r="H226" s="14">
        <f>IF(AND(ISNUMBER(F226),ISNUMBER(G226),F226&gt;0),G226/F226-1,"")</f>
        <v/>
      </c>
      <c r="I226" s="13" t="n">
        <v>5.95</v>
      </c>
      <c r="J226" s="14">
        <f>IF(AND(ISNUMBER(F226),ISNUMBER(I226),F226&gt;0),I226/F226-1,"")</f>
        <v/>
      </c>
      <c r="K226" s="13" t="n">
        <v>7.56</v>
      </c>
      <c r="L226" s="14">
        <f>IF(AND(ISNUMBER(F226),ISNUMBER(K226),F226&gt;0),K226/F226-1,"")</f>
        <v/>
      </c>
      <c r="M226" s="15" t="n">
        <v>4</v>
      </c>
      <c r="N226" s="16" t="n">
        <v>0.22</v>
      </c>
      <c r="O226" s="17">
        <f>IF(AND(ISNUMBER(F226),ISNUMBER(N226),F226&gt;0),N226/F226,"")</f>
        <v/>
      </c>
      <c r="P226" s="18" t="n">
        <v>46244</v>
      </c>
      <c r="Q226" s="18" t="n">
        <v>46324</v>
      </c>
      <c r="R226" s="16" t="n">
        <v>0.43</v>
      </c>
      <c r="S226" s="19">
        <f>IF(AND(ISNUMBER(F226),ISNUMBER(R226),R226&gt;0),F226/R226,"")</f>
        <v/>
      </c>
      <c r="T226" s="18" t="n">
        <v>46323</v>
      </c>
    </row>
    <row r="227">
      <c r="A227" s="20" t="inlineStr">
        <is>
          <t>IFNNY</t>
        </is>
      </c>
      <c r="B227" s="20" t="inlineStr">
        <is>
          <t>Infineon Technologies AG</t>
        </is>
      </c>
      <c r="C227" s="20" t="inlineStr">
        <is>
          <t>Semiconductors</t>
        </is>
      </c>
      <c r="D227" s="20" t="inlineStr">
        <is>
          <t>Germany</t>
        </is>
      </c>
      <c r="E227" s="21" t="n">
        <v>77.31</v>
      </c>
      <c r="F227" s="22" t="n">
        <v>59.49</v>
      </c>
      <c r="G227" s="22" t="n">
        <v>106.5</v>
      </c>
      <c r="H227" s="23">
        <f>IF(AND(ISNUMBER(F227),ISNUMBER(G227),F227&gt;0),G227/F227-1,"")</f>
        <v/>
      </c>
      <c r="I227" s="22" t="n">
        <v>71</v>
      </c>
      <c r="J227" s="23">
        <f>IF(AND(ISNUMBER(F227),ISNUMBER(I227),F227&gt;0),I227/F227-1,"")</f>
        <v/>
      </c>
      <c r="K227" s="22" t="n">
        <v>125</v>
      </c>
      <c r="L227" s="23">
        <f>IF(AND(ISNUMBER(F227),ISNUMBER(K227),F227&gt;0),K227/F227-1,"")</f>
        <v/>
      </c>
      <c r="M227" s="24" t="n">
        <v>4</v>
      </c>
      <c r="N227" s="25" t="n">
        <v>0.41</v>
      </c>
      <c r="O227" s="26">
        <f>IF(AND(ISNUMBER(F227),ISNUMBER(N227),F227&gt;0),N227/F227,"")</f>
        <v/>
      </c>
      <c r="P227" s="27" t="n">
        <v>46076</v>
      </c>
      <c r="Q227" s="27" t="n">
        <v>46336</v>
      </c>
      <c r="R227" s="25" t="n">
        <v>1.07</v>
      </c>
      <c r="S227" s="28">
        <f>IF(AND(ISNUMBER(F227),ISNUMBER(R227),R227&gt;0),F227/R227,"")</f>
        <v/>
      </c>
      <c r="T227" s="27" t="n">
        <v>46323</v>
      </c>
    </row>
    <row r="228">
      <c r="A228" s="11" t="inlineStr">
        <is>
          <t>CNI</t>
        </is>
      </c>
      <c r="B228" s="11" t="inlineStr">
        <is>
          <t>Canadian National Railway Compa</t>
        </is>
      </c>
      <c r="C228" s="11" t="inlineStr">
        <is>
          <t>Railroads</t>
        </is>
      </c>
      <c r="D228" s="11" t="inlineStr">
        <is>
          <t>Canada</t>
        </is>
      </c>
      <c r="E228" s="12" t="n">
        <v>75.83</v>
      </c>
      <c r="F228" s="13" t="n">
        <v>125.53</v>
      </c>
      <c r="G228" s="13" t="n">
        <v>136.76843</v>
      </c>
      <c r="H228" s="14">
        <f>IF(AND(ISNUMBER(F228),ISNUMBER(G228),F228&gt;0),G228/F228-1,"")</f>
        <v/>
      </c>
      <c r="I228" s="13" t="n">
        <v>111.74362</v>
      </c>
      <c r="J228" s="14">
        <f>IF(AND(ISNUMBER(F228),ISNUMBER(I228),F228&gt;0),I228/F228-1,"")</f>
        <v/>
      </c>
      <c r="K228" s="13" t="n">
        <v>151.74077</v>
      </c>
      <c r="L228" s="14">
        <f>IF(AND(ISNUMBER(F228),ISNUMBER(K228),F228&gt;0),K228/F228-1,"")</f>
        <v/>
      </c>
      <c r="M228" s="15" t="n">
        <v>13</v>
      </c>
      <c r="N228" s="16" t="n">
        <v>2.58</v>
      </c>
      <c r="O228" s="17">
        <f>IF(AND(ISNUMBER(F228),ISNUMBER(N228),F228&gt;0),N228/F228,"")</f>
        <v/>
      </c>
      <c r="P228" s="18" t="n">
        <v>46273</v>
      </c>
      <c r="Q228" s="18" t="n">
        <v>46325</v>
      </c>
      <c r="R228" s="16" t="n">
        <v>5.64</v>
      </c>
      <c r="S228" s="19">
        <f>IF(AND(ISNUMBER(F228),ISNUMBER(R228),R228&gt;0),F228/R228,"")</f>
        <v/>
      </c>
      <c r="T228" s="18" t="n">
        <v>46323</v>
      </c>
    </row>
    <row r="229">
      <c r="A229" s="20" t="inlineStr">
        <is>
          <t>KMI</t>
        </is>
      </c>
      <c r="B229" s="20" t="inlineStr">
        <is>
          <t>Kinder Morgan, Inc.</t>
        </is>
      </c>
      <c r="C229" s="20" t="inlineStr">
        <is>
          <t>Oil &amp; Gas Midstream</t>
        </is>
      </c>
      <c r="D229" s="20" t="inlineStr">
        <is>
          <t>United States</t>
        </is>
      </c>
      <c r="E229" s="21" t="n">
        <v>75.41</v>
      </c>
      <c r="F229" s="22" t="n">
        <v>33.85</v>
      </c>
      <c r="G229" s="22" t="n">
        <v>37.27273</v>
      </c>
      <c r="H229" s="23">
        <f>IF(AND(ISNUMBER(F229),ISNUMBER(G229),F229&gt;0),G229/F229-1,"")</f>
        <v/>
      </c>
      <c r="I229" s="22" t="n">
        <v>32</v>
      </c>
      <c r="J229" s="23">
        <f>IF(AND(ISNUMBER(F229),ISNUMBER(I229),F229&gt;0),I229/F229-1,"")</f>
        <v/>
      </c>
      <c r="K229" s="22" t="n">
        <v>43</v>
      </c>
      <c r="L229" s="23">
        <f>IF(AND(ISNUMBER(F229),ISNUMBER(K229),F229&gt;0),K229/F229-1,"")</f>
        <v/>
      </c>
      <c r="M229" s="24" t="n">
        <v>22</v>
      </c>
      <c r="N229" s="25" t="n">
        <v>1.19</v>
      </c>
      <c r="O229" s="26">
        <f>IF(AND(ISNUMBER(F229),ISNUMBER(N229),F229&gt;0),N229/F229,"")</f>
        <v/>
      </c>
      <c r="P229" s="27" t="n">
        <v>46328</v>
      </c>
      <c r="Q229" s="27" t="n">
        <v>46316</v>
      </c>
      <c r="R229" s="25" t="n">
        <v>1.62</v>
      </c>
      <c r="S229" s="28">
        <f>IF(AND(ISNUMBER(F229),ISNUMBER(R229),R229&gt;0),F229/R229,"")</f>
        <v/>
      </c>
      <c r="T229" s="27" t="n">
        <v>46323</v>
      </c>
    </row>
    <row r="230">
      <c r="A230" s="11" t="inlineStr">
        <is>
          <t>MFC</t>
        </is>
      </c>
      <c r="B230" s="11" t="inlineStr">
        <is>
          <t>Manulife Financial Corporation</t>
        </is>
      </c>
      <c r="C230" s="11" t="inlineStr">
        <is>
          <t>Insurance - Life</t>
        </is>
      </c>
      <c r="D230" s="11" t="inlineStr">
        <is>
          <t>Canada</t>
        </is>
      </c>
      <c r="E230" s="12" t="n">
        <v>74.41</v>
      </c>
      <c r="F230" s="13" t="n">
        <v>44.98</v>
      </c>
      <c r="G230" s="13" t="n">
        <v>34.685123</v>
      </c>
      <c r="H230" s="14">
        <f>IF(AND(ISNUMBER(F230),ISNUMBER(G230),F230&gt;0),G230/F230-1,"")</f>
        <v/>
      </c>
      <c r="I230" s="13" t="n">
        <v>34.685123</v>
      </c>
      <c r="J230" s="14">
        <f>IF(AND(ISNUMBER(F230),ISNUMBER(I230),F230&gt;0),I230/F230-1,"")</f>
        <v/>
      </c>
      <c r="K230" s="13" t="n">
        <v>34.685123</v>
      </c>
      <c r="L230" s="14">
        <f>IF(AND(ISNUMBER(F230),ISNUMBER(K230),F230&gt;0),K230/F230-1,"")</f>
        <v/>
      </c>
      <c r="M230" s="15" t="n">
        <v>1</v>
      </c>
      <c r="N230" s="16" t="n">
        <v>1.36</v>
      </c>
      <c r="O230" s="17">
        <f>IF(AND(ISNUMBER(F230),ISNUMBER(N230),F230&gt;0),N230/F230,"")</f>
        <v/>
      </c>
      <c r="P230" s="18" t="n">
        <v>46255</v>
      </c>
      <c r="Q230" s="18" t="n">
        <v>46330</v>
      </c>
      <c r="R230" s="16" t="n">
        <v>2.67</v>
      </c>
      <c r="S230" s="19">
        <f>IF(AND(ISNUMBER(F230),ISNUMBER(R230),R230&gt;0),F230/R230,"")</f>
        <v/>
      </c>
      <c r="T230" s="18" t="n">
        <v>46323</v>
      </c>
    </row>
    <row r="231">
      <c r="A231" s="20" t="inlineStr">
        <is>
          <t>DASH</t>
        </is>
      </c>
      <c r="B231" s="20" t="inlineStr">
        <is>
          <t>DoorDash, Inc.</t>
        </is>
      </c>
      <c r="C231" s="20" t="inlineStr">
        <is>
          <t>Internet Retail</t>
        </is>
      </c>
      <c r="D231" s="20" t="inlineStr">
        <is>
          <t>United States</t>
        </is>
      </c>
      <c r="E231" s="21" t="n">
        <v>73.90000000000001</v>
      </c>
      <c r="F231" s="22" t="n">
        <v>170.56</v>
      </c>
      <c r="G231" s="22" t="n">
        <v>257.36572</v>
      </c>
      <c r="H231" s="23">
        <f>IF(AND(ISNUMBER(F231),ISNUMBER(G231),F231&gt;0),G231/F231-1,"")</f>
        <v/>
      </c>
      <c r="I231" s="22" t="n">
        <v>172</v>
      </c>
      <c r="J231" s="23">
        <f>IF(AND(ISNUMBER(F231),ISNUMBER(I231),F231&gt;0),I231/F231-1,"")</f>
        <v/>
      </c>
      <c r="K231" s="22" t="n">
        <v>350</v>
      </c>
      <c r="L231" s="23">
        <f>IF(AND(ISNUMBER(F231),ISNUMBER(K231),F231&gt;0),K231/F231-1,"")</f>
        <v/>
      </c>
      <c r="M231" s="24" t="n">
        <v>42</v>
      </c>
      <c r="N231" s="25" t="n"/>
      <c r="O231" s="26">
        <f>IF(AND(ISNUMBER(F231),ISNUMBER(N231),F231&gt;0),N231/F231,"")</f>
        <v/>
      </c>
      <c r="P231" s="27" t="n"/>
      <c r="Q231" s="27" t="n">
        <v>46330</v>
      </c>
      <c r="R231" s="25" t="n">
        <v>1.9</v>
      </c>
      <c r="S231" s="28">
        <f>IF(AND(ISNUMBER(F231),ISNUMBER(R231),R231&gt;0),F231/R231,"")</f>
        <v/>
      </c>
      <c r="T231" s="27" t="n">
        <v>46323</v>
      </c>
    </row>
    <row r="232">
      <c r="A232" s="11" t="inlineStr">
        <is>
          <t>ROST</t>
        </is>
      </c>
      <c r="B232" s="11" t="inlineStr">
        <is>
          <t>Ross Stores, Inc.</t>
        </is>
      </c>
      <c r="C232" s="11" t="inlineStr">
        <is>
          <t>Apparel Retail</t>
        </is>
      </c>
      <c r="D232" s="11" t="inlineStr">
        <is>
          <t>United States</t>
        </is>
      </c>
      <c r="E232" s="12" t="n">
        <v>73.81</v>
      </c>
      <c r="F232" s="13" t="n">
        <v>230.09</v>
      </c>
      <c r="G232" s="13" t="n">
        <v>271.83334</v>
      </c>
      <c r="H232" s="14">
        <f>IF(AND(ISNUMBER(F232),ISNUMBER(G232),F232&gt;0),G232/F232-1,"")</f>
        <v/>
      </c>
      <c r="I232" s="13" t="n">
        <v>187</v>
      </c>
      <c r="J232" s="14">
        <f>IF(AND(ISNUMBER(F232),ISNUMBER(I232),F232&gt;0),I232/F232-1,"")</f>
        <v/>
      </c>
      <c r="K232" s="13" t="n">
        <v>315</v>
      </c>
      <c r="L232" s="14">
        <f>IF(AND(ISNUMBER(F232),ISNUMBER(K232),F232&gt;0),K232/F232-1,"")</f>
        <v/>
      </c>
      <c r="M232" s="15" t="n">
        <v>18</v>
      </c>
      <c r="N232" s="16" t="n">
        <v>1.78</v>
      </c>
      <c r="O232" s="17">
        <f>IF(AND(ISNUMBER(F232),ISNUMBER(N232),F232&gt;0),N232/F232,"")</f>
        <v/>
      </c>
      <c r="P232" s="18" t="n">
        <v>46273</v>
      </c>
      <c r="Q232" s="18" t="n">
        <v>46345</v>
      </c>
      <c r="R232" s="16" t="n">
        <v>8.27</v>
      </c>
      <c r="S232" s="19">
        <f>IF(AND(ISNUMBER(F232),ISNUMBER(R232),R232&gt;0),F232/R232,"")</f>
        <v/>
      </c>
      <c r="T232" s="18" t="n">
        <v>46323</v>
      </c>
    </row>
    <row r="233">
      <c r="A233" s="20" t="inlineStr">
        <is>
          <t>CL</t>
        </is>
      </c>
      <c r="B233" s="20" t="inlineStr">
        <is>
          <t>Colgate-Palmolive Company</t>
        </is>
      </c>
      <c r="C233" s="20" t="inlineStr">
        <is>
          <t>Household &amp; Personal Products</t>
        </is>
      </c>
      <c r="D233" s="20" t="inlineStr">
        <is>
          <t>United States</t>
        </is>
      </c>
      <c r="E233" s="21" t="n">
        <v>73.48</v>
      </c>
      <c r="F233" s="22" t="n">
        <v>92.17</v>
      </c>
      <c r="G233" s="22" t="n">
        <v>98.15000000000001</v>
      </c>
      <c r="H233" s="23">
        <f>IF(AND(ISNUMBER(F233),ISNUMBER(G233),F233&gt;0),G233/F233-1,"")</f>
        <v/>
      </c>
      <c r="I233" s="22" t="n">
        <v>87</v>
      </c>
      <c r="J233" s="23">
        <f>IF(AND(ISNUMBER(F233),ISNUMBER(I233),F233&gt;0),I233/F233-1,"")</f>
        <v/>
      </c>
      <c r="K233" s="22" t="n">
        <v>110</v>
      </c>
      <c r="L233" s="23">
        <f>IF(AND(ISNUMBER(F233),ISNUMBER(K233),F233&gt;0),K233/F233-1,"")</f>
        <v/>
      </c>
      <c r="M233" s="24" t="n">
        <v>20</v>
      </c>
      <c r="N233" s="25" t="n">
        <v>2.12</v>
      </c>
      <c r="O233" s="26">
        <f>IF(AND(ISNUMBER(F233),ISNUMBER(N233),F233&gt;0),N233/F233,"")</f>
        <v/>
      </c>
      <c r="P233" s="27" t="n">
        <v>46315</v>
      </c>
      <c r="Q233" s="27" t="n">
        <v>46325</v>
      </c>
      <c r="R233" s="25" t="n">
        <v>2.54</v>
      </c>
      <c r="S233" s="28">
        <f>IF(AND(ISNUMBER(F233),ISNUMBER(R233),R233&gt;0),F233/R233,"")</f>
        <v/>
      </c>
      <c r="T233" s="27" t="n">
        <v>46323</v>
      </c>
    </row>
    <row r="234">
      <c r="A234" s="11" t="inlineStr">
        <is>
          <t>NTES</t>
        </is>
      </c>
      <c r="B234" s="11" t="inlineStr">
        <is>
          <t>NetEase, Inc.</t>
        </is>
      </c>
      <c r="C234" s="11" t="inlineStr">
        <is>
          <t>Electronic Gaming &amp; Multimedia</t>
        </is>
      </c>
      <c r="D234" s="11" t="inlineStr">
        <is>
          <t>China</t>
        </is>
      </c>
      <c r="E234" s="12" t="n">
        <v>73.06</v>
      </c>
      <c r="F234" s="13" t="n">
        <v>114.09</v>
      </c>
      <c r="G234" s="13" t="n">
        <v>163.15749</v>
      </c>
      <c r="H234" s="14">
        <f>IF(AND(ISNUMBER(F234),ISNUMBER(G234),F234&gt;0),G234/F234-1,"")</f>
        <v/>
      </c>
      <c r="I234" s="13" t="n">
        <v>133.17413</v>
      </c>
      <c r="J234" s="14">
        <f>IF(AND(ISNUMBER(F234),ISNUMBER(I234),F234&gt;0),I234/F234-1,"")</f>
        <v/>
      </c>
      <c r="K234" s="13" t="n">
        <v>201.383</v>
      </c>
      <c r="L234" s="14">
        <f>IF(AND(ISNUMBER(F234),ISNUMBER(K234),F234&gt;0),K234/F234-1,"")</f>
        <v/>
      </c>
      <c r="M234" s="15" t="n">
        <v>33</v>
      </c>
      <c r="N234" s="16" t="n">
        <v>2.93</v>
      </c>
      <c r="O234" s="17">
        <f>IF(AND(ISNUMBER(F234),ISNUMBER(N234),F234&gt;0),N234/F234,"")</f>
        <v/>
      </c>
      <c r="P234" s="18" t="n">
        <v>46268</v>
      </c>
      <c r="Q234" s="18" t="n">
        <v>46345</v>
      </c>
      <c r="R234" s="16" t="n">
        <v>7.2</v>
      </c>
      <c r="S234" s="19">
        <f>IF(AND(ISNUMBER(F234),ISNUMBER(R234),R234&gt;0),F234/R234,"")</f>
        <v/>
      </c>
      <c r="T234" s="18" t="n">
        <v>46323</v>
      </c>
    </row>
    <row r="235">
      <c r="A235" s="20" t="inlineStr">
        <is>
          <t>CMI</t>
        </is>
      </c>
      <c r="B235" s="20" t="inlineStr">
        <is>
          <t>Cummins Inc.</t>
        </is>
      </c>
      <c r="C235" s="20" t="inlineStr">
        <is>
          <t>Specialty Industrial Machinery</t>
        </is>
      </c>
      <c r="D235" s="20" t="inlineStr">
        <is>
          <t>United States</t>
        </is>
      </c>
      <c r="E235" s="21" t="n">
        <v>73.05</v>
      </c>
      <c r="F235" s="22" t="n">
        <v>530.61</v>
      </c>
      <c r="G235" s="22" t="n">
        <v>708.66315</v>
      </c>
      <c r="H235" s="23">
        <f>IF(AND(ISNUMBER(F235),ISNUMBER(G235),F235&gt;0),G235/F235-1,"")</f>
        <v/>
      </c>
      <c r="I235" s="22" t="n">
        <v>530</v>
      </c>
      <c r="J235" s="23">
        <f>IF(AND(ISNUMBER(F235),ISNUMBER(I235),F235&gt;0),I235/F235-1,"")</f>
        <v/>
      </c>
      <c r="K235" s="22" t="n">
        <v>890</v>
      </c>
      <c r="L235" s="23">
        <f>IF(AND(ISNUMBER(F235),ISNUMBER(K235),F235&gt;0),K235/F235-1,"")</f>
        <v/>
      </c>
      <c r="M235" s="24" t="n">
        <v>19</v>
      </c>
      <c r="N235" s="25" t="n">
        <v>8.800000000000001</v>
      </c>
      <c r="O235" s="26">
        <f>IF(AND(ISNUMBER(F235),ISNUMBER(N235),F235&gt;0),N235/F235,"")</f>
        <v/>
      </c>
      <c r="P235" s="27" t="n">
        <v>46346</v>
      </c>
      <c r="Q235" s="27" t="n">
        <v>46331</v>
      </c>
      <c r="R235" s="25" t="n">
        <v>19.57</v>
      </c>
      <c r="S235" s="28">
        <f>IF(AND(ISNUMBER(F235),ISNUMBER(R235),R235&gt;0),F235/R235,"")</f>
        <v/>
      </c>
      <c r="T235" s="27" t="n">
        <v>46323</v>
      </c>
    </row>
    <row r="236">
      <c r="A236" s="11" t="inlineStr">
        <is>
          <t>FDX</t>
        </is>
      </c>
      <c r="B236" s="11" t="inlineStr">
        <is>
          <t>FedEx Corporation</t>
        </is>
      </c>
      <c r="C236" s="11" t="inlineStr">
        <is>
          <t>Integrated Freight &amp; Logistics</t>
        </is>
      </c>
      <c r="D236" s="11" t="inlineStr">
        <is>
          <t>United States</t>
        </is>
      </c>
      <c r="E236" s="12" t="n">
        <v>72.68000000000001</v>
      </c>
      <c r="F236" s="13" t="n">
        <v>307.1</v>
      </c>
      <c r="G236" s="13" t="n">
        <v>355.5</v>
      </c>
      <c r="H236" s="14">
        <f>IF(AND(ISNUMBER(F236),ISNUMBER(G236),F236&gt;0),G236/F236-1,"")</f>
        <v/>
      </c>
      <c r="I236" s="13" t="n">
        <v>160</v>
      </c>
      <c r="J236" s="14">
        <f>IF(AND(ISNUMBER(F236),ISNUMBER(I236),F236&gt;0),I236/F236-1,"")</f>
        <v/>
      </c>
      <c r="K236" s="13" t="n">
        <v>479</v>
      </c>
      <c r="L236" s="14">
        <f>IF(AND(ISNUMBER(F236),ISNUMBER(K236),F236&gt;0),K236/F236-1,"")</f>
        <v/>
      </c>
      <c r="M236" s="15" t="n">
        <v>26</v>
      </c>
      <c r="N236" s="16" t="n">
        <v>4.88</v>
      </c>
      <c r="O236" s="17">
        <f>IF(AND(ISNUMBER(F236),ISNUMBER(N236),F236&gt;0),N236/F236,"")</f>
        <v/>
      </c>
      <c r="P236" s="18" t="n">
        <v>46279</v>
      </c>
      <c r="Q236" s="18" t="n">
        <v>46323</v>
      </c>
      <c r="R236" s="16" t="n">
        <v>18.55</v>
      </c>
      <c r="S236" s="19">
        <f>IF(AND(ISNUMBER(F236),ISNUMBER(R236),R236&gt;0),F236/R236,"")</f>
        <v/>
      </c>
      <c r="T236" s="18" t="n">
        <v>46323</v>
      </c>
    </row>
    <row r="237">
      <c r="A237" s="20" t="inlineStr">
        <is>
          <t>ORLY</t>
        </is>
      </c>
      <c r="B237" s="20" t="inlineStr">
        <is>
          <t>O'Reilly Automotive, Inc.</t>
        </is>
      </c>
      <c r="C237" s="20" t="inlineStr">
        <is>
          <t>Auto Parts</t>
        </is>
      </c>
      <c r="D237" s="20" t="inlineStr">
        <is>
          <t>United States</t>
        </is>
      </c>
      <c r="E237" s="21" t="n">
        <v>72.66</v>
      </c>
      <c r="F237" s="22" t="n">
        <v>89.81999999999999</v>
      </c>
      <c r="G237" s="22" t="n">
        <v>106.65385</v>
      </c>
      <c r="H237" s="23">
        <f>IF(AND(ISNUMBER(F237),ISNUMBER(G237),F237&gt;0),G237/F237-1,"")</f>
        <v/>
      </c>
      <c r="I237" s="22" t="n">
        <v>91</v>
      </c>
      <c r="J237" s="23">
        <f>IF(AND(ISNUMBER(F237),ISNUMBER(I237),F237&gt;0),I237/F237-1,"")</f>
        <v/>
      </c>
      <c r="K237" s="22" t="n">
        <v>120</v>
      </c>
      <c r="L237" s="23">
        <f>IF(AND(ISNUMBER(F237),ISNUMBER(K237),F237&gt;0),K237/F237-1,"")</f>
        <v/>
      </c>
      <c r="M237" s="24" t="n">
        <v>26</v>
      </c>
      <c r="N237" s="25" t="n"/>
      <c r="O237" s="26">
        <f>IF(AND(ISNUMBER(F237),ISNUMBER(N237),F237&gt;0),N237/F237,"")</f>
        <v/>
      </c>
      <c r="P237" s="27" t="n"/>
      <c r="Q237" s="27" t="n">
        <v>46323</v>
      </c>
      <c r="R237" s="25" t="n">
        <v>3.15</v>
      </c>
      <c r="S237" s="28">
        <f>IF(AND(ISNUMBER(F237),ISNUMBER(R237),R237&gt;0),F237/R237,"")</f>
        <v/>
      </c>
      <c r="T237" s="27" t="n">
        <v>46323</v>
      </c>
    </row>
    <row r="238">
      <c r="A238" s="11" t="inlineStr">
        <is>
          <t>RSG</t>
        </is>
      </c>
      <c r="B238" s="11" t="inlineStr">
        <is>
          <t>Republic Services, Inc.</t>
        </is>
      </c>
      <c r="C238" s="11" t="inlineStr">
        <is>
          <t>Waste Management</t>
        </is>
      </c>
      <c r="D238" s="11" t="inlineStr">
        <is>
          <t>United States</t>
        </is>
      </c>
      <c r="E238" s="12" t="n">
        <v>72.16</v>
      </c>
      <c r="F238" s="13" t="n">
        <v>235.66</v>
      </c>
      <c r="G238" s="13" t="n">
        <v>243.58333</v>
      </c>
      <c r="H238" s="14">
        <f>IF(AND(ISNUMBER(F238),ISNUMBER(G238),F238&gt;0),G238/F238-1,"")</f>
        <v/>
      </c>
      <c r="I238" s="13" t="n">
        <v>208</v>
      </c>
      <c r="J238" s="14">
        <f>IF(AND(ISNUMBER(F238),ISNUMBER(I238),F238&gt;0),I238/F238-1,"")</f>
        <v/>
      </c>
      <c r="K238" s="13" t="n">
        <v>272</v>
      </c>
      <c r="L238" s="14">
        <f>IF(AND(ISNUMBER(F238),ISNUMBER(K238),F238&gt;0),K238/F238-1,"")</f>
        <v/>
      </c>
      <c r="M238" s="15" t="n">
        <v>24</v>
      </c>
      <c r="N238" s="16" t="n">
        <v>2.68</v>
      </c>
      <c r="O238" s="17">
        <f>IF(AND(ISNUMBER(F238),ISNUMBER(N238),F238&gt;0),N238/F238,"")</f>
        <v/>
      </c>
      <c r="P238" s="18" t="n">
        <v>46297</v>
      </c>
      <c r="Q238" s="18" t="n">
        <v>46324</v>
      </c>
      <c r="R238" s="16" t="n">
        <v>7.05</v>
      </c>
      <c r="S238" s="19">
        <f>IF(AND(ISNUMBER(F238),ISNUMBER(R238),R238&gt;0),F238/R238,"")</f>
        <v/>
      </c>
      <c r="T238" s="18" t="n">
        <v>46323</v>
      </c>
    </row>
    <row r="239">
      <c r="A239" s="20" t="inlineStr">
        <is>
          <t>AMX</t>
        </is>
      </c>
      <c r="B239" s="20" t="inlineStr">
        <is>
          <t>America Movil, S.A.B. de C.V.</t>
        </is>
      </c>
      <c r="C239" s="20" t="inlineStr">
        <is>
          <t>Telecom Services</t>
        </is>
      </c>
      <c r="D239" s="20" t="inlineStr">
        <is>
          <t>Mexico</t>
        </is>
      </c>
      <c r="E239" s="21" t="n">
        <v>71.84</v>
      </c>
      <c r="F239" s="22" t="n">
        <v>24.06</v>
      </c>
      <c r="G239" s="22" t="n">
        <v>29.37133</v>
      </c>
      <c r="H239" s="23">
        <f>IF(AND(ISNUMBER(F239),ISNUMBER(G239),F239&gt;0),G239/F239-1,"")</f>
        <v/>
      </c>
      <c r="I239" s="22" t="n">
        <v>20.8</v>
      </c>
      <c r="J239" s="23">
        <f>IF(AND(ISNUMBER(F239),ISNUMBER(I239),F239&gt;0),I239/F239-1,"")</f>
        <v/>
      </c>
      <c r="K239" s="22" t="n">
        <v>35</v>
      </c>
      <c r="L239" s="23">
        <f>IF(AND(ISNUMBER(F239),ISNUMBER(K239),F239&gt;0),K239/F239-1,"")</f>
        <v/>
      </c>
      <c r="M239" s="24" t="n">
        <v>15</v>
      </c>
      <c r="N239" s="25" t="n">
        <v>0.59</v>
      </c>
      <c r="O239" s="26">
        <f>IF(AND(ISNUMBER(F239),ISNUMBER(N239),F239&gt;0),N239/F239,"")</f>
        <v/>
      </c>
      <c r="P239" s="27" t="n">
        <v>46336</v>
      </c>
      <c r="Q239" s="27" t="n">
        <v>46315</v>
      </c>
      <c r="R239" s="25" t="n">
        <v>1.72</v>
      </c>
      <c r="S239" s="28">
        <f>IF(AND(ISNUMBER(F239),ISNUMBER(R239),R239&gt;0),F239/R239,"")</f>
        <v/>
      </c>
      <c r="T239" s="27" t="n">
        <v>46323</v>
      </c>
    </row>
    <row r="240">
      <c r="A240" s="11" t="inlineStr">
        <is>
          <t>AEP</t>
        </is>
      </c>
      <c r="B240" s="11" t="inlineStr">
        <is>
          <t>American Electric Power Company</t>
        </is>
      </c>
      <c r="C240" s="11" t="inlineStr">
        <is>
          <t>Utilities - Regulated Electric</t>
        </is>
      </c>
      <c r="D240" s="11" t="inlineStr">
        <is>
          <t>United States</t>
        </is>
      </c>
      <c r="E240" s="12" t="n">
        <v>70.93000000000001</v>
      </c>
      <c r="F240" s="13" t="n">
        <v>130.3</v>
      </c>
      <c r="G240" s="13" t="n">
        <v>141.49565</v>
      </c>
      <c r="H240" s="14">
        <f>IF(AND(ISNUMBER(F240),ISNUMBER(G240),F240&gt;0),G240/F240-1,"")</f>
        <v/>
      </c>
      <c r="I240" s="13" t="n">
        <v>120</v>
      </c>
      <c r="J240" s="14">
        <f>IF(AND(ISNUMBER(F240),ISNUMBER(I240),F240&gt;0),I240/F240-1,"")</f>
        <v/>
      </c>
      <c r="K240" s="13" t="n">
        <v>173</v>
      </c>
      <c r="L240" s="14">
        <f>IF(AND(ISNUMBER(F240),ISNUMBER(K240),F240&gt;0),K240/F240-1,"")</f>
        <v/>
      </c>
      <c r="M240" s="15" t="n">
        <v>23</v>
      </c>
      <c r="N240" s="16" t="n">
        <v>3.88</v>
      </c>
      <c r="O240" s="17">
        <f>IF(AND(ISNUMBER(F240),ISNUMBER(N240),F240&gt;0),N240/F240,"")</f>
        <v/>
      </c>
      <c r="P240" s="18" t="n">
        <v>46336</v>
      </c>
      <c r="Q240" s="18" t="n">
        <v>46323</v>
      </c>
      <c r="R240" s="16" t="n">
        <v>5.75</v>
      </c>
      <c r="S240" s="19">
        <f>IF(AND(ISNUMBER(F240),ISNUMBER(R240),R240&gt;0),F240/R240,"")</f>
        <v/>
      </c>
      <c r="T240" s="18" t="n">
        <v>46323</v>
      </c>
    </row>
    <row r="241">
      <c r="A241" s="20" t="inlineStr">
        <is>
          <t>ET</t>
        </is>
      </c>
      <c r="B241" s="20" t="inlineStr">
        <is>
          <t>Energy Transfer LP</t>
        </is>
      </c>
      <c r="C241" s="20" t="inlineStr">
        <is>
          <t>Oil &amp; Gas Midstream</t>
        </is>
      </c>
      <c r="D241" s="20" t="inlineStr">
        <is>
          <t>United States</t>
        </is>
      </c>
      <c r="E241" s="21" t="n">
        <v>70.28</v>
      </c>
      <c r="F241" s="22" t="n">
        <v>20.41</v>
      </c>
      <c r="G241" s="22" t="n">
        <v>24.7</v>
      </c>
      <c r="H241" s="23">
        <f>IF(AND(ISNUMBER(F241),ISNUMBER(G241),F241&gt;0),G241/F241-1,"")</f>
        <v/>
      </c>
      <c r="I241" s="22" t="n">
        <v>22</v>
      </c>
      <c r="J241" s="23">
        <f>IF(AND(ISNUMBER(F241),ISNUMBER(I241),F241&gt;0),I241/F241-1,"")</f>
        <v/>
      </c>
      <c r="K241" s="22" t="n">
        <v>28</v>
      </c>
      <c r="L241" s="23">
        <f>IF(AND(ISNUMBER(F241),ISNUMBER(K241),F241&gt;0),K241/F241-1,"")</f>
        <v/>
      </c>
      <c r="M241" s="24" t="n">
        <v>23</v>
      </c>
      <c r="N241" s="25" t="n">
        <v>1.37</v>
      </c>
      <c r="O241" s="26">
        <f>IF(AND(ISNUMBER(F241),ISNUMBER(N241),F241&gt;0),N241/F241,"")</f>
        <v/>
      </c>
      <c r="P241" s="27" t="n">
        <v>46332</v>
      </c>
      <c r="Q241" s="27" t="n">
        <v>46329</v>
      </c>
      <c r="R241" s="25" t="n">
        <v>1.46</v>
      </c>
      <c r="S241" s="28">
        <f>IF(AND(ISNUMBER(F241),ISNUMBER(R241),R241&gt;0),F241/R241,"")</f>
        <v/>
      </c>
      <c r="T241" s="27" t="n">
        <v>46323</v>
      </c>
    </row>
    <row r="242">
      <c r="A242" s="11" t="inlineStr">
        <is>
          <t>MKKGY</t>
        </is>
      </c>
      <c r="B242" s="11" t="inlineStr">
        <is>
          <t>Merck KGaA</t>
        </is>
      </c>
      <c r="C242" s="11" t="inlineStr">
        <is>
          <t>Drug Manufacturers - Specialty &amp; Generic</t>
        </is>
      </c>
      <c r="D242" s="11" t="inlineStr">
        <is>
          <t>Germany</t>
        </is>
      </c>
      <c r="E242" s="12" t="n">
        <v>70.11</v>
      </c>
      <c r="F242" s="13" t="n">
        <v>32.25</v>
      </c>
      <c r="G242" s="13" t="n">
        <v>36.025</v>
      </c>
      <c r="H242" s="14">
        <f>IF(AND(ISNUMBER(F242),ISNUMBER(G242),F242&gt;0),G242/F242-1,"")</f>
        <v/>
      </c>
      <c r="I242" s="13" t="n">
        <v>35.65</v>
      </c>
      <c r="J242" s="14">
        <f>IF(AND(ISNUMBER(F242),ISNUMBER(I242),F242&gt;0),I242/F242-1,"")</f>
        <v/>
      </c>
      <c r="K242" s="13" t="n">
        <v>36.4</v>
      </c>
      <c r="L242" s="14">
        <f>IF(AND(ISNUMBER(F242),ISNUMBER(K242),F242&gt;0),K242/F242-1,"")</f>
        <v/>
      </c>
      <c r="M242" s="15" t="n">
        <v>2</v>
      </c>
      <c r="N242" s="16" t="n">
        <v>0.51</v>
      </c>
      <c r="O242" s="17">
        <f>IF(AND(ISNUMBER(F242),ISNUMBER(N242),F242&gt;0),N242/F242,"")</f>
        <v/>
      </c>
      <c r="P242" s="18" t="n">
        <v>46140</v>
      </c>
      <c r="Q242" s="18" t="n">
        <v>45876</v>
      </c>
      <c r="R242" s="16" t="n">
        <v>1.27</v>
      </c>
      <c r="S242" s="19">
        <f>IF(AND(ISNUMBER(F242),ISNUMBER(R242),R242&gt;0),F242/R242,"")</f>
        <v/>
      </c>
      <c r="T242" s="18" t="n">
        <v>46323</v>
      </c>
    </row>
    <row r="243">
      <c r="A243" s="20" t="inlineStr">
        <is>
          <t>HON</t>
        </is>
      </c>
      <c r="B243" s="20" t="inlineStr">
        <is>
          <t>Honeywell International Inc.</t>
        </is>
      </c>
      <c r="C243" s="20" t="inlineStr">
        <is>
          <t>Conglomerates</t>
        </is>
      </c>
      <c r="D243" s="20" t="inlineStr">
        <is>
          <t>United States</t>
        </is>
      </c>
      <c r="E243" s="21" t="n">
        <v>69.34999999999999</v>
      </c>
      <c r="F243" s="22" t="n">
        <v>218.81</v>
      </c>
      <c r="G243" s="22" t="n">
        <v>253.91304</v>
      </c>
      <c r="H243" s="23">
        <f>IF(AND(ISNUMBER(F243),ISNUMBER(G243),F243&gt;0),G243/F243-1,"")</f>
        <v/>
      </c>
      <c r="I243" s="22" t="n">
        <v>186</v>
      </c>
      <c r="J243" s="23">
        <f>IF(AND(ISNUMBER(F243),ISNUMBER(I243),F243&gt;0),I243/F243-1,"")</f>
        <v/>
      </c>
      <c r="K243" s="22" t="n">
        <v>290</v>
      </c>
      <c r="L243" s="23">
        <f>IF(AND(ISNUMBER(F243),ISNUMBER(K243),F243&gt;0),K243/F243-1,"")</f>
        <v/>
      </c>
      <c r="M243" s="24" t="n">
        <v>23</v>
      </c>
      <c r="N243" s="25" t="n">
        <v>2.8</v>
      </c>
      <c r="O243" s="26">
        <f>IF(AND(ISNUMBER(F243),ISNUMBER(N243),F243&gt;0),N243/F243,"")</f>
        <v/>
      </c>
      <c r="P243" s="27" t="n">
        <v>46339</v>
      </c>
      <c r="Q243" s="27" t="n">
        <v>46317</v>
      </c>
      <c r="R243" s="25" t="n">
        <v>20.17</v>
      </c>
      <c r="S243" s="28">
        <f>IF(AND(ISNUMBER(F243),ISNUMBER(R243),R243&gt;0),F243/R243,"")</f>
        <v/>
      </c>
      <c r="T243" s="27" t="n">
        <v>46323</v>
      </c>
    </row>
    <row r="244">
      <c r="A244" s="11" t="inlineStr">
        <is>
          <t>APD</t>
        </is>
      </c>
      <c r="B244" s="11" t="inlineStr">
        <is>
          <t>Air Products and Chemicals, Inc</t>
        </is>
      </c>
      <c r="C244" s="11" t="inlineStr">
        <is>
          <t>Specialty Chemicals</t>
        </is>
      </c>
      <c r="D244" s="11" t="inlineStr">
        <is>
          <t>United States</t>
        </is>
      </c>
      <c r="E244" s="12" t="n">
        <v>68.39</v>
      </c>
      <c r="F244" s="13" t="n">
        <v>307.11</v>
      </c>
      <c r="G244" s="13" t="n">
        <v>342.55</v>
      </c>
      <c r="H244" s="14">
        <f>IF(AND(ISNUMBER(F244),ISNUMBER(G244),F244&gt;0),G244/F244-1,"")</f>
        <v/>
      </c>
      <c r="I244" s="13" t="n">
        <v>305</v>
      </c>
      <c r="J244" s="14">
        <f>IF(AND(ISNUMBER(F244),ISNUMBER(I244),F244&gt;0),I244/F244-1,"")</f>
        <v/>
      </c>
      <c r="K244" s="13" t="n">
        <v>373</v>
      </c>
      <c r="L244" s="14">
        <f>IF(AND(ISNUMBER(F244),ISNUMBER(K244),F244&gt;0),K244/F244-1,"")</f>
        <v/>
      </c>
      <c r="M244" s="15" t="n">
        <v>20</v>
      </c>
      <c r="N244" s="16" t="n">
        <v>7.24</v>
      </c>
      <c r="O244" s="17">
        <f>IF(AND(ISNUMBER(F244),ISNUMBER(N244),F244&gt;0),N244/F244,"")</f>
        <v/>
      </c>
      <c r="P244" s="18" t="n">
        <v>46391</v>
      </c>
      <c r="Q244" s="18" t="n">
        <v>46331</v>
      </c>
      <c r="R244" s="16" t="n">
        <v>-0.21</v>
      </c>
      <c r="S244" s="19">
        <f>IF(AND(ISNUMBER(F244),ISNUMBER(R244),R244&gt;0),F244/R244,"")</f>
        <v/>
      </c>
      <c r="T244" s="18" t="n">
        <v>46323</v>
      </c>
    </row>
    <row r="245">
      <c r="A245" s="20" t="inlineStr">
        <is>
          <t>GM</t>
        </is>
      </c>
      <c r="B245" s="20" t="inlineStr">
        <is>
          <t>General Motors Company</t>
        </is>
      </c>
      <c r="C245" s="20" t="inlineStr">
        <is>
          <t>Auto Manufacturers</t>
        </is>
      </c>
      <c r="D245" s="20" t="inlineStr">
        <is>
          <t>United States</t>
        </is>
      </c>
      <c r="E245" s="21" t="n">
        <v>68.38</v>
      </c>
      <c r="F245" s="22" t="n">
        <v>80.54000000000001</v>
      </c>
      <c r="G245" s="22" t="n">
        <v>101</v>
      </c>
      <c r="H245" s="23">
        <f>IF(AND(ISNUMBER(F245),ISNUMBER(G245),F245&gt;0),G245/F245-1,"")</f>
        <v/>
      </c>
      <c r="I245" s="22" t="n">
        <v>75</v>
      </c>
      <c r="J245" s="23">
        <f>IF(AND(ISNUMBER(F245),ISNUMBER(I245),F245&gt;0),I245/F245-1,"")</f>
        <v/>
      </c>
      <c r="K245" s="22" t="n">
        <v>132</v>
      </c>
      <c r="L245" s="23">
        <f>IF(AND(ISNUMBER(F245),ISNUMBER(K245),F245&gt;0),K245/F245-1,"")</f>
        <v/>
      </c>
      <c r="M245" s="24" t="n">
        <v>23</v>
      </c>
      <c r="N245" s="25" t="n">
        <v>0.72</v>
      </c>
      <c r="O245" s="26">
        <f>IF(AND(ISNUMBER(F245),ISNUMBER(N245),F245&gt;0),N245/F245,"")</f>
        <v/>
      </c>
      <c r="P245" s="27" t="n">
        <v>46360</v>
      </c>
      <c r="Q245" s="27" t="n">
        <v>46315</v>
      </c>
      <c r="R245" s="25" t="n">
        <v>4.57</v>
      </c>
      <c r="S245" s="28">
        <f>IF(AND(ISNUMBER(F245),ISNUMBER(R245),R245&gt;0),F245/R245,"")</f>
        <v/>
      </c>
      <c r="T245" s="27" t="n">
        <v>46323</v>
      </c>
    </row>
    <row r="246">
      <c r="A246" s="11" t="inlineStr">
        <is>
          <t>RACE</t>
        </is>
      </c>
      <c r="B246" s="11" t="inlineStr">
        <is>
          <t>Ferrari N.V.</t>
        </is>
      </c>
      <c r="C246" s="11" t="inlineStr">
        <is>
          <t>Auto Manufacturers</t>
        </is>
      </c>
      <c r="D246" s="11" t="inlineStr">
        <is>
          <t>Italy</t>
        </is>
      </c>
      <c r="E246" s="12" t="n">
        <v>68.33</v>
      </c>
      <c r="F246" s="13" t="n">
        <v>389.83</v>
      </c>
      <c r="G246" s="13" t="n">
        <v>450.97653</v>
      </c>
      <c r="H246" s="14">
        <f>IF(AND(ISNUMBER(F246),ISNUMBER(G246),F246&gt;0),G246/F246-1,"")</f>
        <v/>
      </c>
      <c r="I246" s="13" t="n">
        <v>399.33453</v>
      </c>
      <c r="J246" s="14">
        <f>IF(AND(ISNUMBER(F246),ISNUMBER(I246),F246&gt;0),I246/F246-1,"")</f>
        <v/>
      </c>
      <c r="K246" s="13" t="n">
        <v>511.9074</v>
      </c>
      <c r="L246" s="14">
        <f>IF(AND(ISNUMBER(F246),ISNUMBER(K246),F246&gt;0),K246/F246-1,"")</f>
        <v/>
      </c>
      <c r="M246" s="15" t="n">
        <v>12</v>
      </c>
      <c r="N246" s="16" t="n">
        <v>4.23</v>
      </c>
      <c r="O246" s="17">
        <f>IF(AND(ISNUMBER(F246),ISNUMBER(N246),F246&gt;0),N246/F246,"")</f>
        <v/>
      </c>
      <c r="P246" s="18" t="n">
        <v>46133</v>
      </c>
      <c r="Q246" s="18" t="n">
        <v>46329</v>
      </c>
      <c r="R246" s="16" t="n">
        <v>10.77</v>
      </c>
      <c r="S246" s="19">
        <f>IF(AND(ISNUMBER(F246),ISNUMBER(R246),R246&gt;0),F246/R246,"")</f>
        <v/>
      </c>
      <c r="T246" s="18" t="n">
        <v>46323</v>
      </c>
    </row>
    <row r="247">
      <c r="A247" s="20" t="inlineStr">
        <is>
          <t>RELX</t>
        </is>
      </c>
      <c r="B247" s="20" t="inlineStr">
        <is>
          <t>RELX PLC PLC</t>
        </is>
      </c>
      <c r="C247" s="20" t="inlineStr">
        <is>
          <t>Specialty Business Services</t>
        </is>
      </c>
      <c r="D247" s="20" t="inlineStr">
        <is>
          <t>United Kingdom</t>
        </is>
      </c>
      <c r="E247" s="21" t="n">
        <v>67.67</v>
      </c>
      <c r="F247" s="22" t="n">
        <v>38.99</v>
      </c>
      <c r="G247" s="22" t="n">
        <v>53.35</v>
      </c>
      <c r="H247" s="23">
        <f>IF(AND(ISNUMBER(F247),ISNUMBER(G247),F247&gt;0),G247/F247-1,"")</f>
        <v/>
      </c>
      <c r="I247" s="22" t="n">
        <v>49.7</v>
      </c>
      <c r="J247" s="23">
        <f>IF(AND(ISNUMBER(F247),ISNUMBER(I247),F247&gt;0),I247/F247-1,"")</f>
        <v/>
      </c>
      <c r="K247" s="22" t="n">
        <v>57</v>
      </c>
      <c r="L247" s="23">
        <f>IF(AND(ISNUMBER(F247),ISNUMBER(K247),F247&gt;0),K247/F247-1,"")</f>
        <v/>
      </c>
      <c r="M247" s="24" t="n">
        <v>2</v>
      </c>
      <c r="N247" s="25" t="n">
        <v>0.91</v>
      </c>
      <c r="O247" s="26">
        <f>IF(AND(ISNUMBER(F247),ISNUMBER(N247),F247&gt;0),N247/F247,"")</f>
        <v/>
      </c>
      <c r="P247" s="27" t="n">
        <v>46241</v>
      </c>
      <c r="Q247" s="27" t="n">
        <v>46226</v>
      </c>
      <c r="R247" s="25" t="n">
        <v>1.67</v>
      </c>
      <c r="S247" s="28">
        <f>IF(AND(ISNUMBER(F247),ISNUMBER(R247),R247&gt;0),F247/R247,"")</f>
        <v/>
      </c>
      <c r="T247" s="27" t="n">
        <v>46323</v>
      </c>
    </row>
    <row r="248">
      <c r="A248" s="11" t="inlineStr">
        <is>
          <t>DLR</t>
        </is>
      </c>
      <c r="B248" s="11" t="inlineStr">
        <is>
          <t>Digital Realty Trust, Inc.</t>
        </is>
      </c>
      <c r="C248" s="11" t="inlineStr">
        <is>
          <t>Reit - Specialty</t>
        </is>
      </c>
      <c r="D248" s="11" t="inlineStr">
        <is>
          <t>United States</t>
        </is>
      </c>
      <c r="E248" s="12" t="n">
        <v>67.61</v>
      </c>
      <c r="F248" s="13" t="n">
        <v>179.01</v>
      </c>
      <c r="G248" s="13" t="n">
        <v>222.9697</v>
      </c>
      <c r="H248" s="14">
        <f>IF(AND(ISNUMBER(F248),ISNUMBER(G248),F248&gt;0),G248/F248-1,"")</f>
        <v/>
      </c>
      <c r="I248" s="13" t="n">
        <v>190</v>
      </c>
      <c r="J248" s="14">
        <f>IF(AND(ISNUMBER(F248),ISNUMBER(I248),F248&gt;0),I248/F248-1,"")</f>
        <v/>
      </c>
      <c r="K248" s="13" t="n">
        <v>250</v>
      </c>
      <c r="L248" s="14">
        <f>IF(AND(ISNUMBER(F248),ISNUMBER(K248),F248&gt;0),K248/F248-1,"")</f>
        <v/>
      </c>
      <c r="M248" s="15" t="n">
        <v>33</v>
      </c>
      <c r="N248" s="16" t="n">
        <v>4.88</v>
      </c>
      <c r="O248" s="17">
        <f>IF(AND(ISNUMBER(F248),ISNUMBER(N248),F248&gt;0),N248/F248,"")</f>
        <v/>
      </c>
      <c r="P248" s="18" t="n">
        <v>46280</v>
      </c>
      <c r="Q248" s="18" t="n">
        <v>46324</v>
      </c>
      <c r="R248" s="16" t="n">
        <v>2.06</v>
      </c>
      <c r="S248" s="19">
        <f>IF(AND(ISNUMBER(F248),ISNUMBER(R248),R248&gt;0),F248/R248,"")</f>
        <v/>
      </c>
      <c r="T248" s="18" t="n">
        <v>46323</v>
      </c>
    </row>
    <row r="249">
      <c r="A249" s="20" t="inlineStr">
        <is>
          <t>APO</t>
        </is>
      </c>
      <c r="B249" s="20" t="inlineStr">
        <is>
          <t xml:space="preserve">Apollo Global Management, Inc. </t>
        </is>
      </c>
      <c r="C249" s="20" t="inlineStr">
        <is>
          <t>Asset Management</t>
        </is>
      </c>
      <c r="D249" s="20" t="inlineStr">
        <is>
          <t>United States</t>
        </is>
      </c>
      <c r="E249" s="21" t="n">
        <v>67.48</v>
      </c>
      <c r="F249" s="22" t="n">
        <v>114.26</v>
      </c>
      <c r="G249" s="22" t="n">
        <v>148.2</v>
      </c>
      <c r="H249" s="23">
        <f>IF(AND(ISNUMBER(F249),ISNUMBER(G249),F249&gt;0),G249/F249-1,"")</f>
        <v/>
      </c>
      <c r="I249" s="22" t="n">
        <v>124</v>
      </c>
      <c r="J249" s="23">
        <f>IF(AND(ISNUMBER(F249),ISNUMBER(I249),F249&gt;0),I249/F249-1,"")</f>
        <v/>
      </c>
      <c r="K249" s="22" t="n">
        <v>173</v>
      </c>
      <c r="L249" s="23">
        <f>IF(AND(ISNUMBER(F249),ISNUMBER(K249),F249&gt;0),K249/F249-1,"")</f>
        <v/>
      </c>
      <c r="M249" s="24" t="n">
        <v>20</v>
      </c>
      <c r="N249" s="25" t="n">
        <v>2.25</v>
      </c>
      <c r="O249" s="26">
        <f>IF(AND(ISNUMBER(F249),ISNUMBER(N249),F249&gt;0),N249/F249,"")</f>
        <v/>
      </c>
      <c r="P249" s="27" t="n">
        <v>46253</v>
      </c>
      <c r="Q249" s="27" t="n">
        <v>46329</v>
      </c>
      <c r="R249" s="25" t="n">
        <v>2.79</v>
      </c>
      <c r="S249" s="28">
        <f>IF(AND(ISNUMBER(F249),ISNUMBER(R249),R249&gt;0),F249/R249,"")</f>
        <v/>
      </c>
      <c r="T249" s="27" t="n">
        <v>46323</v>
      </c>
    </row>
    <row r="250">
      <c r="A250" s="11" t="inlineStr">
        <is>
          <t>TGT</t>
        </is>
      </c>
      <c r="B250" s="11" t="inlineStr">
        <is>
          <t>Target Corporation</t>
        </is>
      </c>
      <c r="C250" s="11" t="inlineStr">
        <is>
          <t>Discount Stores</t>
        </is>
      </c>
      <c r="D250" s="11" t="inlineStr">
        <is>
          <t>United States</t>
        </is>
      </c>
      <c r="E250" s="12" t="n">
        <v>67.23999999999999</v>
      </c>
      <c r="F250" s="13" t="n">
        <v>148.01</v>
      </c>
      <c r="G250" s="13" t="n">
        <v>163.35294</v>
      </c>
      <c r="H250" s="14">
        <f>IF(AND(ISNUMBER(F250),ISNUMBER(G250),F250&gt;0),G250/F250-1,"")</f>
        <v/>
      </c>
      <c r="I250" s="13" t="n">
        <v>128</v>
      </c>
      <c r="J250" s="14">
        <f>IF(AND(ISNUMBER(F250),ISNUMBER(I250),F250&gt;0),I250/F250-1,"")</f>
        <v/>
      </c>
      <c r="K250" s="13" t="n">
        <v>190</v>
      </c>
      <c r="L250" s="14">
        <f>IF(AND(ISNUMBER(F250),ISNUMBER(K250),F250&gt;0),K250/F250-1,"")</f>
        <v/>
      </c>
      <c r="M250" s="15" t="n">
        <v>34</v>
      </c>
      <c r="N250" s="16" t="n">
        <v>4.64</v>
      </c>
      <c r="O250" s="17">
        <f>IF(AND(ISNUMBER(F250),ISNUMBER(N250),F250&gt;0),N250/F250,"")</f>
        <v/>
      </c>
      <c r="P250" s="18" t="n">
        <v>46336</v>
      </c>
      <c r="Q250" s="18" t="n">
        <v>46344</v>
      </c>
      <c r="R250" s="16" t="n">
        <v>9.630000000000001</v>
      </c>
      <c r="S250" s="19">
        <f>IF(AND(ISNUMBER(F250),ISNUMBER(R250),R250&gt;0),F250/R250,"")</f>
        <v/>
      </c>
      <c r="T250" s="18" t="n">
        <v>46323</v>
      </c>
    </row>
    <row r="251">
      <c r="A251" s="20" t="inlineStr">
        <is>
          <t>NWG</t>
        </is>
      </c>
      <c r="B251" s="20" t="inlineStr">
        <is>
          <t>NatWest Group plc</t>
        </is>
      </c>
      <c r="C251" s="20" t="inlineStr">
        <is>
          <t>Banks - Regional</t>
        </is>
      </c>
      <c r="D251" s="20" t="inlineStr">
        <is>
          <t>United Kingdom</t>
        </is>
      </c>
      <c r="E251" s="21" t="n">
        <v>66.70999999999999</v>
      </c>
      <c r="F251" s="22" t="n">
        <v>16.87</v>
      </c>
      <c r="G251" s="22" t="n">
        <v>21.9125</v>
      </c>
      <c r="H251" s="23">
        <f>IF(AND(ISNUMBER(F251),ISNUMBER(G251),F251&gt;0),G251/F251-1,"")</f>
        <v/>
      </c>
      <c r="I251" s="22" t="n">
        <v>20.1</v>
      </c>
      <c r="J251" s="23">
        <f>IF(AND(ISNUMBER(F251),ISNUMBER(I251),F251&gt;0),I251/F251-1,"")</f>
        <v/>
      </c>
      <c r="K251" s="22" t="n">
        <v>23.6</v>
      </c>
      <c r="L251" s="23">
        <f>IF(AND(ISNUMBER(F251),ISNUMBER(K251),F251&gt;0),K251/F251-1,"")</f>
        <v/>
      </c>
      <c r="M251" s="24" t="n">
        <v>4</v>
      </c>
      <c r="N251" s="25" t="n">
        <v>0.9399999999999999</v>
      </c>
      <c r="O251" s="26">
        <f>IF(AND(ISNUMBER(F251),ISNUMBER(N251),F251&gt;0),N251/F251,"")</f>
        <v/>
      </c>
      <c r="P251" s="27" t="n">
        <v>46248</v>
      </c>
      <c r="Q251" s="27" t="n">
        <v>46325</v>
      </c>
      <c r="R251" s="25" t="n">
        <v>2</v>
      </c>
      <c r="S251" s="28">
        <f>IF(AND(ISNUMBER(F251),ISNUMBER(R251),R251&gt;0),F251/R251,"")</f>
        <v/>
      </c>
      <c r="T251" s="27" t="n">
        <v>46323</v>
      </c>
    </row>
    <row r="252">
      <c r="A252" s="11" t="inlineStr">
        <is>
          <t>AJG</t>
        </is>
      </c>
      <c r="B252" s="11" t="inlineStr">
        <is>
          <t>Arthur J. Gallagher &amp; Co.</t>
        </is>
      </c>
      <c r="C252" s="11" t="inlineStr">
        <is>
          <t>Insurance Brokers</t>
        </is>
      </c>
      <c r="D252" s="11" t="inlineStr">
        <is>
          <t>United States</t>
        </is>
      </c>
      <c r="E252" s="12" t="n">
        <v>66.39</v>
      </c>
      <c r="F252" s="13" t="n">
        <v>259.01</v>
      </c>
      <c r="G252" s="13" t="n">
        <v>283.33334</v>
      </c>
      <c r="H252" s="14">
        <f>IF(AND(ISNUMBER(F252),ISNUMBER(G252),F252&gt;0),G252/F252-1,"")</f>
        <v/>
      </c>
      <c r="I252" s="13" t="n">
        <v>242</v>
      </c>
      <c r="J252" s="14">
        <f>IF(AND(ISNUMBER(F252),ISNUMBER(I252),F252&gt;0),I252/F252-1,"")</f>
        <v/>
      </c>
      <c r="K252" s="13" t="n">
        <v>388</v>
      </c>
      <c r="L252" s="14">
        <f>IF(AND(ISNUMBER(F252),ISNUMBER(K252),F252&gt;0),K252/F252-1,"")</f>
        <v/>
      </c>
      <c r="M252" s="15" t="n">
        <v>18</v>
      </c>
      <c r="N252" s="16" t="n">
        <v>2.8</v>
      </c>
      <c r="O252" s="17">
        <f>IF(AND(ISNUMBER(F252),ISNUMBER(N252),F252&gt;0),N252/F252,"")</f>
        <v/>
      </c>
      <c r="P252" s="18" t="n">
        <v>46273</v>
      </c>
      <c r="Q252" s="18" t="n">
        <v>46324</v>
      </c>
      <c r="R252" s="16" t="n">
        <v>6.03</v>
      </c>
      <c r="S252" s="19">
        <f>IF(AND(ISNUMBER(F252),ISNUMBER(R252),R252&gt;0),F252/R252,"")</f>
        <v/>
      </c>
      <c r="T252" s="18" t="n">
        <v>46323</v>
      </c>
    </row>
    <row r="253">
      <c r="A253" s="20" t="inlineStr">
        <is>
          <t>KDDIY</t>
        </is>
      </c>
      <c r="B253" s="20" t="inlineStr">
        <is>
          <t>KDDI Corp.</t>
        </is>
      </c>
      <c r="C253" s="20" t="inlineStr">
        <is>
          <t>Telecom Services</t>
        </is>
      </c>
      <c r="D253" s="20" t="inlineStr">
        <is>
          <t>Japan</t>
        </is>
      </c>
      <c r="E253" s="21" t="n">
        <v>66.37</v>
      </c>
      <c r="F253" s="22" t="n">
        <v>17.96</v>
      </c>
      <c r="G253" s="22" t="n">
        <v>18.99678</v>
      </c>
      <c r="H253" s="23">
        <f>IF(AND(ISNUMBER(F253),ISNUMBER(G253),F253&gt;0),G253/F253-1,"")</f>
        <v/>
      </c>
      <c r="I253" s="22" t="n">
        <v>17.8</v>
      </c>
      <c r="J253" s="23">
        <f>IF(AND(ISNUMBER(F253),ISNUMBER(I253),F253&gt;0),I253/F253-1,"")</f>
        <v/>
      </c>
      <c r="K253" s="22" t="n">
        <v>20.19355</v>
      </c>
      <c r="L253" s="23">
        <f>IF(AND(ISNUMBER(F253),ISNUMBER(K253),F253&gt;0),K253/F253-1,"")</f>
        <v/>
      </c>
      <c r="M253" s="24" t="n">
        <v>2</v>
      </c>
      <c r="N253" s="25" t="n">
        <v>0.51</v>
      </c>
      <c r="O253" s="26">
        <f>IF(AND(ISNUMBER(F253),ISNUMBER(N253),F253&gt;0),N253/F253,"")</f>
        <v/>
      </c>
      <c r="P253" s="27" t="n">
        <v>46112</v>
      </c>
      <c r="Q253" s="27" t="n">
        <v>46332</v>
      </c>
      <c r="R253" s="25" t="n">
        <v>1.26</v>
      </c>
      <c r="S253" s="28">
        <f>IF(AND(ISNUMBER(F253),ISNUMBER(R253),R253&gt;0),F253/R253,"")</f>
        <v/>
      </c>
      <c r="T253" s="27" t="n">
        <v>46323</v>
      </c>
    </row>
    <row r="254">
      <c r="A254" s="11" t="inlineStr">
        <is>
          <t>CVNA</t>
        </is>
      </c>
      <c r="B254" s="11" t="inlineStr">
        <is>
          <t>Carvana Co.</t>
        </is>
      </c>
      <c r="C254" s="11" t="inlineStr">
        <is>
          <t>Auto &amp; Truck Dealerships</t>
        </is>
      </c>
      <c r="D254" s="11" t="inlineStr">
        <is>
          <t>United States</t>
        </is>
      </c>
      <c r="E254" s="12" t="n">
        <v>65.65000000000001</v>
      </c>
      <c r="F254" s="13" t="n">
        <v>59.23</v>
      </c>
      <c r="G254" s="13" t="n">
        <v>81.33333</v>
      </c>
      <c r="H254" s="14">
        <f>IF(AND(ISNUMBER(F254),ISNUMBER(G254),F254&gt;0),G254/F254-1,"")</f>
        <v/>
      </c>
      <c r="I254" s="13" t="n">
        <v>60</v>
      </c>
      <c r="J254" s="14">
        <f>IF(AND(ISNUMBER(F254),ISNUMBER(I254),F254&gt;0),I254/F254-1,"")</f>
        <v/>
      </c>
      <c r="K254" s="13" t="n">
        <v>120</v>
      </c>
      <c r="L254" s="14">
        <f>IF(AND(ISNUMBER(F254),ISNUMBER(K254),F254&gt;0),K254/F254-1,"")</f>
        <v/>
      </c>
      <c r="M254" s="15" t="n">
        <v>21</v>
      </c>
      <c r="N254" s="16" t="n"/>
      <c r="O254" s="17">
        <f>IF(AND(ISNUMBER(F254),ISNUMBER(N254),F254&gt;0),N254/F254,"")</f>
        <v/>
      </c>
      <c r="P254" s="18" t="n"/>
      <c r="Q254" s="18" t="n">
        <v>46323</v>
      </c>
      <c r="R254" s="16" t="n">
        <v>1.85</v>
      </c>
      <c r="S254" s="19">
        <f>IF(AND(ISNUMBER(F254),ISNUMBER(R254),R254&gt;0),F254/R254,"")</f>
        <v/>
      </c>
      <c r="T254" s="18" t="n">
        <v>46323</v>
      </c>
    </row>
    <row r="255">
      <c r="A255" s="20" t="inlineStr">
        <is>
          <t>TRP</t>
        </is>
      </c>
      <c r="B255" s="20" t="inlineStr">
        <is>
          <t>TC Energy Corporation</t>
        </is>
      </c>
      <c r="C255" s="20" t="inlineStr">
        <is>
          <t>Oil &amp; Gas Midstream</t>
        </is>
      </c>
      <c r="D255" s="20" t="inlineStr">
        <is>
          <t>Canada</t>
        </is>
      </c>
      <c r="E255" s="21" t="n">
        <v>65.52</v>
      </c>
      <c r="F255" s="22" t="n">
        <v>62.89</v>
      </c>
      <c r="G255" s="22" t="n">
        <v>67.38728</v>
      </c>
      <c r="H255" s="23">
        <f>IF(AND(ISNUMBER(F255),ISNUMBER(G255),F255&gt;0),G255/F255-1,"")</f>
        <v/>
      </c>
      <c r="I255" s="22" t="n">
        <v>58.451065</v>
      </c>
      <c r="J255" s="23">
        <f>IF(AND(ISNUMBER(F255),ISNUMBER(I255),F255&gt;0),I255/F255-1,"")</f>
        <v/>
      </c>
      <c r="K255" s="22" t="n">
        <v>72.553955</v>
      </c>
      <c r="L255" s="23">
        <f>IF(AND(ISNUMBER(F255),ISNUMBER(K255),F255&gt;0),K255/F255-1,"")</f>
        <v/>
      </c>
      <c r="M255" s="24" t="n">
        <v>3</v>
      </c>
      <c r="N255" s="25" t="n">
        <v>2.5</v>
      </c>
      <c r="O255" s="26">
        <f>IF(AND(ISNUMBER(F255),ISNUMBER(N255),F255&gt;0),N255/F255,"")</f>
        <v/>
      </c>
      <c r="P255" s="27" t="n">
        <v>46294</v>
      </c>
      <c r="Q255" s="27" t="n">
        <v>46331</v>
      </c>
      <c r="R255" s="25" t="n">
        <v>2.54</v>
      </c>
      <c r="S255" s="28">
        <f>IF(AND(ISNUMBER(F255),ISNUMBER(R255),R255&gt;0),F255/R255,"")</f>
        <v/>
      </c>
      <c r="T255" s="27" t="n">
        <v>46323</v>
      </c>
    </row>
    <row r="256">
      <c r="A256" s="11" t="inlineStr">
        <is>
          <t>BSX</t>
        </is>
      </c>
      <c r="B256" s="11" t="inlineStr">
        <is>
          <t>Boston Scientific Corporation</t>
        </is>
      </c>
      <c r="C256" s="11" t="inlineStr">
        <is>
          <t>Medical Devices</t>
        </is>
      </c>
      <c r="D256" s="11" t="inlineStr">
        <is>
          <t>United States</t>
        </is>
      </c>
      <c r="E256" s="12" t="n">
        <v>65.3</v>
      </c>
      <c r="F256" s="13" t="n">
        <v>45.06</v>
      </c>
      <c r="G256" s="13" t="n">
        <v>57.82143</v>
      </c>
      <c r="H256" s="14">
        <f>IF(AND(ISNUMBER(F256),ISNUMBER(G256),F256&gt;0),G256/F256-1,"")</f>
        <v/>
      </c>
      <c r="I256" s="13" t="n">
        <v>44</v>
      </c>
      <c r="J256" s="14">
        <f>IF(AND(ISNUMBER(F256),ISNUMBER(I256),F256&gt;0),I256/F256-1,"")</f>
        <v/>
      </c>
      <c r="K256" s="13" t="n">
        <v>78</v>
      </c>
      <c r="L256" s="14">
        <f>IF(AND(ISNUMBER(F256),ISNUMBER(K256),F256&gt;0),K256/F256-1,"")</f>
        <v/>
      </c>
      <c r="M256" s="15" t="n">
        <v>28</v>
      </c>
      <c r="N256" s="16" t="n"/>
      <c r="O256" s="17">
        <f>IF(AND(ISNUMBER(F256),ISNUMBER(N256),F256&gt;0),N256/F256,"")</f>
        <v/>
      </c>
      <c r="P256" s="18" t="n"/>
      <c r="Q256" s="18" t="n">
        <v>46323</v>
      </c>
      <c r="R256" s="16" t="n">
        <v>2.47</v>
      </c>
      <c r="S256" s="19">
        <f>IF(AND(ISNUMBER(F256),ISNUMBER(R256),R256&gt;0),F256/R256,"")</f>
        <v/>
      </c>
      <c r="T256" s="18" t="n">
        <v>46323</v>
      </c>
    </row>
    <row r="257">
      <c r="A257" s="20" t="inlineStr">
        <is>
          <t>TEL</t>
        </is>
      </c>
      <c r="B257" s="20" t="inlineStr">
        <is>
          <t>TE Connectivity plc</t>
        </is>
      </c>
      <c r="C257" s="20" t="inlineStr">
        <is>
          <t>Electronic Components</t>
        </is>
      </c>
      <c r="D257" s="20" t="inlineStr">
        <is>
          <t>Ireland</t>
        </is>
      </c>
      <c r="E257" s="21" t="n">
        <v>65.23999999999999</v>
      </c>
      <c r="F257" s="22" t="n">
        <v>225.35</v>
      </c>
      <c r="G257" s="22" t="n">
        <v>251.78947</v>
      </c>
      <c r="H257" s="23">
        <f>IF(AND(ISNUMBER(F257),ISNUMBER(G257),F257&gt;0),G257/F257-1,"")</f>
        <v/>
      </c>
      <c r="I257" s="22" t="n">
        <v>215</v>
      </c>
      <c r="J257" s="23">
        <f>IF(AND(ISNUMBER(F257),ISNUMBER(I257),F257&gt;0),I257/F257-1,"")</f>
        <v/>
      </c>
      <c r="K257" s="22" t="n">
        <v>306</v>
      </c>
      <c r="L257" s="23">
        <f>IF(AND(ISNUMBER(F257),ISNUMBER(K257),F257&gt;0),K257/F257-1,"")</f>
        <v/>
      </c>
      <c r="M257" s="24" t="n">
        <v>19</v>
      </c>
      <c r="N257" s="25" t="n">
        <v>3.12</v>
      </c>
      <c r="O257" s="26">
        <f>IF(AND(ISNUMBER(F257),ISNUMBER(N257),F257&gt;0),N257/F257,"")</f>
        <v/>
      </c>
      <c r="P257" s="27" t="n">
        <v>46346</v>
      </c>
      <c r="Q257" s="27" t="n">
        <v>46323</v>
      </c>
      <c r="R257" s="25" t="n">
        <v>10.21</v>
      </c>
      <c r="S257" s="28">
        <f>IF(AND(ISNUMBER(F257),ISNUMBER(R257),R257&gt;0),F257/R257,"")</f>
        <v/>
      </c>
      <c r="T257" s="27" t="n">
        <v>46323</v>
      </c>
    </row>
    <row r="258">
      <c r="A258" s="11" t="inlineStr">
        <is>
          <t>TRGP</t>
        </is>
      </c>
      <c r="B258" s="11" t="inlineStr">
        <is>
          <t>Targa Resources, Inc.</t>
        </is>
      </c>
      <c r="C258" s="11" t="inlineStr">
        <is>
          <t>Oil &amp; Gas Midstream</t>
        </is>
      </c>
      <c r="D258" s="11" t="inlineStr">
        <is>
          <t>United States</t>
        </is>
      </c>
      <c r="E258" s="12" t="n">
        <v>64.89</v>
      </c>
      <c r="F258" s="13" t="n">
        <v>302.61</v>
      </c>
      <c r="G258" s="13" t="n">
        <v>329.8095</v>
      </c>
      <c r="H258" s="14">
        <f>IF(AND(ISNUMBER(F258),ISNUMBER(G258),F258&gt;0),G258/F258-1,"")</f>
        <v/>
      </c>
      <c r="I258" s="13" t="n">
        <v>294</v>
      </c>
      <c r="J258" s="14">
        <f>IF(AND(ISNUMBER(F258),ISNUMBER(I258),F258&gt;0),I258/F258-1,"")</f>
        <v/>
      </c>
      <c r="K258" s="13" t="n">
        <v>359</v>
      </c>
      <c r="L258" s="14">
        <f>IF(AND(ISNUMBER(F258),ISNUMBER(K258),F258&gt;0),K258/F258-1,"")</f>
        <v/>
      </c>
      <c r="M258" s="15" t="n">
        <v>21</v>
      </c>
      <c r="N258" s="16" t="n">
        <v>5</v>
      </c>
      <c r="O258" s="17">
        <f>IF(AND(ISNUMBER(F258),ISNUMBER(N258),F258&gt;0),N258/F258,"")</f>
        <v/>
      </c>
      <c r="P258" s="18" t="n">
        <v>46325</v>
      </c>
      <c r="Q258" s="18" t="n">
        <v>46331</v>
      </c>
      <c r="R258" s="16" t="n">
        <v>10.46</v>
      </c>
      <c r="S258" s="19">
        <f>IF(AND(ISNUMBER(F258),ISNUMBER(R258),R258&gt;0),F258/R258,"")</f>
        <v/>
      </c>
      <c r="T258" s="18" t="n">
        <v>46323</v>
      </c>
    </row>
    <row r="259">
      <c r="A259" s="20" t="inlineStr">
        <is>
          <t>TAK</t>
        </is>
      </c>
      <c r="B259" s="20" t="inlineStr">
        <is>
          <t>Takeda Pharmaceutical Company L</t>
        </is>
      </c>
      <c r="C259" s="20" t="inlineStr">
        <is>
          <t>Drug Manufacturers - Specialty &amp; Generic</t>
        </is>
      </c>
      <c r="D259" s="20" t="inlineStr">
        <is>
          <t>Japan</t>
        </is>
      </c>
      <c r="E259" s="21" t="n">
        <v>64.75</v>
      </c>
      <c r="F259" s="22" t="n">
        <v>20.27</v>
      </c>
      <c r="G259" s="22" t="n">
        <v>22.626772</v>
      </c>
      <c r="H259" s="23">
        <f>IF(AND(ISNUMBER(F259),ISNUMBER(G259),F259&gt;0),G259/F259-1,"")</f>
        <v/>
      </c>
      <c r="I259" s="22" t="n">
        <v>20.85239</v>
      </c>
      <c r="J259" s="23">
        <f>IF(AND(ISNUMBER(F259),ISNUMBER(I259),F259&gt;0),I259/F259-1,"")</f>
        <v/>
      </c>
      <c r="K259" s="22" t="n">
        <v>24.943483</v>
      </c>
      <c r="L259" s="23">
        <f>IF(AND(ISNUMBER(F259),ISNUMBER(K259),F259&gt;0),K259/F259-1,"")</f>
        <v/>
      </c>
      <c r="M259" s="24" t="n">
        <v>3</v>
      </c>
      <c r="N259" s="25" t="n">
        <v>0.62</v>
      </c>
      <c r="O259" s="26">
        <f>IF(AND(ISNUMBER(F259),ISNUMBER(N259),F259&gt;0),N259/F259,"")</f>
        <v/>
      </c>
      <c r="P259" s="27" t="n">
        <v>46112</v>
      </c>
      <c r="Q259" s="27" t="n">
        <v>46324</v>
      </c>
      <c r="R259" s="25" t="n">
        <v>-0.34</v>
      </c>
      <c r="S259" s="28">
        <f>IF(AND(ISNUMBER(F259),ISNUMBER(R259),R259&gt;0),F259/R259,"")</f>
        <v/>
      </c>
      <c r="T259" s="27" t="n">
        <v>46323</v>
      </c>
    </row>
    <row r="260">
      <c r="A260" s="11" t="inlineStr">
        <is>
          <t>B</t>
        </is>
      </c>
      <c r="B260" s="11" t="inlineStr">
        <is>
          <t>Barrick Mining Corporation</t>
        </is>
      </c>
      <c r="C260" s="11" t="inlineStr">
        <is>
          <t>Gold</t>
        </is>
      </c>
      <c r="D260" s="11" t="inlineStr">
        <is>
          <t>Canada</t>
        </is>
      </c>
      <c r="E260" s="12" t="n">
        <v>64.62</v>
      </c>
      <c r="F260" s="13" t="n">
        <v>39.26</v>
      </c>
      <c r="G260" s="13" t="n">
        <v>50.10562</v>
      </c>
      <c r="H260" s="14">
        <f>IF(AND(ISNUMBER(F260),ISNUMBER(G260),F260&gt;0),G260/F260-1,"")</f>
        <v/>
      </c>
      <c r="I260" s="13" t="n">
        <v>29</v>
      </c>
      <c r="J260" s="14">
        <f>IF(AND(ISNUMBER(F260),ISNUMBER(I260),F260&gt;0),I260/F260-1,"")</f>
        <v/>
      </c>
      <c r="K260" s="13" t="n">
        <v>58.5</v>
      </c>
      <c r="L260" s="14">
        <f>IF(AND(ISNUMBER(F260),ISNUMBER(K260),F260&gt;0),K260/F260-1,"")</f>
        <v/>
      </c>
      <c r="M260" s="15" t="n">
        <v>16</v>
      </c>
      <c r="N260" s="16" t="n">
        <v>0.7</v>
      </c>
      <c r="O260" s="17">
        <f>IF(AND(ISNUMBER(F260),ISNUMBER(N260),F260&gt;0),N260/F260,"")</f>
        <v/>
      </c>
      <c r="P260" s="18" t="n">
        <v>46265</v>
      </c>
      <c r="Q260" s="18" t="n">
        <v>46335</v>
      </c>
      <c r="R260" s="16" t="n">
        <v>3.87</v>
      </c>
      <c r="S260" s="19">
        <f>IF(AND(ISNUMBER(F260),ISNUMBER(R260),R260&gt;0),F260/R260,"")</f>
        <v/>
      </c>
      <c r="T260" s="18" t="n">
        <v>46323</v>
      </c>
    </row>
    <row r="261">
      <c r="A261" s="20" t="inlineStr">
        <is>
          <t>BE</t>
        </is>
      </c>
      <c r="B261" s="20" t="inlineStr">
        <is>
          <t>Bloom Energy Corporation</t>
        </is>
      </c>
      <c r="C261" s="20" t="inlineStr">
        <is>
          <t>Electrical Equipment &amp; Parts</t>
        </is>
      </c>
      <c r="D261" s="20" t="inlineStr">
        <is>
          <t>United States</t>
        </is>
      </c>
      <c r="E261" s="21" t="n">
        <v>64.56999999999999</v>
      </c>
      <c r="F261" s="22" t="n">
        <v>218.5</v>
      </c>
      <c r="G261" s="22" t="n">
        <v>284.76923</v>
      </c>
      <c r="H261" s="23">
        <f>IF(AND(ISNUMBER(F261),ISNUMBER(G261),F261&gt;0),G261/F261-1,"")</f>
        <v/>
      </c>
      <c r="I261" s="22" t="n">
        <v>102</v>
      </c>
      <c r="J261" s="23">
        <f>IF(AND(ISNUMBER(F261),ISNUMBER(I261),F261&gt;0),I261/F261-1,"")</f>
        <v/>
      </c>
      <c r="K261" s="22" t="n">
        <v>380</v>
      </c>
      <c r="L261" s="23">
        <f>IF(AND(ISNUMBER(F261),ISNUMBER(K261),F261&gt;0),K261/F261-1,"")</f>
        <v/>
      </c>
      <c r="M261" s="24" t="n">
        <v>26</v>
      </c>
      <c r="N261" s="25" t="n"/>
      <c r="O261" s="26">
        <f>IF(AND(ISNUMBER(F261),ISNUMBER(N261),F261&gt;0),N261/F261,"")</f>
        <v/>
      </c>
      <c r="P261" s="27" t="n"/>
      <c r="Q261" s="27" t="n">
        <v>46317</v>
      </c>
      <c r="R261" s="25" t="n">
        <v>1.65</v>
      </c>
      <c r="S261" s="28">
        <f>IF(AND(ISNUMBER(F261),ISNUMBER(R261),R261&gt;0),F261/R261,"")</f>
        <v/>
      </c>
      <c r="T261" s="27" t="n">
        <v>46323</v>
      </c>
    </row>
    <row r="262">
      <c r="A262" s="11" t="inlineStr">
        <is>
          <t>AON</t>
        </is>
      </c>
      <c r="B262" s="11" t="inlineStr">
        <is>
          <t>Aon plc</t>
        </is>
      </c>
      <c r="C262" s="11" t="inlineStr">
        <is>
          <t>Insurance Brokers</t>
        </is>
      </c>
      <c r="D262" s="11" t="inlineStr">
        <is>
          <t>Ireland</t>
        </is>
      </c>
      <c r="E262" s="12" t="n">
        <v>64.17</v>
      </c>
      <c r="F262" s="13" t="n">
        <v>302.5</v>
      </c>
      <c r="G262" s="13" t="n">
        <v>354.21054</v>
      </c>
      <c r="H262" s="14">
        <f>IF(AND(ISNUMBER(F262),ISNUMBER(G262),F262&gt;0),G262/F262-1,"")</f>
        <v/>
      </c>
      <c r="I262" s="13" t="n">
        <v>229</v>
      </c>
      <c r="J262" s="14">
        <f>IF(AND(ISNUMBER(F262),ISNUMBER(I262),F262&gt;0),I262/F262-1,"")</f>
        <v/>
      </c>
      <c r="K262" s="13" t="n">
        <v>435</v>
      </c>
      <c r="L262" s="14">
        <f>IF(AND(ISNUMBER(F262),ISNUMBER(K262),F262&gt;0),K262/F262-1,"")</f>
        <v/>
      </c>
      <c r="M262" s="15" t="n">
        <v>19</v>
      </c>
      <c r="N262" s="16" t="n">
        <v>3.28</v>
      </c>
      <c r="O262" s="17">
        <f>IF(AND(ISNUMBER(F262),ISNUMBER(N262),F262&gt;0),N262/F262,"")</f>
        <v/>
      </c>
      <c r="P262" s="18" t="n">
        <v>46328</v>
      </c>
      <c r="Q262" s="18" t="n">
        <v>46323</v>
      </c>
      <c r="R262" s="16" t="n">
        <v>18.14</v>
      </c>
      <c r="S262" s="19">
        <f>IF(AND(ISNUMBER(F262),ISNUMBER(R262),R262&gt;0),F262/R262,"")</f>
        <v/>
      </c>
      <c r="T262" s="18" t="n">
        <v>46323</v>
      </c>
    </row>
    <row r="263">
      <c r="A263" s="20" t="inlineStr">
        <is>
          <t>NXPI</t>
        </is>
      </c>
      <c r="B263" s="20" t="inlineStr">
        <is>
          <t>NXP Semiconductors N.V.</t>
        </is>
      </c>
      <c r="C263" s="20" t="inlineStr">
        <is>
          <t>Semiconductors</t>
        </is>
      </c>
      <c r="D263" s="20" t="inlineStr">
        <is>
          <t>Netherlands</t>
        </is>
      </c>
      <c r="E263" s="21" t="n">
        <v>63.92</v>
      </c>
      <c r="F263" s="22" t="n">
        <v>253.5</v>
      </c>
      <c r="G263" s="22" t="n">
        <v>305.27585</v>
      </c>
      <c r="H263" s="23">
        <f>IF(AND(ISNUMBER(F263),ISNUMBER(G263),F263&gt;0),G263/F263-1,"")</f>
        <v/>
      </c>
      <c r="I263" s="22" t="n">
        <v>190</v>
      </c>
      <c r="J263" s="23">
        <f>IF(AND(ISNUMBER(F263),ISNUMBER(I263),F263&gt;0),I263/F263-1,"")</f>
        <v/>
      </c>
      <c r="K263" s="22" t="n">
        <v>400</v>
      </c>
      <c r="L263" s="23">
        <f>IF(AND(ISNUMBER(F263),ISNUMBER(K263),F263&gt;0),K263/F263-1,"")</f>
        <v/>
      </c>
      <c r="M263" s="24" t="n">
        <v>29</v>
      </c>
      <c r="N263" s="25" t="n">
        <v>4.06</v>
      </c>
      <c r="O263" s="26">
        <f>IF(AND(ISNUMBER(F263),ISNUMBER(N263),F263&gt;0),N263/F263,"")</f>
        <v/>
      </c>
      <c r="P263" s="27" t="n">
        <v>46281</v>
      </c>
      <c r="Q263" s="27" t="n">
        <v>46322</v>
      </c>
      <c r="R263" s="25" t="n">
        <v>11.71</v>
      </c>
      <c r="S263" s="28">
        <f>IF(AND(ISNUMBER(F263),ISNUMBER(R263),R263&gt;0),F263/R263,"")</f>
        <v/>
      </c>
      <c r="T263" s="27" t="n">
        <v>46323</v>
      </c>
    </row>
    <row r="264">
      <c r="A264" s="11" t="inlineStr">
        <is>
          <t>ALL</t>
        </is>
      </c>
      <c r="B264" s="11" t="inlineStr">
        <is>
          <t>Allstate Corporation (The)</t>
        </is>
      </c>
      <c r="C264" s="11" t="inlineStr">
        <is>
          <t>Insurance - Property &amp; Casualty</t>
        </is>
      </c>
      <c r="D264" s="11" t="inlineStr">
        <is>
          <t>United States</t>
        </is>
      </c>
      <c r="E264" s="12" t="n">
        <v>63.65</v>
      </c>
      <c r="F264" s="13" t="n">
        <v>251.71</v>
      </c>
      <c r="G264" s="13" t="n">
        <v>269.27274</v>
      </c>
      <c r="H264" s="14">
        <f>IF(AND(ISNUMBER(F264),ISNUMBER(G264),F264&gt;0),G264/F264-1,"")</f>
        <v/>
      </c>
      <c r="I264" s="13" t="n">
        <v>191</v>
      </c>
      <c r="J264" s="14">
        <f>IF(AND(ISNUMBER(F264),ISNUMBER(I264),F264&gt;0),I264/F264-1,"")</f>
        <v/>
      </c>
      <c r="K264" s="13" t="n">
        <v>340</v>
      </c>
      <c r="L264" s="14">
        <f>IF(AND(ISNUMBER(F264),ISNUMBER(K264),F264&gt;0),K264/F264-1,"")</f>
        <v/>
      </c>
      <c r="M264" s="15" t="n">
        <v>22</v>
      </c>
      <c r="N264" s="16" t="n">
        <v>4.32</v>
      </c>
      <c r="O264" s="17">
        <f>IF(AND(ISNUMBER(F264),ISNUMBER(N264),F264&gt;0),N264/F264,"")</f>
        <v/>
      </c>
      <c r="P264" s="18" t="n">
        <v>46265</v>
      </c>
      <c r="Q264" s="18" t="n">
        <v>46330</v>
      </c>
      <c r="R264" s="16" t="n">
        <v>49.98</v>
      </c>
      <c r="S264" s="19">
        <f>IF(AND(ISNUMBER(F264),ISNUMBER(R264),R264&gt;0),F264/R264,"")</f>
        <v/>
      </c>
      <c r="T264" s="18" t="n">
        <v>46323</v>
      </c>
    </row>
    <row r="265">
      <c r="A265" s="20" t="inlineStr">
        <is>
          <t>MET</t>
        </is>
      </c>
      <c r="B265" s="20" t="inlineStr">
        <is>
          <t>MetLife, Inc.</t>
        </is>
      </c>
      <c r="C265" s="20" t="inlineStr">
        <is>
          <t>Insurance - Life</t>
        </is>
      </c>
      <c r="D265" s="20" t="inlineStr">
        <is>
          <t>United States</t>
        </is>
      </c>
      <c r="E265" s="21" t="n">
        <v>63.53</v>
      </c>
      <c r="F265" s="22" t="n">
        <v>99.98</v>
      </c>
      <c r="G265" s="22" t="n">
        <v>107.625</v>
      </c>
      <c r="H265" s="23">
        <f>IF(AND(ISNUMBER(F265),ISNUMBER(G265),F265&gt;0),G265/F265-1,"")</f>
        <v/>
      </c>
      <c r="I265" s="22" t="n">
        <v>84</v>
      </c>
      <c r="J265" s="23">
        <f>IF(AND(ISNUMBER(F265),ISNUMBER(I265),F265&gt;0),I265/F265-1,"")</f>
        <v/>
      </c>
      <c r="K265" s="22" t="n">
        <v>119</v>
      </c>
      <c r="L265" s="23">
        <f>IF(AND(ISNUMBER(F265),ISNUMBER(K265),F265&gt;0),K265/F265-1,"")</f>
        <v/>
      </c>
      <c r="M265" s="24" t="n">
        <v>16</v>
      </c>
      <c r="N265" s="25" t="n">
        <v>2.37</v>
      </c>
      <c r="O265" s="26">
        <f>IF(AND(ISNUMBER(F265),ISNUMBER(N265),F265&gt;0),N265/F265,"")</f>
        <v/>
      </c>
      <c r="P265" s="27" t="n">
        <v>46329</v>
      </c>
      <c r="Q265" s="27" t="n">
        <v>46330</v>
      </c>
      <c r="R265" s="25" t="n">
        <v>5.28</v>
      </c>
      <c r="S265" s="28">
        <f>IF(AND(ISNUMBER(F265),ISNUMBER(R265),R265&gt;0),F265/R265,"")</f>
        <v/>
      </c>
      <c r="T265" s="27" t="n">
        <v>46323</v>
      </c>
    </row>
    <row r="266">
      <c r="A266" s="11" t="inlineStr">
        <is>
          <t>OXY</t>
        </is>
      </c>
      <c r="B266" s="11" t="inlineStr">
        <is>
          <t>Occidental Petroleum Corporatio</t>
        </is>
      </c>
      <c r="C266" s="11" t="inlineStr">
        <is>
          <t>Oil &amp; Gas E&amp;P</t>
        </is>
      </c>
      <c r="D266" s="11" t="inlineStr">
        <is>
          <t>United States</t>
        </is>
      </c>
      <c r="E266" s="12" t="n">
        <v>62.71</v>
      </c>
      <c r="F266" s="13" t="n">
        <v>62.73</v>
      </c>
      <c r="G266" s="13" t="n">
        <v>70.74074</v>
      </c>
      <c r="H266" s="14">
        <f>IF(AND(ISNUMBER(F266),ISNUMBER(G266),F266&gt;0),G266/F266-1,"")</f>
        <v/>
      </c>
      <c r="I266" s="13" t="n">
        <v>60</v>
      </c>
      <c r="J266" s="14">
        <f>IF(AND(ISNUMBER(F266),ISNUMBER(I266),F266&gt;0),I266/F266-1,"")</f>
        <v/>
      </c>
      <c r="K266" s="13" t="n">
        <v>82</v>
      </c>
      <c r="L266" s="14">
        <f>IF(AND(ISNUMBER(F266),ISNUMBER(K266),F266&gt;0),K266/F266-1,"")</f>
        <v/>
      </c>
      <c r="M266" s="15" t="n">
        <v>27</v>
      </c>
      <c r="N266" s="16" t="n">
        <v>1.12</v>
      </c>
      <c r="O266" s="17">
        <f>IF(AND(ISNUMBER(F266),ISNUMBER(N266),F266&gt;0),N266/F266,"")</f>
        <v/>
      </c>
      <c r="P266" s="18" t="n">
        <v>46366</v>
      </c>
      <c r="Q266" s="18" t="n">
        <v>46335</v>
      </c>
      <c r="R266" s="16" t="n">
        <v>3.52</v>
      </c>
      <c r="S266" s="19">
        <f>IF(AND(ISNUMBER(F266),ISNUMBER(R266),R266&gt;0),F266/R266,"")</f>
        <v/>
      </c>
      <c r="T266" s="18" t="n">
        <v>46323</v>
      </c>
    </row>
    <row r="267">
      <c r="A267" s="20" t="inlineStr">
        <is>
          <t>COR</t>
        </is>
      </c>
      <c r="B267" s="20" t="inlineStr">
        <is>
          <t>Cencora, Inc.</t>
        </is>
      </c>
      <c r="C267" s="20" t="inlineStr">
        <is>
          <t>Medical Distribution</t>
        </is>
      </c>
      <c r="D267" s="20" t="inlineStr">
        <is>
          <t>United States</t>
        </is>
      </c>
      <c r="E267" s="21" t="n">
        <v>62.09</v>
      </c>
      <c r="F267" s="22" t="n">
        <v>325.37</v>
      </c>
      <c r="G267" s="22" t="n">
        <v>369.08334</v>
      </c>
      <c r="H267" s="23">
        <f>IF(AND(ISNUMBER(F267),ISNUMBER(G267),F267&gt;0),G267/F267-1,"")</f>
        <v/>
      </c>
      <c r="I267" s="22" t="n">
        <v>330</v>
      </c>
      <c r="J267" s="23">
        <f>IF(AND(ISNUMBER(F267),ISNUMBER(I267),F267&gt;0),I267/F267-1,"")</f>
        <v/>
      </c>
      <c r="K267" s="22" t="n">
        <v>400</v>
      </c>
      <c r="L267" s="23">
        <f>IF(AND(ISNUMBER(F267),ISNUMBER(K267),F267&gt;0),K267/F267-1,"")</f>
        <v/>
      </c>
      <c r="M267" s="24" t="n">
        <v>12</v>
      </c>
      <c r="N267" s="25" t="n">
        <v>2.4</v>
      </c>
      <c r="O267" s="26">
        <f>IF(AND(ISNUMBER(F267),ISNUMBER(N267),F267&gt;0),N267/F267,"")</f>
        <v/>
      </c>
      <c r="P267" s="27" t="n">
        <v>46248</v>
      </c>
      <c r="Q267" s="27" t="n">
        <v>46330</v>
      </c>
      <c r="R267" s="25" t="n">
        <v>13.47</v>
      </c>
      <c r="S267" s="28">
        <f>IF(AND(ISNUMBER(F267),ISNUMBER(R267),R267&gt;0),F267/R267,"")</f>
        <v/>
      </c>
      <c r="T267" s="27" t="n">
        <v>46323</v>
      </c>
    </row>
    <row r="268">
      <c r="A268" s="11" t="inlineStr">
        <is>
          <t>NUE</t>
        </is>
      </c>
      <c r="B268" s="11" t="inlineStr">
        <is>
          <t>Nucor Corporation</t>
        </is>
      </c>
      <c r="C268" s="11" t="inlineStr">
        <is>
          <t>Steel</t>
        </is>
      </c>
      <c r="D268" s="11" t="inlineStr">
        <is>
          <t>United States</t>
        </is>
      </c>
      <c r="E268" s="12" t="n">
        <v>61.44</v>
      </c>
      <c r="F268" s="13" t="n">
        <v>270.79</v>
      </c>
      <c r="G268" s="13" t="n">
        <v>285</v>
      </c>
      <c r="H268" s="14">
        <f>IF(AND(ISNUMBER(F268),ISNUMBER(G268),F268&gt;0),G268/F268-1,"")</f>
        <v/>
      </c>
      <c r="I268" s="13" t="n">
        <v>226</v>
      </c>
      <c r="J268" s="14">
        <f>IF(AND(ISNUMBER(F268),ISNUMBER(I268),F268&gt;0),I268/F268-1,"")</f>
        <v/>
      </c>
      <c r="K268" s="13" t="n">
        <v>310</v>
      </c>
      <c r="L268" s="14">
        <f>IF(AND(ISNUMBER(F268),ISNUMBER(K268),F268&gt;0),K268/F268-1,"")</f>
        <v/>
      </c>
      <c r="M268" s="15" t="n">
        <v>16</v>
      </c>
      <c r="N268" s="16" t="n">
        <v>2.24</v>
      </c>
      <c r="O268" s="17">
        <f>IF(AND(ISNUMBER(F268),ISNUMBER(N268),F268&gt;0),N268/F268,"")</f>
        <v/>
      </c>
      <c r="P268" s="18" t="n">
        <v>46295</v>
      </c>
      <c r="Q268" s="18" t="n">
        <v>46412</v>
      </c>
      <c r="R268" s="16" t="n">
        <v>12.54</v>
      </c>
      <c r="S268" s="19">
        <f>IF(AND(ISNUMBER(F268),ISNUMBER(R268),R268&gt;0),F268/R268,"")</f>
        <v/>
      </c>
      <c r="T268" s="18" t="n">
        <v>46323</v>
      </c>
    </row>
    <row r="269">
      <c r="A269" s="20" t="inlineStr">
        <is>
          <t>AFL</t>
        </is>
      </c>
      <c r="B269" s="20" t="inlineStr">
        <is>
          <t>AFLAC Incorporated</t>
        </is>
      </c>
      <c r="C269" s="20" t="inlineStr">
        <is>
          <t>Insurance - Life</t>
        </is>
      </c>
      <c r="D269" s="20" t="inlineStr">
        <is>
          <t>United States</t>
        </is>
      </c>
      <c r="E269" s="21" t="n">
        <v>61.16</v>
      </c>
      <c r="F269" s="22" t="n">
        <v>121.99</v>
      </c>
      <c r="G269" s="22" t="n">
        <v>117.33333</v>
      </c>
      <c r="H269" s="23">
        <f>IF(AND(ISNUMBER(F269),ISNUMBER(G269),F269&gt;0),G269/F269-1,"")</f>
        <v/>
      </c>
      <c r="I269" s="22" t="n">
        <v>101</v>
      </c>
      <c r="J269" s="23">
        <f>IF(AND(ISNUMBER(F269),ISNUMBER(I269),F269&gt;0),I269/F269-1,"")</f>
        <v/>
      </c>
      <c r="K269" s="22" t="n">
        <v>138</v>
      </c>
      <c r="L269" s="23">
        <f>IF(AND(ISNUMBER(F269),ISNUMBER(K269),F269&gt;0),K269/F269-1,"")</f>
        <v/>
      </c>
      <c r="M269" s="24" t="n">
        <v>15</v>
      </c>
      <c r="N269" s="25" t="n">
        <v>2.44</v>
      </c>
      <c r="O269" s="26">
        <f>IF(AND(ISNUMBER(F269),ISNUMBER(N269),F269&gt;0),N269/F269,"")</f>
        <v/>
      </c>
      <c r="P269" s="27" t="n">
        <v>46253</v>
      </c>
      <c r="Q269" s="27" t="n">
        <v>46330</v>
      </c>
      <c r="R269" s="25" t="n">
        <v>9.300000000000001</v>
      </c>
      <c r="S269" s="28">
        <f>IF(AND(ISNUMBER(F269),ISNUMBER(R269),R269&gt;0),F269/R269,"")</f>
        <v/>
      </c>
      <c r="T269" s="27" t="n">
        <v>46323</v>
      </c>
    </row>
    <row r="270">
      <c r="A270" s="11" t="inlineStr">
        <is>
          <t>OKE</t>
        </is>
      </c>
      <c r="B270" s="11" t="inlineStr">
        <is>
          <t>ONEOK, Inc.</t>
        </is>
      </c>
      <c r="C270" s="11" t="inlineStr">
        <is>
          <t>Oil &amp; Gas Midstream</t>
        </is>
      </c>
      <c r="D270" s="11" t="inlineStr">
        <is>
          <t>United States</t>
        </is>
      </c>
      <c r="E270" s="12" t="n">
        <v>60.53</v>
      </c>
      <c r="F270" s="13" t="n">
        <v>96.01000000000001</v>
      </c>
      <c r="G270" s="13" t="n">
        <v>101.1</v>
      </c>
      <c r="H270" s="14">
        <f>IF(AND(ISNUMBER(F270),ISNUMBER(G270),F270&gt;0),G270/F270-1,"")</f>
        <v/>
      </c>
      <c r="I270" s="13" t="n">
        <v>91</v>
      </c>
      <c r="J270" s="14">
        <f>IF(AND(ISNUMBER(F270),ISNUMBER(I270),F270&gt;0),I270/F270-1,"")</f>
        <v/>
      </c>
      <c r="K270" s="13" t="n">
        <v>112</v>
      </c>
      <c r="L270" s="14">
        <f>IF(AND(ISNUMBER(F270),ISNUMBER(K270),F270&gt;0),K270/F270-1,"")</f>
        <v/>
      </c>
      <c r="M270" s="15" t="n">
        <v>20</v>
      </c>
      <c r="N270" s="16" t="n">
        <v>4.28</v>
      </c>
      <c r="O270" s="17">
        <f>IF(AND(ISNUMBER(F270),ISNUMBER(N270),F270&gt;0),N270/F270,"")</f>
        <v/>
      </c>
      <c r="P270" s="18" t="n">
        <v>46328</v>
      </c>
      <c r="Q270" s="18" t="n">
        <v>46322</v>
      </c>
      <c r="R270" s="16" t="n">
        <v>5.79</v>
      </c>
      <c r="S270" s="19">
        <f>IF(AND(ISNUMBER(F270),ISNUMBER(R270),R270&gt;0),F270/R270,"")</f>
        <v/>
      </c>
      <c r="T270" s="18" t="n">
        <v>46323</v>
      </c>
    </row>
    <row r="271">
      <c r="A271" s="20" t="inlineStr">
        <is>
          <t>NU</t>
        </is>
      </c>
      <c r="B271" s="20" t="inlineStr">
        <is>
          <t>Nu Holdings Ltd.</t>
        </is>
      </c>
      <c r="C271" s="20" t="inlineStr">
        <is>
          <t>Banks - Regional</t>
        </is>
      </c>
      <c r="D271" s="20" t="inlineStr">
        <is>
          <t>Brazil</t>
        </is>
      </c>
      <c r="E271" s="21" t="n">
        <v>59.9</v>
      </c>
      <c r="F271" s="22" t="n">
        <v>12.4</v>
      </c>
      <c r="G271" s="22" t="n">
        <v>18.96957</v>
      </c>
      <c r="H271" s="23">
        <f>IF(AND(ISNUMBER(F271),ISNUMBER(G271),F271&gt;0),G271/F271-1,"")</f>
        <v/>
      </c>
      <c r="I271" s="22" t="n">
        <v>12</v>
      </c>
      <c r="J271" s="23">
        <f>IF(AND(ISNUMBER(F271),ISNUMBER(I271),F271&gt;0),I271/F271-1,"")</f>
        <v/>
      </c>
      <c r="K271" s="22" t="n">
        <v>23</v>
      </c>
      <c r="L271" s="23">
        <f>IF(AND(ISNUMBER(F271),ISNUMBER(K271),F271&gt;0),K271/F271-1,"")</f>
        <v/>
      </c>
      <c r="M271" s="24" t="n">
        <v>23</v>
      </c>
      <c r="N271" s="25" t="n"/>
      <c r="O271" s="26">
        <f>IF(AND(ISNUMBER(F271),ISNUMBER(N271),F271&gt;0),N271/F271,"")</f>
        <v/>
      </c>
      <c r="P271" s="27" t="n"/>
      <c r="Q271" s="27" t="n">
        <v>46338</v>
      </c>
      <c r="R271" s="25" t="n">
        <v>0.73</v>
      </c>
      <c r="S271" s="28">
        <f>IF(AND(ISNUMBER(F271),ISNUMBER(R271),R271&gt;0),F271/R271,"")</f>
        <v/>
      </c>
      <c r="T271" s="27" t="n">
        <v>46323</v>
      </c>
    </row>
    <row r="272">
      <c r="A272" s="11" t="inlineStr">
        <is>
          <t>MSTR</t>
        </is>
      </c>
      <c r="B272" s="11" t="inlineStr">
        <is>
          <t>Strategy Inc</t>
        </is>
      </c>
      <c r="C272" s="11" t="inlineStr">
        <is>
          <t>Software - Application</t>
        </is>
      </c>
      <c r="D272" s="11" t="inlineStr">
        <is>
          <t>United States</t>
        </is>
      </c>
      <c r="E272" s="12" t="n">
        <v>59.89</v>
      </c>
      <c r="F272" s="13" t="n">
        <v>141.4</v>
      </c>
      <c r="G272" s="13" t="n">
        <v>239.26666</v>
      </c>
      <c r="H272" s="14">
        <f>IF(AND(ISNUMBER(F272),ISNUMBER(G272),F272&gt;0),G272/F272-1,"")</f>
        <v/>
      </c>
      <c r="I272" s="13" t="n">
        <v>165</v>
      </c>
      <c r="J272" s="14">
        <f>IF(AND(ISNUMBER(F272),ISNUMBER(I272),F272&gt;0),I272/F272-1,"")</f>
        <v/>
      </c>
      <c r="K272" s="13" t="n">
        <v>435</v>
      </c>
      <c r="L272" s="14">
        <f>IF(AND(ISNUMBER(F272),ISNUMBER(K272),F272&gt;0),K272/F272-1,"")</f>
        <v/>
      </c>
      <c r="M272" s="15" t="n">
        <v>15</v>
      </c>
      <c r="N272" s="16" t="n"/>
      <c r="O272" s="17">
        <f>IF(AND(ISNUMBER(F272),ISNUMBER(N272),F272&gt;0),N272/F272,"")</f>
        <v/>
      </c>
      <c r="P272" s="18" t="n"/>
      <c r="Q272" s="18" t="n">
        <v>46324</v>
      </c>
      <c r="R272" s="16" t="n">
        <v>-99.08</v>
      </c>
      <c r="S272" s="19">
        <f>IF(AND(ISNUMBER(F272),ISNUMBER(R272),R272&gt;0),F272/R272,"")</f>
        <v/>
      </c>
      <c r="T272" s="18" t="n">
        <v>46323</v>
      </c>
    </row>
    <row r="273">
      <c r="A273" s="20" t="inlineStr">
        <is>
          <t>MPWR</t>
        </is>
      </c>
      <c r="B273" s="20" t="inlineStr">
        <is>
          <t>Monolithic Power Systems, Inc.</t>
        </is>
      </c>
      <c r="C273" s="20" t="inlineStr">
        <is>
          <t>Semiconductors</t>
        </is>
      </c>
      <c r="D273" s="20" t="inlineStr">
        <is>
          <t>United States</t>
        </is>
      </c>
      <c r="E273" s="21" t="n">
        <v>59.56</v>
      </c>
      <c r="F273" s="22" t="n">
        <v>1211.89</v>
      </c>
      <c r="G273" s="22" t="n">
        <v>1799.8</v>
      </c>
      <c r="H273" s="23">
        <f>IF(AND(ISNUMBER(F273),ISNUMBER(G273),F273&gt;0),G273/F273-1,"")</f>
        <v/>
      </c>
      <c r="I273" s="22" t="n">
        <v>1500</v>
      </c>
      <c r="J273" s="23">
        <f>IF(AND(ISNUMBER(F273),ISNUMBER(I273),F273&gt;0),I273/F273-1,"")</f>
        <v/>
      </c>
      <c r="K273" s="22" t="n">
        <v>2100</v>
      </c>
      <c r="L273" s="23">
        <f>IF(AND(ISNUMBER(F273),ISNUMBER(K273),F273&gt;0),K273/F273-1,"")</f>
        <v/>
      </c>
      <c r="M273" s="24" t="n">
        <v>15</v>
      </c>
      <c r="N273" s="25" t="n">
        <v>8</v>
      </c>
      <c r="O273" s="26">
        <f>IF(AND(ISNUMBER(F273),ISNUMBER(N273),F273&gt;0),N273/F273,"")</f>
        <v/>
      </c>
      <c r="P273" s="27" t="n">
        <v>46295</v>
      </c>
      <c r="Q273" s="27" t="n">
        <v>46324</v>
      </c>
      <c r="R273" s="25" t="n">
        <v>16.44</v>
      </c>
      <c r="S273" s="28">
        <f>IF(AND(ISNUMBER(F273),ISNUMBER(R273),R273&gt;0),F273/R273,"")</f>
        <v/>
      </c>
      <c r="T273" s="27" t="n">
        <v>46323</v>
      </c>
    </row>
    <row r="274">
      <c r="A274" s="11" t="inlineStr">
        <is>
          <t>NTRA</t>
        </is>
      </c>
      <c r="B274" s="11" t="inlineStr">
        <is>
          <t>Natera, Inc.</t>
        </is>
      </c>
      <c r="C274" s="11" t="inlineStr">
        <is>
          <t>Diagnostics &amp; Research</t>
        </is>
      </c>
      <c r="D274" s="11" t="inlineStr">
        <is>
          <t>United States</t>
        </is>
      </c>
      <c r="E274" s="12" t="n">
        <v>59.22</v>
      </c>
      <c r="F274" s="13" t="n">
        <v>410.82</v>
      </c>
      <c r="G274" s="13" t="n">
        <v>411.38635</v>
      </c>
      <c r="H274" s="14">
        <f>IF(AND(ISNUMBER(F274),ISNUMBER(G274),F274&gt;0),G274/F274-1,"")</f>
        <v/>
      </c>
      <c r="I274" s="13" t="n">
        <v>280</v>
      </c>
      <c r="J274" s="14">
        <f>IF(AND(ISNUMBER(F274),ISNUMBER(I274),F274&gt;0),I274/F274-1,"")</f>
        <v/>
      </c>
      <c r="K274" s="13" t="n">
        <v>500</v>
      </c>
      <c r="L274" s="14">
        <f>IF(AND(ISNUMBER(F274),ISNUMBER(K274),F274&gt;0),K274/F274-1,"")</f>
        <v/>
      </c>
      <c r="M274" s="15" t="n">
        <v>22</v>
      </c>
      <c r="N274" s="16" t="n"/>
      <c r="O274" s="17">
        <f>IF(AND(ISNUMBER(F274),ISNUMBER(N274),F274&gt;0),N274/F274,"")</f>
        <v/>
      </c>
      <c r="P274" s="18" t="n"/>
      <c r="Q274" s="18" t="n">
        <v>46331</v>
      </c>
      <c r="R274" s="16" t="n">
        <v>-1.35</v>
      </c>
      <c r="S274" s="19">
        <f>IF(AND(ISNUMBER(F274),ISNUMBER(R274),R274&gt;0),F274/R274,"")</f>
        <v/>
      </c>
      <c r="T274" s="18" t="n">
        <v>46323</v>
      </c>
    </row>
    <row r="275">
      <c r="A275" s="20" t="inlineStr">
        <is>
          <t>MPLX</t>
        </is>
      </c>
      <c r="B275" s="20" t="inlineStr">
        <is>
          <t>MPLX LP</t>
        </is>
      </c>
      <c r="C275" s="20" t="inlineStr">
        <is>
          <t>Oil &amp; Gas Midstream</t>
        </is>
      </c>
      <c r="D275" s="20" t="inlineStr">
        <is>
          <t>United States</t>
        </is>
      </c>
      <c r="E275" s="21" t="n">
        <v>58.92</v>
      </c>
      <c r="F275" s="22" t="n">
        <v>58.11</v>
      </c>
      <c r="G275" s="22" t="n">
        <v>62.69231</v>
      </c>
      <c r="H275" s="23">
        <f>IF(AND(ISNUMBER(F275),ISNUMBER(G275),F275&gt;0),G275/F275-1,"")</f>
        <v/>
      </c>
      <c r="I275" s="22" t="n">
        <v>54</v>
      </c>
      <c r="J275" s="23">
        <f>IF(AND(ISNUMBER(F275),ISNUMBER(I275),F275&gt;0),I275/F275-1,"")</f>
        <v/>
      </c>
      <c r="K275" s="22" t="n">
        <v>73</v>
      </c>
      <c r="L275" s="23">
        <f>IF(AND(ISNUMBER(F275),ISNUMBER(K275),F275&gt;0),K275/F275-1,"")</f>
        <v/>
      </c>
      <c r="M275" s="24" t="n">
        <v>13</v>
      </c>
      <c r="N275" s="25" t="n">
        <v>4.31</v>
      </c>
      <c r="O275" s="26">
        <f>IF(AND(ISNUMBER(F275),ISNUMBER(N275),F275&gt;0),N275/F275,"")</f>
        <v/>
      </c>
      <c r="P275" s="27" t="n">
        <v>46241</v>
      </c>
      <c r="Q275" s="27" t="n">
        <v>46329</v>
      </c>
      <c r="R275" s="25" t="n">
        <v>4.65</v>
      </c>
      <c r="S275" s="28">
        <f>IF(AND(ISNUMBER(F275),ISNUMBER(R275),R275&gt;0),F275/R275,"")</f>
        <v/>
      </c>
      <c r="T275" s="27" t="n">
        <v>46323</v>
      </c>
    </row>
    <row r="276">
      <c r="A276" s="11" t="inlineStr">
        <is>
          <t>BKR</t>
        </is>
      </c>
      <c r="B276" s="11" t="inlineStr">
        <is>
          <t>Baker Hughes Company</t>
        </is>
      </c>
      <c r="C276" s="11" t="inlineStr">
        <is>
          <t>Oil &amp; Gas Equipment &amp; Services</t>
        </is>
      </c>
      <c r="D276" s="11" t="inlineStr">
        <is>
          <t>United States</t>
        </is>
      </c>
      <c r="E276" s="12" t="n">
        <v>58.57</v>
      </c>
      <c r="F276" s="13" t="n">
        <v>59</v>
      </c>
      <c r="G276" s="13" t="n">
        <v>70.625</v>
      </c>
      <c r="H276" s="14">
        <f>IF(AND(ISNUMBER(F276),ISNUMBER(G276),F276&gt;0),G276/F276-1,"")</f>
        <v/>
      </c>
      <c r="I276" s="13" t="n">
        <v>51</v>
      </c>
      <c r="J276" s="14">
        <f>IF(AND(ISNUMBER(F276),ISNUMBER(I276),F276&gt;0),I276/F276-1,"")</f>
        <v/>
      </c>
      <c r="K276" s="13" t="n">
        <v>85</v>
      </c>
      <c r="L276" s="14">
        <f>IF(AND(ISNUMBER(F276),ISNUMBER(K276),F276&gt;0),K276/F276-1,"")</f>
        <v/>
      </c>
      <c r="M276" s="15" t="n">
        <v>24</v>
      </c>
      <c r="N276" s="16" t="n">
        <v>0.92</v>
      </c>
      <c r="O276" s="17">
        <f>IF(AND(ISNUMBER(F276),ISNUMBER(N276),F276&gt;0),N276/F276,"")</f>
        <v/>
      </c>
      <c r="P276" s="18" t="n">
        <v>46241</v>
      </c>
      <c r="Q276" s="18" t="n">
        <v>46322</v>
      </c>
      <c r="R276" s="16" t="n">
        <v>3.12</v>
      </c>
      <c r="S276" s="19">
        <f>IF(AND(ISNUMBER(F276),ISNUMBER(R276),R276&gt;0),F276/R276,"")</f>
        <v/>
      </c>
      <c r="T276" s="18" t="n">
        <v>46323</v>
      </c>
    </row>
    <row r="277">
      <c r="A277" s="20" t="inlineStr">
        <is>
          <t>CVE</t>
        </is>
      </c>
      <c r="B277" s="20" t="inlineStr">
        <is>
          <t>Cenovus Energy Inc</t>
        </is>
      </c>
      <c r="C277" s="20" t="inlineStr">
        <is>
          <t>Oil &amp; Gas Integrated</t>
        </is>
      </c>
      <c r="D277" s="20" t="inlineStr">
        <is>
          <t>Canada</t>
        </is>
      </c>
      <c r="E277" s="21" t="n">
        <v>58.39</v>
      </c>
      <c r="F277" s="22" t="n">
        <v>31.66</v>
      </c>
      <c r="G277" s="22" t="n">
        <v>37.05</v>
      </c>
      <c r="H277" s="23">
        <f>IF(AND(ISNUMBER(F277),ISNUMBER(G277),F277&gt;0),G277/F277-1,"")</f>
        <v/>
      </c>
      <c r="I277" s="22" t="n">
        <v>33.1</v>
      </c>
      <c r="J277" s="23">
        <f>IF(AND(ISNUMBER(F277),ISNUMBER(I277),F277&gt;0),I277/F277-1,"")</f>
        <v/>
      </c>
      <c r="K277" s="22" t="n">
        <v>41</v>
      </c>
      <c r="L277" s="23">
        <f>IF(AND(ISNUMBER(F277),ISNUMBER(K277),F277&gt;0),K277/F277-1,"")</f>
        <v/>
      </c>
      <c r="M277" s="24" t="n">
        <v>2</v>
      </c>
      <c r="N277" s="25" t="n">
        <v>0.62</v>
      </c>
      <c r="O277" s="26">
        <f>IF(AND(ISNUMBER(F277),ISNUMBER(N277),F277&gt;0),N277/F277,"")</f>
        <v/>
      </c>
      <c r="P277" s="27" t="n">
        <v>46280</v>
      </c>
      <c r="Q277" s="27" t="n">
        <v>46324</v>
      </c>
      <c r="R277" s="25" t="n">
        <v>2.6</v>
      </c>
      <c r="S277" s="28">
        <f>IF(AND(ISNUMBER(F277),ISNUMBER(R277),R277&gt;0),F277/R277,"")</f>
        <v/>
      </c>
      <c r="T277" s="27" t="n">
        <v>46323</v>
      </c>
    </row>
    <row r="278">
      <c r="A278" s="11" t="inlineStr">
        <is>
          <t>PSA</t>
        </is>
      </c>
      <c r="B278" s="11" t="inlineStr">
        <is>
          <t>Public Storage</t>
        </is>
      </c>
      <c r="C278" s="11" t="inlineStr">
        <is>
          <t>Reit - Industrial</t>
        </is>
      </c>
      <c r="D278" s="11" t="inlineStr">
        <is>
          <t>United States</t>
        </is>
      </c>
      <c r="E278" s="12" t="n">
        <v>58.39</v>
      </c>
      <c r="F278" s="13" t="n">
        <v>312.47</v>
      </c>
      <c r="G278" s="13" t="n">
        <v>329</v>
      </c>
      <c r="H278" s="14">
        <f>IF(AND(ISNUMBER(F278),ISNUMBER(G278),F278&gt;0),G278/F278-1,"")</f>
        <v/>
      </c>
      <c r="I278" s="13" t="n">
        <v>285</v>
      </c>
      <c r="J278" s="14">
        <f>IF(AND(ISNUMBER(F278),ISNUMBER(I278),F278&gt;0),I278/F278-1,"")</f>
        <v/>
      </c>
      <c r="K278" s="13" t="n">
        <v>367</v>
      </c>
      <c r="L278" s="14">
        <f>IF(AND(ISNUMBER(F278),ISNUMBER(K278),F278&gt;0),K278/F278-1,"")</f>
        <v/>
      </c>
      <c r="M278" s="15" t="n">
        <v>18</v>
      </c>
      <c r="N278" s="16" t="n">
        <v>12</v>
      </c>
      <c r="O278" s="17">
        <f>IF(AND(ISNUMBER(F278),ISNUMBER(N278),F278&gt;0),N278/F278,"")</f>
        <v/>
      </c>
      <c r="P278" s="18" t="n">
        <v>46280</v>
      </c>
      <c r="Q278" s="18" t="n">
        <v>46321</v>
      </c>
      <c r="R278" s="16" t="n">
        <v>10.47</v>
      </c>
      <c r="S278" s="19">
        <f>IF(AND(ISNUMBER(F278),ISNUMBER(R278),R278&gt;0),F278/R278,"")</f>
        <v/>
      </c>
      <c r="T278" s="18" t="n">
        <v>46323</v>
      </c>
    </row>
    <row r="279">
      <c r="A279" s="20" t="inlineStr">
        <is>
          <t>NDAQ</t>
        </is>
      </c>
      <c r="B279" s="20" t="inlineStr">
        <is>
          <t>Nasdaq, Inc.</t>
        </is>
      </c>
      <c r="C279" s="20" t="inlineStr">
        <is>
          <t>Financial Data &amp; Stock Exchanges</t>
        </is>
      </c>
      <c r="D279" s="20" t="inlineStr">
        <is>
          <t>United States</t>
        </is>
      </c>
      <c r="E279" s="21" t="n">
        <v>58.33</v>
      </c>
      <c r="F279" s="22" t="n">
        <v>104.36</v>
      </c>
      <c r="G279" s="22" t="n">
        <v>115.25</v>
      </c>
      <c r="H279" s="23">
        <f>IF(AND(ISNUMBER(F279),ISNUMBER(G279),F279&gt;0),G279/F279-1,"")</f>
        <v/>
      </c>
      <c r="I279" s="22" t="n">
        <v>87</v>
      </c>
      <c r="J279" s="23">
        <f>IF(AND(ISNUMBER(F279),ISNUMBER(I279),F279&gt;0),I279/F279-1,"")</f>
        <v/>
      </c>
      <c r="K279" s="22" t="n">
        <v>133</v>
      </c>
      <c r="L279" s="23">
        <f>IF(AND(ISNUMBER(F279),ISNUMBER(K279),F279&gt;0),K279/F279-1,"")</f>
        <v/>
      </c>
      <c r="M279" s="24" t="n">
        <v>16</v>
      </c>
      <c r="N279" s="25" t="n">
        <v>1.16</v>
      </c>
      <c r="O279" s="26">
        <f>IF(AND(ISNUMBER(F279),ISNUMBER(N279),F279&gt;0),N279/F279,"")</f>
        <v/>
      </c>
      <c r="P279" s="27" t="n">
        <v>46360</v>
      </c>
      <c r="Q279" s="27" t="n">
        <v>46317</v>
      </c>
      <c r="R279" s="25" t="n">
        <v>3.66</v>
      </c>
      <c r="S279" s="28">
        <f>IF(AND(ISNUMBER(F279),ISNUMBER(R279),R279&gt;0),F279/R279,"")</f>
        <v/>
      </c>
      <c r="T279" s="27" t="n">
        <v>46323</v>
      </c>
    </row>
    <row r="280">
      <c r="A280" s="11" t="inlineStr">
        <is>
          <t>CMPGY</t>
        </is>
      </c>
      <c r="B280" s="11" t="inlineStr">
        <is>
          <t>Compass Group Plc</t>
        </is>
      </c>
      <c r="C280" s="11" t="inlineStr">
        <is>
          <t>Restaurants</t>
        </is>
      </c>
      <c r="D280" s="11" t="inlineStr">
        <is>
          <t>United Kingdom</t>
        </is>
      </c>
      <c r="E280" s="12" t="n">
        <v>57.81</v>
      </c>
      <c r="F280" s="13" t="n">
        <v>34</v>
      </c>
      <c r="G280" s="13" t="n">
        <v>38.66667</v>
      </c>
      <c r="H280" s="14">
        <f>IF(AND(ISNUMBER(F280),ISNUMBER(G280),F280&gt;0),G280/F280-1,"")</f>
        <v/>
      </c>
      <c r="I280" s="13" t="n">
        <v>34</v>
      </c>
      <c r="J280" s="14">
        <f>IF(AND(ISNUMBER(F280),ISNUMBER(I280),F280&gt;0),I280/F280-1,"")</f>
        <v/>
      </c>
      <c r="K280" s="13" t="n">
        <v>42</v>
      </c>
      <c r="L280" s="14">
        <f>IF(AND(ISNUMBER(F280),ISNUMBER(K280),F280&gt;0),K280/F280-1,"")</f>
        <v/>
      </c>
      <c r="M280" s="15" t="n">
        <v>3</v>
      </c>
      <c r="N280" s="16" t="n">
        <v>0.6899999999999999</v>
      </c>
      <c r="O280" s="17">
        <f>IF(AND(ISNUMBER(F280),ISNUMBER(N280),F280&gt;0),N280/F280,"")</f>
        <v/>
      </c>
      <c r="P280" s="18" t="n">
        <v>46191</v>
      </c>
      <c r="Q280" s="18" t="n">
        <v>45791</v>
      </c>
      <c r="R280" s="16" t="n">
        <v>1.19</v>
      </c>
      <c r="S280" s="19">
        <f>IF(AND(ISNUMBER(F280),ISNUMBER(R280),R280&gt;0),F280/R280,"")</f>
        <v/>
      </c>
      <c r="T280" s="18" t="n">
        <v>46323</v>
      </c>
    </row>
    <row r="281">
      <c r="A281" s="20" t="inlineStr">
        <is>
          <t>D</t>
        </is>
      </c>
      <c r="B281" s="20" t="inlineStr">
        <is>
          <t>Dominion Energy, Inc.</t>
        </is>
      </c>
      <c r="C281" s="20" t="inlineStr">
        <is>
          <t>Utilities - Regulated Electric</t>
        </is>
      </c>
      <c r="D281" s="20" t="inlineStr">
        <is>
          <t>United States</t>
        </is>
      </c>
      <c r="E281" s="21" t="n">
        <v>57.49</v>
      </c>
      <c r="F281" s="22" t="n">
        <v>65.36</v>
      </c>
      <c r="G281" s="22" t="n">
        <v>70</v>
      </c>
      <c r="H281" s="23">
        <f>IF(AND(ISNUMBER(F281),ISNUMBER(G281),F281&gt;0),G281/F281-1,"")</f>
        <v/>
      </c>
      <c r="I281" s="22" t="n">
        <v>62</v>
      </c>
      <c r="J281" s="23">
        <f>IF(AND(ISNUMBER(F281),ISNUMBER(I281),F281&gt;0),I281/F281-1,"")</f>
        <v/>
      </c>
      <c r="K281" s="22" t="n">
        <v>87</v>
      </c>
      <c r="L281" s="23">
        <f>IF(AND(ISNUMBER(F281),ISNUMBER(K281),F281&gt;0),K281/F281-1,"")</f>
        <v/>
      </c>
      <c r="M281" s="24" t="n">
        <v>12</v>
      </c>
      <c r="N281" s="25" t="n">
        <v>2.67</v>
      </c>
      <c r="O281" s="26">
        <f>IF(AND(ISNUMBER(F281),ISNUMBER(N281),F281&gt;0),N281/F281,"")</f>
        <v/>
      </c>
      <c r="P281" s="27" t="n">
        <v>46269</v>
      </c>
      <c r="Q281" s="27" t="n">
        <v>46325</v>
      </c>
      <c r="R281" s="25" t="n">
        <v>2.89</v>
      </c>
      <c r="S281" s="28">
        <f>IF(AND(ISNUMBER(F281),ISNUMBER(R281),R281&gt;0),F281/R281,"")</f>
        <v/>
      </c>
      <c r="T281" s="27" t="n">
        <v>46323</v>
      </c>
    </row>
    <row r="282">
      <c r="A282" s="11" t="inlineStr">
        <is>
          <t>FANG</t>
        </is>
      </c>
      <c r="B282" s="11" t="inlineStr">
        <is>
          <t>Diamondback Energy, Inc.</t>
        </is>
      </c>
      <c r="C282" s="11" t="inlineStr">
        <is>
          <t>Oil &amp; Gas E&amp;P</t>
        </is>
      </c>
      <c r="D282" s="11" t="inlineStr">
        <is>
          <t>United States</t>
        </is>
      </c>
      <c r="E282" s="12" t="n">
        <v>57.26</v>
      </c>
      <c r="F282" s="13" t="n">
        <v>204.48</v>
      </c>
      <c r="G282" s="13" t="n">
        <v>238.93103</v>
      </c>
      <c r="H282" s="14">
        <f>IF(AND(ISNUMBER(F282),ISNUMBER(G282),F282&gt;0),G282/F282-1,"")</f>
        <v/>
      </c>
      <c r="I282" s="13" t="n">
        <v>213</v>
      </c>
      <c r="J282" s="14">
        <f>IF(AND(ISNUMBER(F282),ISNUMBER(I282),F282&gt;0),I282/F282-1,"")</f>
        <v/>
      </c>
      <c r="K282" s="13" t="n">
        <v>287</v>
      </c>
      <c r="L282" s="14">
        <f>IF(AND(ISNUMBER(F282),ISNUMBER(K282),F282&gt;0),K282/F282-1,"")</f>
        <v/>
      </c>
      <c r="M282" s="15" t="n">
        <v>29</v>
      </c>
      <c r="N282" s="16" t="n">
        <v>4.4</v>
      </c>
      <c r="O282" s="17">
        <f>IF(AND(ISNUMBER(F282),ISNUMBER(N282),F282&gt;0),N282/F282,"")</f>
        <v/>
      </c>
      <c r="P282" s="18" t="n">
        <v>46247</v>
      </c>
      <c r="Q282" s="18" t="n">
        <v>46328</v>
      </c>
      <c r="R282" s="16" t="n">
        <v>5.15</v>
      </c>
      <c r="S282" s="19">
        <f>IF(AND(ISNUMBER(F282),ISNUMBER(R282),R282&gt;0),F282/R282,"")</f>
        <v/>
      </c>
      <c r="T282" s="18" t="n">
        <v>46323</v>
      </c>
    </row>
    <row r="283">
      <c r="A283" s="20" t="inlineStr">
        <is>
          <t>KEYS</t>
        </is>
      </c>
      <c r="B283" s="20" t="inlineStr">
        <is>
          <t>Keysight Technologies Inc.</t>
        </is>
      </c>
      <c r="C283" s="20" t="inlineStr">
        <is>
          <t>Scientific &amp; Technical Instruments</t>
        </is>
      </c>
      <c r="D283" s="20" t="inlineStr">
        <is>
          <t>United States</t>
        </is>
      </c>
      <c r="E283" s="21" t="n">
        <v>57.22</v>
      </c>
      <c r="F283" s="22" t="n">
        <v>336.1</v>
      </c>
      <c r="G283" s="22" t="n">
        <v>418</v>
      </c>
      <c r="H283" s="23">
        <f>IF(AND(ISNUMBER(F283),ISNUMBER(G283),F283&gt;0),G283/F283-1,"")</f>
        <v/>
      </c>
      <c r="I283" s="22" t="n">
        <v>350</v>
      </c>
      <c r="J283" s="23">
        <f>IF(AND(ISNUMBER(F283),ISNUMBER(I283),F283&gt;0),I283/F283-1,"")</f>
        <v/>
      </c>
      <c r="K283" s="22" t="n">
        <v>487</v>
      </c>
      <c r="L283" s="23">
        <f>IF(AND(ISNUMBER(F283),ISNUMBER(K283),F283&gt;0),K283/F283-1,"")</f>
        <v/>
      </c>
      <c r="M283" s="24" t="n">
        <v>12</v>
      </c>
      <c r="N283" s="25" t="n"/>
      <c r="O283" s="26">
        <f>IF(AND(ISNUMBER(F283),ISNUMBER(N283),F283&gt;0),N283/F283,"")</f>
        <v/>
      </c>
      <c r="P283" s="27" t="n"/>
      <c r="Q283" s="27" t="n">
        <v>46350</v>
      </c>
      <c r="R283" s="25" t="n">
        <v>7.39</v>
      </c>
      <c r="S283" s="28">
        <f>IF(AND(ISNUMBER(F283),ISNUMBER(R283),R283&gt;0),F283/R283,"")</f>
        <v/>
      </c>
      <c r="T283" s="27" t="n">
        <v>46323</v>
      </c>
    </row>
    <row r="284">
      <c r="A284" s="11" t="inlineStr">
        <is>
          <t>WPM</t>
        </is>
      </c>
      <c r="B284" s="11" t="inlineStr">
        <is>
          <t>Wheaton Precious Metals Corp</t>
        </is>
      </c>
      <c r="C284" s="11" t="inlineStr">
        <is>
          <t>Gold</t>
        </is>
      </c>
      <c r="D284" s="11" t="inlineStr">
        <is>
          <t>Canada</t>
        </is>
      </c>
      <c r="E284" s="12" t="n">
        <v>57.19</v>
      </c>
      <c r="F284" s="13" t="n">
        <v>125.92</v>
      </c>
      <c r="G284" s="13" t="n">
        <v>172.019</v>
      </c>
      <c r="H284" s="14">
        <f>IF(AND(ISNUMBER(F284),ISNUMBER(G284),F284&gt;0),G284/F284-1,"")</f>
        <v/>
      </c>
      <c r="I284" s="13" t="n">
        <v>154</v>
      </c>
      <c r="J284" s="14">
        <f>IF(AND(ISNUMBER(F284),ISNUMBER(I284),F284&gt;0),I284/F284-1,"")</f>
        <v/>
      </c>
      <c r="K284" s="13" t="n">
        <v>215</v>
      </c>
      <c r="L284" s="14">
        <f>IF(AND(ISNUMBER(F284),ISNUMBER(K284),F284&gt;0),K284/F284-1,"")</f>
        <v/>
      </c>
      <c r="M284" s="15" t="n">
        <v>10</v>
      </c>
      <c r="N284" s="16" t="n">
        <v>0.78</v>
      </c>
      <c r="O284" s="17">
        <f>IF(AND(ISNUMBER(F284),ISNUMBER(N284),F284&gt;0),N284/F284,"")</f>
        <v/>
      </c>
      <c r="P284" s="18" t="n">
        <v>46254</v>
      </c>
      <c r="Q284" s="18" t="n">
        <v>46331</v>
      </c>
      <c r="R284" s="16" t="n">
        <v>4.56</v>
      </c>
      <c r="S284" s="19">
        <f>IF(AND(ISNUMBER(F284),ISNUMBER(R284),R284&gt;0),F284/R284,"")</f>
        <v/>
      </c>
      <c r="T284" s="18" t="n">
        <v>46323</v>
      </c>
    </row>
    <row r="285">
      <c r="A285" s="20" t="inlineStr">
        <is>
          <t>CAH</t>
        </is>
      </c>
      <c r="B285" s="20" t="inlineStr">
        <is>
          <t>Cardinal Health, Inc.</t>
        </is>
      </c>
      <c r="C285" s="20" t="inlineStr">
        <is>
          <t>Medical Distribution</t>
        </is>
      </c>
      <c r="D285" s="20" t="inlineStr">
        <is>
          <t>United States</t>
        </is>
      </c>
      <c r="E285" s="21" t="n">
        <v>57.07</v>
      </c>
      <c r="F285" s="22" t="n">
        <v>246.45</v>
      </c>
      <c r="G285" s="22" t="n">
        <v>273.46667</v>
      </c>
      <c r="H285" s="23">
        <f>IF(AND(ISNUMBER(F285),ISNUMBER(G285),F285&gt;0),G285/F285-1,"")</f>
        <v/>
      </c>
      <c r="I285" s="22" t="n">
        <v>235</v>
      </c>
      <c r="J285" s="23">
        <f>IF(AND(ISNUMBER(F285),ISNUMBER(I285),F285&gt;0),I285/F285-1,"")</f>
        <v/>
      </c>
      <c r="K285" s="22" t="n">
        <v>295</v>
      </c>
      <c r="L285" s="23">
        <f>IF(AND(ISNUMBER(F285),ISNUMBER(K285),F285&gt;0),K285/F285-1,"")</f>
        <v/>
      </c>
      <c r="M285" s="24" t="n">
        <v>15</v>
      </c>
      <c r="N285" s="25" t="n">
        <v>2.06</v>
      </c>
      <c r="O285" s="26">
        <f>IF(AND(ISNUMBER(F285),ISNUMBER(N285),F285&gt;0),N285/F285,"")</f>
        <v/>
      </c>
      <c r="P285" s="27" t="n">
        <v>46296</v>
      </c>
      <c r="Q285" s="27" t="n">
        <v>46331</v>
      </c>
      <c r="R285" s="25" t="n">
        <v>7.23</v>
      </c>
      <c r="S285" s="28">
        <f>IF(AND(ISNUMBER(F285),ISNUMBER(R285),R285&gt;0),F285/R285,"")</f>
        <v/>
      </c>
      <c r="T285" s="27" t="n">
        <v>46323</v>
      </c>
    </row>
    <row r="286">
      <c r="A286" s="11" t="inlineStr">
        <is>
          <t>CRH</t>
        </is>
      </c>
      <c r="B286" s="11" t="inlineStr">
        <is>
          <t>CRH PLC</t>
        </is>
      </c>
      <c r="C286" s="11" t="inlineStr">
        <is>
          <t>Building Materials</t>
        </is>
      </c>
      <c r="D286" s="11" t="inlineStr">
        <is>
          <t>Ireland</t>
        </is>
      </c>
      <c r="E286" s="12" t="n">
        <v>57.06</v>
      </c>
      <c r="F286" s="13" t="n">
        <v>85.77</v>
      </c>
      <c r="G286" s="13" t="n">
        <v>122.71667</v>
      </c>
      <c r="H286" s="14">
        <f>IF(AND(ISNUMBER(F286),ISNUMBER(G286),F286&gt;0),G286/F286-1,"")</f>
        <v/>
      </c>
      <c r="I286" s="13" t="n">
        <v>96</v>
      </c>
      <c r="J286" s="14">
        <f>IF(AND(ISNUMBER(F286),ISNUMBER(I286),F286&gt;0),I286/F286-1,"")</f>
        <v/>
      </c>
      <c r="K286" s="13" t="n">
        <v>160</v>
      </c>
      <c r="L286" s="14">
        <f>IF(AND(ISNUMBER(F286),ISNUMBER(K286),F286&gt;0),K286/F286-1,"")</f>
        <v/>
      </c>
      <c r="M286" s="15" t="n">
        <v>24</v>
      </c>
      <c r="N286" s="16" t="n">
        <v>1.56</v>
      </c>
      <c r="O286" s="17">
        <f>IF(AND(ISNUMBER(F286),ISNUMBER(N286),F286&gt;0),N286/F286,"")</f>
        <v/>
      </c>
      <c r="P286" s="18" t="n">
        <v>46248</v>
      </c>
      <c r="Q286" s="18" t="n">
        <v>46324</v>
      </c>
      <c r="R286" s="16" t="n">
        <v>5.66</v>
      </c>
      <c r="S286" s="19">
        <f>IF(AND(ISNUMBER(F286),ISNUMBER(R286),R286&gt;0),F286/R286,"")</f>
        <v/>
      </c>
      <c r="T286" s="18" t="n">
        <v>46323</v>
      </c>
    </row>
    <row r="287">
      <c r="A287" s="20" t="inlineStr">
        <is>
          <t>AME</t>
        </is>
      </c>
      <c r="B287" s="20" t="inlineStr">
        <is>
          <t>AMETEK, Inc.</t>
        </is>
      </c>
      <c r="C287" s="20" t="inlineStr">
        <is>
          <t>Specialty Industrial Machinery</t>
        </is>
      </c>
      <c r="D287" s="20" t="inlineStr">
        <is>
          <t>United States</t>
        </is>
      </c>
      <c r="E287" s="21" t="n">
        <v>56.45</v>
      </c>
      <c r="F287" s="22" t="n">
        <v>246.22</v>
      </c>
      <c r="G287" s="22" t="n">
        <v>282.05557</v>
      </c>
      <c r="H287" s="23">
        <f>IF(AND(ISNUMBER(F287),ISNUMBER(G287),F287&gt;0),G287/F287-1,"")</f>
        <v/>
      </c>
      <c r="I287" s="22" t="n">
        <v>217</v>
      </c>
      <c r="J287" s="23">
        <f>IF(AND(ISNUMBER(F287),ISNUMBER(I287),F287&gt;0),I287/F287-1,"")</f>
        <v/>
      </c>
      <c r="K287" s="22" t="n">
        <v>318</v>
      </c>
      <c r="L287" s="23">
        <f>IF(AND(ISNUMBER(F287),ISNUMBER(K287),F287&gt;0),K287/F287-1,"")</f>
        <v/>
      </c>
      <c r="M287" s="24" t="n">
        <v>18</v>
      </c>
      <c r="N287" s="25" t="n">
        <v>1.36</v>
      </c>
      <c r="O287" s="26">
        <f>IF(AND(ISNUMBER(F287),ISNUMBER(N287),F287&gt;0),N287/F287,"")</f>
        <v/>
      </c>
      <c r="P287" s="27" t="n">
        <v>46280</v>
      </c>
      <c r="Q287" s="27" t="n">
        <v>46329</v>
      </c>
      <c r="R287" s="25" t="n">
        <v>6.92</v>
      </c>
      <c r="S287" s="28">
        <f>IF(AND(ISNUMBER(F287),ISNUMBER(R287),R287&gt;0),F287/R287,"")</f>
        <v/>
      </c>
      <c r="T287" s="27" t="n">
        <v>46323</v>
      </c>
    </row>
    <row r="288">
      <c r="A288" s="11" t="inlineStr">
        <is>
          <t>DVN</t>
        </is>
      </c>
      <c r="B288" s="11" t="inlineStr">
        <is>
          <t>Devon Energy Corporation</t>
        </is>
      </c>
      <c r="C288" s="11" t="inlineStr">
        <is>
          <t>Oil &amp; Gas E&amp;P</t>
        </is>
      </c>
      <c r="D288" s="11" t="inlineStr">
        <is>
          <t>United States</t>
        </is>
      </c>
      <c r="E288" s="12" t="n">
        <v>56.35</v>
      </c>
      <c r="F288" s="13" t="n">
        <v>51.23</v>
      </c>
      <c r="G288" s="13" t="n">
        <v>61.57692</v>
      </c>
      <c r="H288" s="14">
        <f>IF(AND(ISNUMBER(F288),ISNUMBER(G288),F288&gt;0),G288/F288-1,"")</f>
        <v/>
      </c>
      <c r="I288" s="13" t="n">
        <v>44</v>
      </c>
      <c r="J288" s="14">
        <f>IF(AND(ISNUMBER(F288),ISNUMBER(I288),F288&gt;0),I288/F288-1,"")</f>
        <v/>
      </c>
      <c r="K288" s="13" t="n">
        <v>74</v>
      </c>
      <c r="L288" s="14">
        <f>IF(AND(ISNUMBER(F288),ISNUMBER(K288),F288&gt;0),K288/F288-1,"")</f>
        <v/>
      </c>
      <c r="M288" s="15" t="n">
        <v>26</v>
      </c>
      <c r="N288" s="16" t="n">
        <v>1.28</v>
      </c>
      <c r="O288" s="17">
        <f>IF(AND(ISNUMBER(F288),ISNUMBER(N288),F288&gt;0),N288/F288,"")</f>
        <v/>
      </c>
      <c r="P288" s="18" t="n">
        <v>46280</v>
      </c>
      <c r="Q288" s="18" t="n">
        <v>46331</v>
      </c>
      <c r="R288" s="16" t="n">
        <v>4.59</v>
      </c>
      <c r="S288" s="19">
        <f>IF(AND(ISNUMBER(F288),ISNUMBER(R288),R288&gt;0),F288/R288,"")</f>
        <v/>
      </c>
      <c r="T288" s="18" t="n">
        <v>46323</v>
      </c>
    </row>
    <row r="289">
      <c r="A289" s="20" t="inlineStr">
        <is>
          <t>GRMN</t>
        </is>
      </c>
      <c r="B289" s="20" t="inlineStr">
        <is>
          <t>Garmin Ltd.</t>
        </is>
      </c>
      <c r="C289" s="20" t="inlineStr">
        <is>
          <t>Scientific &amp; Technical Instruments</t>
        </is>
      </c>
      <c r="D289" s="20" t="inlineStr">
        <is>
          <t>Switzerland</t>
        </is>
      </c>
      <c r="E289" s="21" t="n">
        <v>55.8</v>
      </c>
      <c r="F289" s="22" t="n">
        <v>289.34</v>
      </c>
      <c r="G289" s="22" t="n">
        <v>306.7143</v>
      </c>
      <c r="H289" s="23">
        <f>IF(AND(ISNUMBER(F289),ISNUMBER(G289),F289&gt;0),G289/F289-1,"")</f>
        <v/>
      </c>
      <c r="I289" s="22" t="n">
        <v>231</v>
      </c>
      <c r="J289" s="23">
        <f>IF(AND(ISNUMBER(F289),ISNUMBER(I289),F289&gt;0),I289/F289-1,"")</f>
        <v/>
      </c>
      <c r="K289" s="22" t="n">
        <v>370</v>
      </c>
      <c r="L289" s="23">
        <f>IF(AND(ISNUMBER(F289),ISNUMBER(K289),F289&gt;0),K289/F289-1,"")</f>
        <v/>
      </c>
      <c r="M289" s="24" t="n">
        <v>7</v>
      </c>
      <c r="N289" s="25" t="n">
        <v>4.2</v>
      </c>
      <c r="O289" s="26">
        <f>IF(AND(ISNUMBER(F289),ISNUMBER(N289),F289&gt;0),N289/F289,"")</f>
        <v/>
      </c>
      <c r="P289" s="27" t="n">
        <v>46367</v>
      </c>
      <c r="Q289" s="27" t="n">
        <v>46323</v>
      </c>
      <c r="R289" s="25" t="n">
        <v>9.69</v>
      </c>
      <c r="S289" s="28">
        <f>IF(AND(ISNUMBER(F289),ISNUMBER(R289),R289&gt;0),F289/R289,"")</f>
        <v/>
      </c>
      <c r="T289" s="27" t="n">
        <v>46323</v>
      </c>
    </row>
    <row r="290">
      <c r="A290" s="11" t="inlineStr">
        <is>
          <t>NKE</t>
        </is>
      </c>
      <c r="B290" s="11" t="inlineStr">
        <is>
          <t>Nike, Inc.</t>
        </is>
      </c>
      <c r="C290" s="11" t="inlineStr">
        <is>
          <t>Footwear &amp; Accessories</t>
        </is>
      </c>
      <c r="D290" s="11" t="inlineStr">
        <is>
          <t>United States</t>
        </is>
      </c>
      <c r="E290" s="12" t="n">
        <v>55.79</v>
      </c>
      <c r="F290" s="13" t="n">
        <v>37.56</v>
      </c>
      <c r="G290" s="13" t="n">
        <v>36.5</v>
      </c>
      <c r="H290" s="14">
        <f>IF(AND(ISNUMBER(F290),ISNUMBER(G290),F290&gt;0),G290/F290-1,"")</f>
        <v/>
      </c>
      <c r="I290" s="13" t="n">
        <v>19</v>
      </c>
      <c r="J290" s="14">
        <f>IF(AND(ISNUMBER(F290),ISNUMBER(I290),F290&gt;0),I290/F290-1,"")</f>
        <v/>
      </c>
      <c r="K290" s="13" t="n">
        <v>60</v>
      </c>
      <c r="L290" s="14">
        <f>IF(AND(ISNUMBER(F290),ISNUMBER(K290),F290&gt;0),K290/F290-1,"")</f>
        <v/>
      </c>
      <c r="M290" s="15" t="n">
        <v>37</v>
      </c>
      <c r="N290" s="16" t="n">
        <v>1.64</v>
      </c>
      <c r="O290" s="17">
        <f>IF(AND(ISNUMBER(F290),ISNUMBER(N290),F290&gt;0),N290/F290,"")</f>
        <v/>
      </c>
      <c r="P290" s="18" t="n">
        <v>46266</v>
      </c>
      <c r="Q290" s="18" t="n">
        <v>46373</v>
      </c>
      <c r="R290" s="16" t="n">
        <v>2.08</v>
      </c>
      <c r="S290" s="19">
        <f>IF(AND(ISNUMBER(F290),ISNUMBER(R290),R290&gt;0),F290/R290,"")</f>
        <v/>
      </c>
      <c r="T290" s="18" t="n">
        <v>46323</v>
      </c>
    </row>
    <row r="291">
      <c r="A291" s="20" t="inlineStr">
        <is>
          <t>TEAM</t>
        </is>
      </c>
      <c r="B291" s="20" t="inlineStr">
        <is>
          <t>Atlassian Corporation</t>
        </is>
      </c>
      <c r="C291" s="20" t="inlineStr">
        <is>
          <t>Software - Application</t>
        </is>
      </c>
      <c r="D291" s="20" t="inlineStr">
        <is>
          <t>Australia</t>
        </is>
      </c>
      <c r="E291" s="21" t="n">
        <v>55.54</v>
      </c>
      <c r="F291" s="22" t="n">
        <v>219.41</v>
      </c>
      <c r="G291" s="22" t="n">
        <v>227.55548</v>
      </c>
      <c r="H291" s="23">
        <f>IF(AND(ISNUMBER(F291),ISNUMBER(G291),F291&gt;0),G291/F291-1,"")</f>
        <v/>
      </c>
      <c r="I291" s="22" t="n">
        <v>145</v>
      </c>
      <c r="J291" s="23">
        <f>IF(AND(ISNUMBER(F291),ISNUMBER(I291),F291&gt;0),I291/F291-1,"")</f>
        <v/>
      </c>
      <c r="K291" s="22" t="n">
        <v>480</v>
      </c>
      <c r="L291" s="23">
        <f>IF(AND(ISNUMBER(F291),ISNUMBER(K291),F291&gt;0),K291/F291-1,"")</f>
        <v/>
      </c>
      <c r="M291" s="24" t="n">
        <v>31</v>
      </c>
      <c r="N291" s="25" t="n"/>
      <c r="O291" s="26">
        <f>IF(AND(ISNUMBER(F291),ISNUMBER(N291),F291&gt;0),N291/F291,"")</f>
        <v/>
      </c>
      <c r="P291" s="27" t="n"/>
      <c r="Q291" s="27" t="n">
        <v>46331</v>
      </c>
      <c r="R291" s="25" t="n">
        <v>-0.21</v>
      </c>
      <c r="S291" s="28">
        <f>IF(AND(ISNUMBER(F291),ISNUMBER(R291),R291&gt;0),F291/R291,"")</f>
        <v/>
      </c>
      <c r="T291" s="27" t="n">
        <v>46323</v>
      </c>
    </row>
    <row r="292">
      <c r="A292" s="11" t="inlineStr">
        <is>
          <t>ARGX</t>
        </is>
      </c>
      <c r="B292" s="11" t="inlineStr">
        <is>
          <t>argenx SE</t>
        </is>
      </c>
      <c r="C292" s="11" t="inlineStr">
        <is>
          <t>Biotechnology</t>
        </is>
      </c>
      <c r="D292" s="11" t="inlineStr">
        <is>
          <t>Netherlands</t>
        </is>
      </c>
      <c r="E292" s="12" t="n">
        <v>55.5</v>
      </c>
      <c r="F292" s="13" t="n">
        <v>882.48</v>
      </c>
      <c r="G292" s="13" t="n">
        <v>1150.3478</v>
      </c>
      <c r="H292" s="14">
        <f>IF(AND(ISNUMBER(F292),ISNUMBER(G292),F292&gt;0),G292/F292-1,"")</f>
        <v/>
      </c>
      <c r="I292" s="13" t="n">
        <v>861</v>
      </c>
      <c r="J292" s="14">
        <f>IF(AND(ISNUMBER(F292),ISNUMBER(I292),F292&gt;0),I292/F292-1,"")</f>
        <v/>
      </c>
      <c r="K292" s="13" t="n">
        <v>1353</v>
      </c>
      <c r="L292" s="14">
        <f>IF(AND(ISNUMBER(F292),ISNUMBER(K292),F292&gt;0),K292/F292-1,"")</f>
        <v/>
      </c>
      <c r="M292" s="15" t="n">
        <v>23</v>
      </c>
      <c r="N292" s="16" t="n"/>
      <c r="O292" s="17">
        <f>IF(AND(ISNUMBER(F292),ISNUMBER(N292),F292&gt;0),N292/F292,"")</f>
        <v/>
      </c>
      <c r="P292" s="18" t="n"/>
      <c r="Q292" s="18" t="n">
        <v>46317</v>
      </c>
      <c r="R292" s="16" t="n">
        <v>28.87</v>
      </c>
      <c r="S292" s="19">
        <f>IF(AND(ISNUMBER(F292),ISNUMBER(R292),R292&gt;0),F292/R292,"")</f>
        <v/>
      </c>
      <c r="T292" s="18" t="n">
        <v>46323</v>
      </c>
    </row>
    <row r="293">
      <c r="A293" s="20" t="inlineStr">
        <is>
          <t>PCAR</t>
        </is>
      </c>
      <c r="B293" s="20" t="inlineStr">
        <is>
          <t>PACCAR Inc.</t>
        </is>
      </c>
      <c r="C293" s="20" t="inlineStr">
        <is>
          <t>Farm &amp; Heavy Construction Machinery</t>
        </is>
      </c>
      <c r="D293" s="20" t="inlineStr">
        <is>
          <t>United States</t>
        </is>
      </c>
      <c r="E293" s="21" t="n">
        <v>54.6</v>
      </c>
      <c r="F293" s="22" t="n">
        <v>103.73</v>
      </c>
      <c r="G293" s="22" t="n">
        <v>133.375</v>
      </c>
      <c r="H293" s="23">
        <f>IF(AND(ISNUMBER(F293),ISNUMBER(G293),F293&gt;0),G293/F293-1,"")</f>
        <v/>
      </c>
      <c r="I293" s="22" t="n">
        <v>107</v>
      </c>
      <c r="J293" s="23">
        <f>IF(AND(ISNUMBER(F293),ISNUMBER(I293),F293&gt;0),I293/F293-1,"")</f>
        <v/>
      </c>
      <c r="K293" s="22" t="n">
        <v>162</v>
      </c>
      <c r="L293" s="23">
        <f>IF(AND(ISNUMBER(F293),ISNUMBER(K293),F293&gt;0),K293/F293-1,"")</f>
        <v/>
      </c>
      <c r="M293" s="24" t="n">
        <v>16</v>
      </c>
      <c r="N293" s="25" t="n">
        <v>1.4</v>
      </c>
      <c r="O293" s="26">
        <f>IF(AND(ISNUMBER(F293),ISNUMBER(N293),F293&gt;0),N293/F293,"")</f>
        <v/>
      </c>
      <c r="P293" s="27" t="n">
        <v>46336</v>
      </c>
      <c r="Q293" s="27" t="n">
        <v>46322</v>
      </c>
      <c r="R293" s="25" t="n">
        <v>4.75</v>
      </c>
      <c r="S293" s="28">
        <f>IF(AND(ISNUMBER(F293),ISNUMBER(R293),R293&gt;0),F293/R293,"")</f>
        <v/>
      </c>
      <c r="T293" s="27" t="n">
        <v>46323</v>
      </c>
    </row>
    <row r="294">
      <c r="A294" s="11" t="inlineStr">
        <is>
          <t>O</t>
        </is>
      </c>
      <c r="B294" s="11" t="inlineStr">
        <is>
          <t>Realty Income Corporation</t>
        </is>
      </c>
      <c r="C294" s="11" t="inlineStr">
        <is>
          <t>Reit - Retail</t>
        </is>
      </c>
      <c r="D294" s="11" t="inlineStr">
        <is>
          <t>United States</t>
        </is>
      </c>
      <c r="E294" s="12" t="n">
        <v>53.76</v>
      </c>
      <c r="F294" s="13" t="n">
        <v>56.82</v>
      </c>
      <c r="G294" s="13" t="n">
        <v>64.63095</v>
      </c>
      <c r="H294" s="14">
        <f>IF(AND(ISNUMBER(F294),ISNUMBER(G294),F294&gt;0),G294/F294-1,"")</f>
        <v/>
      </c>
      <c r="I294" s="13" t="n">
        <v>59</v>
      </c>
      <c r="J294" s="14">
        <f>IF(AND(ISNUMBER(F294),ISNUMBER(I294),F294&gt;0),I294/F294-1,"")</f>
        <v/>
      </c>
      <c r="K294" s="13" t="n">
        <v>74</v>
      </c>
      <c r="L294" s="14">
        <f>IF(AND(ISNUMBER(F294),ISNUMBER(K294),F294&gt;0),K294/F294-1,"")</f>
        <v/>
      </c>
      <c r="M294" s="15" t="n">
        <v>21</v>
      </c>
      <c r="N294" s="16" t="n">
        <v>3.26</v>
      </c>
      <c r="O294" s="17">
        <f>IF(AND(ISNUMBER(F294),ISNUMBER(N294),F294&gt;0),N294/F294,"")</f>
        <v/>
      </c>
      <c r="P294" s="18" t="n">
        <v>46325</v>
      </c>
      <c r="Q294" s="18" t="n">
        <v>46328</v>
      </c>
      <c r="R294" s="16" t="n">
        <v>1.38</v>
      </c>
      <c r="S294" s="19">
        <f>IF(AND(ISNUMBER(F294),ISNUMBER(R294),R294&gt;0),F294/R294,"")</f>
        <v/>
      </c>
      <c r="T294" s="18" t="n">
        <v>46323</v>
      </c>
    </row>
    <row r="295">
      <c r="A295" s="20" t="inlineStr">
        <is>
          <t>DAL</t>
        </is>
      </c>
      <c r="B295" s="20" t="inlineStr">
        <is>
          <t>Delta Air Lines, Inc.</t>
        </is>
      </c>
      <c r="C295" s="20" t="inlineStr">
        <is>
          <t>Airlines</t>
        </is>
      </c>
      <c r="D295" s="20" t="inlineStr">
        <is>
          <t>United States</t>
        </is>
      </c>
      <c r="E295" s="21" t="n">
        <v>53.59</v>
      </c>
      <c r="F295" s="22" t="n">
        <v>81.45</v>
      </c>
      <c r="G295" s="22" t="n">
        <v>100.775</v>
      </c>
      <c r="H295" s="23">
        <f>IF(AND(ISNUMBER(F295),ISNUMBER(G295),F295&gt;0),G295/F295-1,"")</f>
        <v/>
      </c>
      <c r="I295" s="22" t="n">
        <v>53</v>
      </c>
      <c r="J295" s="23">
        <f>IF(AND(ISNUMBER(F295),ISNUMBER(I295),F295&gt;0),I295/F295-1,"")</f>
        <v/>
      </c>
      <c r="K295" s="22" t="n">
        <v>125</v>
      </c>
      <c r="L295" s="23">
        <f>IF(AND(ISNUMBER(F295),ISNUMBER(K295),F295&gt;0),K295/F295-1,"")</f>
        <v/>
      </c>
      <c r="M295" s="24" t="n">
        <v>24</v>
      </c>
      <c r="N295" s="25" t="n">
        <v>0.86</v>
      </c>
      <c r="O295" s="26">
        <f>IF(AND(ISNUMBER(F295),ISNUMBER(N295),F295&gt;0),N295/F295,"")</f>
        <v/>
      </c>
      <c r="P295" s="27" t="n">
        <v>46310</v>
      </c>
      <c r="Q295" s="27" t="n">
        <v>46304</v>
      </c>
      <c r="R295" s="25" t="n">
        <v>5.01</v>
      </c>
      <c r="S295" s="28">
        <f>IF(AND(ISNUMBER(F295),ISNUMBER(R295),R295&gt;0),F295/R295,"")</f>
        <v/>
      </c>
      <c r="T295" s="27" t="n">
        <v>46323</v>
      </c>
    </row>
    <row r="296">
      <c r="A296" s="11" t="inlineStr">
        <is>
          <t>BDX</t>
        </is>
      </c>
      <c r="B296" s="11" t="inlineStr">
        <is>
          <t>Becton, Dickinson and Company</t>
        </is>
      </c>
      <c r="C296" s="11" t="inlineStr">
        <is>
          <t>Medical Instruments &amp; Supplies</t>
        </is>
      </c>
      <c r="D296" s="11" t="inlineStr">
        <is>
          <t>United States</t>
        </is>
      </c>
      <c r="E296" s="12" t="n">
        <v>53.12</v>
      </c>
      <c r="F296" s="13" t="n">
        <v>195.03</v>
      </c>
      <c r="G296" s="13" t="n">
        <v>195.57143</v>
      </c>
      <c r="H296" s="14">
        <f>IF(AND(ISNUMBER(F296),ISNUMBER(G296),F296&gt;0),G296/F296-1,"")</f>
        <v/>
      </c>
      <c r="I296" s="13" t="n">
        <v>165</v>
      </c>
      <c r="J296" s="14">
        <f>IF(AND(ISNUMBER(F296),ISNUMBER(I296),F296&gt;0),I296/F296-1,"")</f>
        <v/>
      </c>
      <c r="K296" s="13" t="n">
        <v>225</v>
      </c>
      <c r="L296" s="14">
        <f>IF(AND(ISNUMBER(F296),ISNUMBER(K296),F296&gt;0),K296/F296-1,"")</f>
        <v/>
      </c>
      <c r="M296" s="15" t="n">
        <v>14</v>
      </c>
      <c r="N296" s="16" t="n">
        <v>4.2</v>
      </c>
      <c r="O296" s="17">
        <f>IF(AND(ISNUMBER(F296),ISNUMBER(N296),F296&gt;0),N296/F296,"")</f>
        <v/>
      </c>
      <c r="P296" s="18" t="n">
        <v>46274</v>
      </c>
      <c r="Q296" s="18" t="n">
        <v>46331</v>
      </c>
      <c r="R296" s="16" t="n">
        <v>4.3</v>
      </c>
      <c r="S296" s="19">
        <f>IF(AND(ISNUMBER(F296),ISNUMBER(R296),R296&gt;0),F296/R296,"")</f>
        <v/>
      </c>
      <c r="T296" s="18" t="n">
        <v>46323</v>
      </c>
    </row>
    <row r="297">
      <c r="A297" s="20" t="inlineStr">
        <is>
          <t>EA</t>
        </is>
      </c>
      <c r="B297" s="20" t="inlineStr">
        <is>
          <t>Electronic Arts Inc.</t>
        </is>
      </c>
      <c r="C297" s="20" t="inlineStr">
        <is>
          <t>Electronic Gaming &amp; Multimedia</t>
        </is>
      </c>
      <c r="D297" s="20" t="inlineStr">
        <is>
          <t>United States</t>
        </is>
      </c>
      <c r="E297" s="21" t="n">
        <v>52.93</v>
      </c>
      <c r="F297" s="22" t="n">
        <v>209.7</v>
      </c>
      <c r="G297" s="22" t="n">
        <v>205.46153</v>
      </c>
      <c r="H297" s="23">
        <f>IF(AND(ISNUMBER(F297),ISNUMBER(G297),F297&gt;0),G297/F297-1,"")</f>
        <v/>
      </c>
      <c r="I297" s="22" t="n">
        <v>168</v>
      </c>
      <c r="J297" s="23">
        <f>IF(AND(ISNUMBER(F297),ISNUMBER(I297),F297&gt;0),I297/F297-1,"")</f>
        <v/>
      </c>
      <c r="K297" s="22" t="n">
        <v>210</v>
      </c>
      <c r="L297" s="23">
        <f>IF(AND(ISNUMBER(F297),ISNUMBER(K297),F297&gt;0),K297/F297-1,"")</f>
        <v/>
      </c>
      <c r="M297" s="24" t="n">
        <v>13</v>
      </c>
      <c r="N297" s="25" t="n">
        <v>0.76</v>
      </c>
      <c r="O297" s="26">
        <f>IF(AND(ISNUMBER(F297),ISNUMBER(N297),F297&gt;0),N297/F297,"")</f>
        <v/>
      </c>
      <c r="P297" s="27" t="n">
        <v>46169</v>
      </c>
      <c r="Q297" s="27" t="n"/>
      <c r="R297" s="25" t="n">
        <v>3.51</v>
      </c>
      <c r="S297" s="28">
        <f>IF(AND(ISNUMBER(F297),ISNUMBER(R297),R297&gt;0),F297/R297,"")</f>
        <v/>
      </c>
      <c r="T297" s="27" t="n">
        <v>46323</v>
      </c>
    </row>
    <row r="298">
      <c r="A298" s="11" t="inlineStr">
        <is>
          <t>EBAY</t>
        </is>
      </c>
      <c r="B298" s="11" t="inlineStr">
        <is>
          <t>eBay Inc.</t>
        </is>
      </c>
      <c r="C298" s="11" t="inlineStr">
        <is>
          <t>Internet Retail</t>
        </is>
      </c>
      <c r="D298" s="11" t="inlineStr">
        <is>
          <t>United States</t>
        </is>
      </c>
      <c r="E298" s="12" t="n">
        <v>52.43</v>
      </c>
      <c r="F298" s="13" t="n">
        <v>117.83</v>
      </c>
      <c r="G298" s="13" t="n">
        <v>116.91741</v>
      </c>
      <c r="H298" s="14">
        <f>IF(AND(ISNUMBER(F298),ISNUMBER(G298),F298&gt;0),G298/F298-1,"")</f>
        <v/>
      </c>
      <c r="I298" s="13" t="n">
        <v>71</v>
      </c>
      <c r="J298" s="14">
        <f>IF(AND(ISNUMBER(F298),ISNUMBER(I298),F298&gt;0),I298/F298-1,"")</f>
        <v/>
      </c>
      <c r="K298" s="13" t="n">
        <v>145</v>
      </c>
      <c r="L298" s="14">
        <f>IF(AND(ISNUMBER(F298),ISNUMBER(K298),F298&gt;0),K298/F298-1,"")</f>
        <v/>
      </c>
      <c r="M298" s="15" t="n">
        <v>27</v>
      </c>
      <c r="N298" s="16" t="n">
        <v>1.24</v>
      </c>
      <c r="O298" s="17">
        <f>IF(AND(ISNUMBER(F298),ISNUMBER(N298),F298&gt;0),N298/F298,"")</f>
        <v/>
      </c>
      <c r="P298" s="18" t="n">
        <v>46262</v>
      </c>
      <c r="Q298" s="18" t="n">
        <v>46323</v>
      </c>
      <c r="R298" s="16" t="n">
        <v>4.75</v>
      </c>
      <c r="S298" s="19">
        <f>IF(AND(ISNUMBER(F298),ISNUMBER(R298),R298&gt;0),F298/R298,"")</f>
        <v/>
      </c>
      <c r="T298" s="18" t="n">
        <v>46323</v>
      </c>
    </row>
    <row r="299">
      <c r="A299" s="20" t="inlineStr">
        <is>
          <t>EW</t>
        </is>
      </c>
      <c r="B299" s="20" t="inlineStr">
        <is>
          <t>Edwards Lifesciences Corporatio</t>
        </is>
      </c>
      <c r="C299" s="20" t="inlineStr">
        <is>
          <t>Medical Devices</t>
        </is>
      </c>
      <c r="D299" s="20" t="inlineStr">
        <is>
          <t>United States</t>
        </is>
      </c>
      <c r="E299" s="21" t="n">
        <v>52.35</v>
      </c>
      <c r="F299" s="22" t="n">
        <v>90.81999999999999</v>
      </c>
      <c r="G299" s="22" t="n">
        <v>101.38556</v>
      </c>
      <c r="H299" s="23">
        <f>IF(AND(ISNUMBER(F299),ISNUMBER(G299),F299&gt;0),G299/F299-1,"")</f>
        <v/>
      </c>
      <c r="I299" s="22" t="n">
        <v>84</v>
      </c>
      <c r="J299" s="23">
        <f>IF(AND(ISNUMBER(F299),ISNUMBER(I299),F299&gt;0),I299/F299-1,"")</f>
        <v/>
      </c>
      <c r="K299" s="22" t="n">
        <v>110</v>
      </c>
      <c r="L299" s="23">
        <f>IF(AND(ISNUMBER(F299),ISNUMBER(K299),F299&gt;0),K299/F299-1,"")</f>
        <v/>
      </c>
      <c r="M299" s="24" t="n">
        <v>27</v>
      </c>
      <c r="N299" s="25" t="n"/>
      <c r="O299" s="26">
        <f>IF(AND(ISNUMBER(F299),ISNUMBER(N299),F299&gt;0),N299/F299,"")</f>
        <v/>
      </c>
      <c r="P299" s="27" t="n"/>
      <c r="Q299" s="27" t="n">
        <v>46330</v>
      </c>
      <c r="R299" s="25" t="n">
        <v>1.71</v>
      </c>
      <c r="S299" s="28">
        <f>IF(AND(ISNUMBER(F299),ISNUMBER(R299),R299&gt;0),F299/R299,"")</f>
        <v/>
      </c>
      <c r="T299" s="27" t="n">
        <v>46323</v>
      </c>
    </row>
    <row r="300">
      <c r="A300" s="11" t="inlineStr">
        <is>
          <t>ETR</t>
        </is>
      </c>
      <c r="B300" s="11" t="inlineStr">
        <is>
          <t>Entergy Corporation</t>
        </is>
      </c>
      <c r="C300" s="11" t="inlineStr">
        <is>
          <t>Utilities - Regulated Electric</t>
        </is>
      </c>
      <c r="D300" s="11" t="inlineStr">
        <is>
          <t>United States</t>
        </is>
      </c>
      <c r="E300" s="12" t="n">
        <v>51.81</v>
      </c>
      <c r="F300" s="13" t="n">
        <v>108.43</v>
      </c>
      <c r="G300" s="13" t="n">
        <v>119.71429</v>
      </c>
      <c r="H300" s="14">
        <f>IF(AND(ISNUMBER(F300),ISNUMBER(G300),F300&gt;0),G300/F300-1,"")</f>
        <v/>
      </c>
      <c r="I300" s="13" t="n">
        <v>91</v>
      </c>
      <c r="J300" s="14">
        <f>IF(AND(ISNUMBER(F300),ISNUMBER(I300),F300&gt;0),I300/F300-1,"")</f>
        <v/>
      </c>
      <c r="K300" s="13" t="n">
        <v>131</v>
      </c>
      <c r="L300" s="14">
        <f>IF(AND(ISNUMBER(F300),ISNUMBER(K300),F300&gt;0),K300/F300-1,"")</f>
        <v/>
      </c>
      <c r="M300" s="15" t="n">
        <v>21</v>
      </c>
      <c r="N300" s="16" t="n">
        <v>2.56</v>
      </c>
      <c r="O300" s="17">
        <f>IF(AND(ISNUMBER(F300),ISNUMBER(N300),F300&gt;0),N300/F300,"")</f>
        <v/>
      </c>
      <c r="P300" s="18" t="n">
        <v>46247</v>
      </c>
      <c r="Q300" s="18" t="n">
        <v>46328</v>
      </c>
      <c r="R300" s="16" t="n">
        <v>3.91</v>
      </c>
      <c r="S300" s="19">
        <f>IF(AND(ISNUMBER(F300),ISNUMBER(R300),R300&gt;0),F300/R300,"")</f>
        <v/>
      </c>
      <c r="T300" s="18" t="n">
        <v>46323</v>
      </c>
    </row>
    <row r="301">
      <c r="A301" s="20" t="inlineStr">
        <is>
          <t>DEO</t>
        </is>
      </c>
      <c r="B301" s="20" t="inlineStr">
        <is>
          <t>Diageo plc</t>
        </is>
      </c>
      <c r="C301" s="20" t="inlineStr">
        <is>
          <t>Beverages - Wineries &amp; Distilleries</t>
        </is>
      </c>
      <c r="D301" s="20" t="inlineStr">
        <is>
          <t>United Kingdom</t>
        </is>
      </c>
      <c r="E301" s="21" t="n">
        <v>51.76</v>
      </c>
      <c r="F301" s="22" t="n">
        <v>93.06999999999999</v>
      </c>
      <c r="G301" s="22" t="n">
        <v>107.28571</v>
      </c>
      <c r="H301" s="23">
        <f>IF(AND(ISNUMBER(F301),ISNUMBER(G301),F301&gt;0),G301/F301-1,"")</f>
        <v/>
      </c>
      <c r="I301" s="22" t="n">
        <v>83</v>
      </c>
      <c r="J301" s="23">
        <f>IF(AND(ISNUMBER(F301),ISNUMBER(I301),F301&gt;0),I301/F301-1,"")</f>
        <v/>
      </c>
      <c r="K301" s="22" t="n">
        <v>129</v>
      </c>
      <c r="L301" s="23">
        <f>IF(AND(ISNUMBER(F301),ISNUMBER(K301),F301&gt;0),K301/F301-1,"")</f>
        <v/>
      </c>
      <c r="M301" s="24" t="n">
        <v>7</v>
      </c>
      <c r="N301" s="25" t="n">
        <v>2</v>
      </c>
      <c r="O301" s="26">
        <f>IF(AND(ISNUMBER(F301),ISNUMBER(N301),F301&gt;0),N301/F301,"")</f>
        <v/>
      </c>
      <c r="P301" s="27" t="n">
        <v>46311</v>
      </c>
      <c r="Q301" s="27" t="n">
        <v>46240</v>
      </c>
      <c r="R301" s="25" t="n">
        <v>3.12</v>
      </c>
      <c r="S301" s="28">
        <f>IF(AND(ISNUMBER(F301),ISNUMBER(R301),R301&gt;0),F301/R301,"")</f>
        <v/>
      </c>
      <c r="T301" s="27" t="n">
        <v>46323</v>
      </c>
    </row>
    <row r="302">
      <c r="A302" s="11" t="inlineStr">
        <is>
          <t>AZO</t>
        </is>
      </c>
      <c r="B302" s="11" t="inlineStr">
        <is>
          <t>AutoZone, Inc.</t>
        </is>
      </c>
      <c r="C302" s="11" t="inlineStr">
        <is>
          <t>Auto Parts</t>
        </is>
      </c>
      <c r="D302" s="11" t="inlineStr">
        <is>
          <t>United States</t>
        </is>
      </c>
      <c r="E302" s="12" t="n">
        <v>50.83</v>
      </c>
      <c r="F302" s="13" t="n">
        <v>3143.16</v>
      </c>
      <c r="G302" s="13" t="n">
        <v>3665.6086</v>
      </c>
      <c r="H302" s="14">
        <f>IF(AND(ISNUMBER(F302),ISNUMBER(G302),F302&gt;0),G302/F302-1,"")</f>
        <v/>
      </c>
      <c r="I302" s="13" t="n">
        <v>3000</v>
      </c>
      <c r="J302" s="14">
        <f>IF(AND(ISNUMBER(F302),ISNUMBER(I302),F302&gt;0),I302/F302-1,"")</f>
        <v/>
      </c>
      <c r="K302" s="13" t="n">
        <v>4450</v>
      </c>
      <c r="L302" s="14">
        <f>IF(AND(ISNUMBER(F302),ISNUMBER(K302),F302&gt;0),K302/F302-1,"")</f>
        <v/>
      </c>
      <c r="M302" s="15" t="n">
        <v>23</v>
      </c>
      <c r="N302" s="16" t="n"/>
      <c r="O302" s="17">
        <f>IF(AND(ISNUMBER(F302),ISNUMBER(N302),F302&gt;0),N302/F302,"")</f>
        <v/>
      </c>
      <c r="P302" s="18" t="n"/>
      <c r="Q302" s="18" t="n">
        <v>46364</v>
      </c>
      <c r="R302" s="16" t="n">
        <v>152.04</v>
      </c>
      <c r="S302" s="19">
        <f>IF(AND(ISNUMBER(F302),ISNUMBER(R302),R302&gt;0),F302/R302,"")</f>
        <v/>
      </c>
      <c r="T302" s="18" t="n">
        <v>46323</v>
      </c>
    </row>
    <row r="303">
      <c r="A303" s="20" t="inlineStr">
        <is>
          <t>VEEV</t>
        </is>
      </c>
      <c r="B303" s="20" t="inlineStr">
        <is>
          <t>Veeva Systems Inc.</t>
        </is>
      </c>
      <c r="C303" s="20" t="inlineStr">
        <is>
          <t>Health Information Services</t>
        </is>
      </c>
      <c r="D303" s="20" t="inlineStr">
        <is>
          <t>United States</t>
        </is>
      </c>
      <c r="E303" s="21" t="n">
        <v>50.75</v>
      </c>
      <c r="F303" s="22" t="n">
        <v>313.46</v>
      </c>
      <c r="G303" s="22" t="n">
        <v>300.55557</v>
      </c>
      <c r="H303" s="23">
        <f>IF(AND(ISNUMBER(F303),ISNUMBER(G303),F303&gt;0),G303/F303-1,"")</f>
        <v/>
      </c>
      <c r="I303" s="22" t="n">
        <v>180</v>
      </c>
      <c r="J303" s="23">
        <f>IF(AND(ISNUMBER(F303),ISNUMBER(I303),F303&gt;0),I303/F303-1,"")</f>
        <v/>
      </c>
      <c r="K303" s="22" t="n">
        <v>360</v>
      </c>
      <c r="L303" s="23">
        <f>IF(AND(ISNUMBER(F303),ISNUMBER(K303),F303&gt;0),K303/F303-1,"")</f>
        <v/>
      </c>
      <c r="M303" s="24" t="n">
        <v>27</v>
      </c>
      <c r="N303" s="25" t="n"/>
      <c r="O303" s="26">
        <f>IF(AND(ISNUMBER(F303),ISNUMBER(N303),F303&gt;0),N303/F303,"")</f>
        <v/>
      </c>
      <c r="P303" s="27" t="n"/>
      <c r="Q303" s="27" t="n">
        <v>46351</v>
      </c>
      <c r="R303" s="25" t="n">
        <v>6.1</v>
      </c>
      <c r="S303" s="28">
        <f>IF(AND(ISNUMBER(F303),ISNUMBER(R303),R303&gt;0),F303/R303,"")</f>
        <v/>
      </c>
      <c r="T303" s="27" t="n">
        <v>46323</v>
      </c>
    </row>
    <row r="304">
      <c r="A304" s="11" t="inlineStr">
        <is>
          <t>TER</t>
        </is>
      </c>
      <c r="B304" s="11" t="inlineStr">
        <is>
          <t>Teradyne, Inc.</t>
        </is>
      </c>
      <c r="C304" s="11" t="inlineStr">
        <is>
          <t>Semiconductor Equipment &amp; Materials</t>
        </is>
      </c>
      <c r="D304" s="11" t="inlineStr">
        <is>
          <t>United States</t>
        </is>
      </c>
      <c r="E304" s="12" t="n">
        <v>50.6</v>
      </c>
      <c r="F304" s="13" t="n">
        <v>323.68</v>
      </c>
      <c r="G304" s="13" t="n">
        <v>445.46667</v>
      </c>
      <c r="H304" s="14">
        <f>IF(AND(ISNUMBER(F304),ISNUMBER(G304),F304&gt;0),G304/F304-1,"")</f>
        <v/>
      </c>
      <c r="I304" s="13" t="n">
        <v>350</v>
      </c>
      <c r="J304" s="14">
        <f>IF(AND(ISNUMBER(F304),ISNUMBER(I304),F304&gt;0),I304/F304-1,"")</f>
        <v/>
      </c>
      <c r="K304" s="13" t="n">
        <v>550</v>
      </c>
      <c r="L304" s="14">
        <f>IF(AND(ISNUMBER(F304),ISNUMBER(K304),F304&gt;0),K304/F304-1,"")</f>
        <v/>
      </c>
      <c r="M304" s="15" t="n">
        <v>15</v>
      </c>
      <c r="N304" s="16" t="n">
        <v>0.52</v>
      </c>
      <c r="O304" s="17">
        <f>IF(AND(ISNUMBER(F304),ISNUMBER(N304),F304&gt;0),N304/F304,"")</f>
        <v/>
      </c>
      <c r="P304" s="18" t="n">
        <v>46269</v>
      </c>
      <c r="Q304" s="18" t="n">
        <v>46322</v>
      </c>
      <c r="R304" s="16" t="n">
        <v>7.28</v>
      </c>
      <c r="S304" s="19">
        <f>IF(AND(ISNUMBER(F304),ISNUMBER(R304),R304&gt;0),F304/R304,"")</f>
        <v/>
      </c>
      <c r="T304" s="18" t="n">
        <v>46323</v>
      </c>
    </row>
    <row r="305">
      <c r="A305" s="20" t="inlineStr">
        <is>
          <t>ADSK</t>
        </is>
      </c>
      <c r="B305" s="20" t="inlineStr">
        <is>
          <t>Autodesk, Inc.</t>
        </is>
      </c>
      <c r="C305" s="20" t="inlineStr">
        <is>
          <t>Software - Application</t>
        </is>
      </c>
      <c r="D305" s="20" t="inlineStr">
        <is>
          <t>United States</t>
        </is>
      </c>
      <c r="E305" s="21" t="n">
        <v>50.6</v>
      </c>
      <c r="F305" s="22" t="n">
        <v>242.1</v>
      </c>
      <c r="G305" s="22" t="n">
        <v>307.54147</v>
      </c>
      <c r="H305" s="23">
        <f>IF(AND(ISNUMBER(F305),ISNUMBER(G305),F305&gt;0),G305/F305-1,"")</f>
        <v/>
      </c>
      <c r="I305" s="22" t="n">
        <v>215</v>
      </c>
      <c r="J305" s="23">
        <f>IF(AND(ISNUMBER(F305),ISNUMBER(I305),F305&gt;0),I305/F305-1,"")</f>
        <v/>
      </c>
      <c r="K305" s="22" t="n">
        <v>375</v>
      </c>
      <c r="L305" s="23">
        <f>IF(AND(ISNUMBER(F305),ISNUMBER(K305),F305&gt;0),K305/F305-1,"")</f>
        <v/>
      </c>
      <c r="M305" s="24" t="n">
        <v>34</v>
      </c>
      <c r="N305" s="25" t="n"/>
      <c r="O305" s="26">
        <f>IF(AND(ISNUMBER(F305),ISNUMBER(N305),F305&gt;0),N305/F305,"")</f>
        <v/>
      </c>
      <c r="P305" s="27" t="n"/>
      <c r="Q305" s="27" t="n">
        <v>46353</v>
      </c>
      <c r="R305" s="25" t="n">
        <v>7.71</v>
      </c>
      <c r="S305" s="28">
        <f>IF(AND(ISNUMBER(F305),ISNUMBER(R305),R305&gt;0),F305/R305,"")</f>
        <v/>
      </c>
      <c r="T305" s="27" t="n">
        <v>46323</v>
      </c>
    </row>
    <row r="306">
      <c r="A306" s="11" t="inlineStr">
        <is>
          <t>TRI</t>
        </is>
      </c>
      <c r="B306" s="11" t="inlineStr">
        <is>
          <t>Thomson Reuters Corp</t>
        </is>
      </c>
      <c r="C306" s="11" t="inlineStr">
        <is>
          <t>Specialty Business Services</t>
        </is>
      </c>
      <c r="D306" s="11" t="inlineStr">
        <is>
          <t>Canada</t>
        </is>
      </c>
      <c r="E306" s="12" t="n">
        <v>50.43</v>
      </c>
      <c r="F306" s="13" t="n">
        <v>116.41</v>
      </c>
      <c r="G306" s="13" t="n">
        <v>123.34615</v>
      </c>
      <c r="H306" s="14">
        <f>IF(AND(ISNUMBER(F306),ISNUMBER(G306),F306&gt;0),G306/F306-1,"")</f>
        <v/>
      </c>
      <c r="I306" s="13" t="n">
        <v>110</v>
      </c>
      <c r="J306" s="14">
        <f>IF(AND(ISNUMBER(F306),ISNUMBER(I306),F306&gt;0),I306/F306-1,"")</f>
        <v/>
      </c>
      <c r="K306" s="13" t="n">
        <v>146</v>
      </c>
      <c r="L306" s="14">
        <f>IF(AND(ISNUMBER(F306),ISNUMBER(K306),F306&gt;0),K306/F306-1,"")</f>
        <v/>
      </c>
      <c r="M306" s="15" t="n">
        <v>13</v>
      </c>
      <c r="N306" s="16" t="n">
        <v>2.62</v>
      </c>
      <c r="O306" s="17">
        <f>IF(AND(ISNUMBER(F306),ISNUMBER(N306),F306&gt;0),N306/F306,"")</f>
        <v/>
      </c>
      <c r="P306" s="18" t="n">
        <v>46253</v>
      </c>
      <c r="Q306" s="18" t="n">
        <v>46329</v>
      </c>
      <c r="R306" s="16" t="n">
        <v>3.81</v>
      </c>
      <c r="S306" s="19">
        <f>IF(AND(ISNUMBER(F306),ISNUMBER(R306),R306&gt;0),F306/R306,"")</f>
        <v/>
      </c>
      <c r="T306" s="18" t="n">
        <v>46323</v>
      </c>
    </row>
    <row r="307">
      <c r="A307" s="20" t="inlineStr">
        <is>
          <t>VALE</t>
        </is>
      </c>
      <c r="B307" s="20" t="inlineStr">
        <is>
          <t>VALE S.A.</t>
        </is>
      </c>
      <c r="C307" s="20" t="inlineStr">
        <is>
          <t>Other Industrial Metals &amp; Mining</t>
        </is>
      </c>
      <c r="D307" s="20" t="inlineStr">
        <is>
          <t>Brazil</t>
        </is>
      </c>
      <c r="E307" s="21" t="n">
        <v>50.39</v>
      </c>
      <c r="F307" s="22" t="n">
        <v>11.84</v>
      </c>
      <c r="G307" s="22" t="n">
        <v>16.18</v>
      </c>
      <c r="H307" s="23">
        <f>IF(AND(ISNUMBER(F307),ISNUMBER(G307),F307&gt;0),G307/F307-1,"")</f>
        <v/>
      </c>
      <c r="I307" s="22" t="n">
        <v>12</v>
      </c>
      <c r="J307" s="23">
        <f>IF(AND(ISNUMBER(F307),ISNUMBER(I307),F307&gt;0),I307/F307-1,"")</f>
        <v/>
      </c>
      <c r="K307" s="22" t="n">
        <v>22</v>
      </c>
      <c r="L307" s="23">
        <f>IF(AND(ISNUMBER(F307),ISNUMBER(K307),F307&gt;0),K307/F307-1,"")</f>
        <v/>
      </c>
      <c r="M307" s="24" t="n">
        <v>25</v>
      </c>
      <c r="N307" s="25" t="n">
        <v>0.84</v>
      </c>
      <c r="O307" s="26">
        <f>IF(AND(ISNUMBER(F307),ISNUMBER(N307),F307&gt;0),N307/F307,"")</f>
        <v/>
      </c>
      <c r="P307" s="27" t="n">
        <v>46247</v>
      </c>
      <c r="Q307" s="27" t="n">
        <v>46324</v>
      </c>
      <c r="R307" s="25" t="n">
        <v>0.5</v>
      </c>
      <c r="S307" s="28">
        <f>IF(AND(ISNUMBER(F307),ISNUMBER(R307),R307&gt;0),F307/R307,"")</f>
        <v/>
      </c>
      <c r="T307" s="27" t="n">
        <v>46323</v>
      </c>
    </row>
    <row r="308">
      <c r="A308" s="11" t="inlineStr">
        <is>
          <t>BAYRY</t>
        </is>
      </c>
      <c r="B308" s="11" t="inlineStr">
        <is>
          <t>Bayer A.G.</t>
        </is>
      </c>
      <c r="C308" s="11" t="inlineStr">
        <is>
          <t>Drug Manufacturers - General</t>
        </is>
      </c>
      <c r="D308" s="11" t="inlineStr">
        <is>
          <t>Germany</t>
        </is>
      </c>
      <c r="E308" s="12" t="n">
        <v>50.34</v>
      </c>
      <c r="F308" s="13" t="n">
        <v>12.81</v>
      </c>
      <c r="G308" s="13" t="n">
        <v>15.895</v>
      </c>
      <c r="H308" s="14">
        <f>IF(AND(ISNUMBER(F308),ISNUMBER(G308),F308&gt;0),G308/F308-1,"")</f>
        <v/>
      </c>
      <c r="I308" s="13" t="n">
        <v>15.3</v>
      </c>
      <c r="J308" s="14">
        <f>IF(AND(ISNUMBER(F308),ISNUMBER(I308),F308&gt;0),I308/F308-1,"")</f>
        <v/>
      </c>
      <c r="K308" s="13" t="n">
        <v>16.68</v>
      </c>
      <c r="L308" s="14">
        <f>IF(AND(ISNUMBER(F308),ISNUMBER(K308),F308&gt;0),K308/F308-1,"")</f>
        <v/>
      </c>
      <c r="M308" s="15" t="n">
        <v>4</v>
      </c>
      <c r="N308" s="16" t="n">
        <v>0.03</v>
      </c>
      <c r="O308" s="17">
        <f>IF(AND(ISNUMBER(F308),ISNUMBER(N308),F308&gt;0),N308/F308,"")</f>
        <v/>
      </c>
      <c r="P308" s="18" t="n">
        <v>46140</v>
      </c>
      <c r="Q308" s="18" t="n">
        <v>46329</v>
      </c>
      <c r="R308" s="16" t="n">
        <v>-0.51</v>
      </c>
      <c r="S308" s="19">
        <f>IF(AND(ISNUMBER(F308),ISNUMBER(R308),R308&gt;0),F308/R308,"")</f>
        <v/>
      </c>
      <c r="T308" s="18" t="n">
        <v>46323</v>
      </c>
    </row>
    <row r="309">
      <c r="A309" s="20" t="inlineStr">
        <is>
          <t>BASFY</t>
        </is>
      </c>
      <c r="B309" s="20" t="inlineStr">
        <is>
          <t>BASF SE</t>
        </is>
      </c>
      <c r="C309" s="20" t="inlineStr">
        <is>
          <t>Chemicals</t>
        </is>
      </c>
      <c r="D309" s="20" t="inlineStr">
        <is>
          <t>Germany</t>
        </is>
      </c>
      <c r="E309" s="21" t="n">
        <v>50.17</v>
      </c>
      <c r="F309" s="22" t="n">
        <v>14.57</v>
      </c>
      <c r="G309" s="22" t="n">
        <v>13.5875</v>
      </c>
      <c r="H309" s="23">
        <f>IF(AND(ISNUMBER(F309),ISNUMBER(G309),F309&gt;0),G309/F309-1,"")</f>
        <v/>
      </c>
      <c r="I309" s="22" t="n">
        <v>12</v>
      </c>
      <c r="J309" s="23">
        <f>IF(AND(ISNUMBER(F309),ISNUMBER(I309),F309&gt;0),I309/F309-1,"")</f>
        <v/>
      </c>
      <c r="K309" s="22" t="n">
        <v>16</v>
      </c>
      <c r="L309" s="23">
        <f>IF(AND(ISNUMBER(F309),ISNUMBER(K309),F309&gt;0),K309/F309-1,"")</f>
        <v/>
      </c>
      <c r="M309" s="24" t="n">
        <v>4</v>
      </c>
      <c r="N309" s="25" t="n">
        <v>0.66</v>
      </c>
      <c r="O309" s="26">
        <f>IF(AND(ISNUMBER(F309),ISNUMBER(N309),F309&gt;0),N309/F309,"")</f>
        <v/>
      </c>
      <c r="P309" s="27" t="n">
        <v>46147</v>
      </c>
      <c r="Q309" s="27" t="n">
        <v>46323</v>
      </c>
      <c r="R309" s="25" t="n">
        <v>0.7</v>
      </c>
      <c r="S309" s="28">
        <f>IF(AND(ISNUMBER(F309),ISNUMBER(R309),R309&gt;0),F309/R309,"")</f>
        <v/>
      </c>
      <c r="T309" s="27" t="n">
        <v>46323</v>
      </c>
    </row>
    <row r="310">
      <c r="A310" s="11" t="inlineStr">
        <is>
          <t>A</t>
        </is>
      </c>
      <c r="B310" s="11" t="inlineStr">
        <is>
          <t>Agilent Technologies, Inc.</t>
        </is>
      </c>
      <c r="C310" s="11" t="inlineStr">
        <is>
          <t>Diagnostics &amp; Research</t>
        </is>
      </c>
      <c r="D310" s="11" t="inlineStr">
        <is>
          <t>United States</t>
        </is>
      </c>
      <c r="E310" s="12" t="n">
        <v>50.05</v>
      </c>
      <c r="F310" s="13" t="n">
        <v>177.49</v>
      </c>
      <c r="G310" s="13" t="n">
        <v>182.05</v>
      </c>
      <c r="H310" s="14">
        <f>IF(AND(ISNUMBER(F310),ISNUMBER(G310),F310&gt;0),G310/F310-1,"")</f>
        <v/>
      </c>
      <c r="I310" s="13" t="n">
        <v>155</v>
      </c>
      <c r="J310" s="14">
        <f>IF(AND(ISNUMBER(F310),ISNUMBER(I310),F310&gt;0),I310/F310-1,"")</f>
        <v/>
      </c>
      <c r="K310" s="13" t="n">
        <v>200</v>
      </c>
      <c r="L310" s="14">
        <f>IF(AND(ISNUMBER(F310),ISNUMBER(K310),F310&gt;0),K310/F310-1,"")</f>
        <v/>
      </c>
      <c r="M310" s="15" t="n">
        <v>20</v>
      </c>
      <c r="N310" s="16" t="n">
        <v>1.02</v>
      </c>
      <c r="O310" s="17">
        <f>IF(AND(ISNUMBER(F310),ISNUMBER(N310),F310&gt;0),N310/F310,"")</f>
        <v/>
      </c>
      <c r="P310" s="18" t="n">
        <v>46301</v>
      </c>
      <c r="Q310" s="18" t="n">
        <v>46351</v>
      </c>
      <c r="R310" s="16" t="n">
        <v>5.07</v>
      </c>
      <c r="S310" s="19">
        <f>IF(AND(ISNUMBER(F310),ISNUMBER(R310),R310&gt;0),F310/R310,"")</f>
        <v/>
      </c>
      <c r="T310" s="18" t="n">
        <v>46323</v>
      </c>
    </row>
    <row r="311">
      <c r="A311" s="20" t="inlineStr">
        <is>
          <t>HUM</t>
        </is>
      </c>
      <c r="B311" s="20" t="inlineStr">
        <is>
          <t>Humana Inc.</t>
        </is>
      </c>
      <c r="C311" s="20" t="inlineStr">
        <is>
          <t>Healthcare Plans</t>
        </is>
      </c>
      <c r="D311" s="20" t="inlineStr">
        <is>
          <t>United States</t>
        </is>
      </c>
      <c r="E311" s="21" t="n">
        <v>49.82</v>
      </c>
      <c r="F311" s="22" t="n">
        <v>414.85</v>
      </c>
      <c r="G311" s="22" t="n">
        <v>465.125</v>
      </c>
      <c r="H311" s="23">
        <f>IF(AND(ISNUMBER(F311),ISNUMBER(G311),F311&gt;0),G311/F311-1,"")</f>
        <v/>
      </c>
      <c r="I311" s="22" t="n">
        <v>280</v>
      </c>
      <c r="J311" s="23">
        <f>IF(AND(ISNUMBER(F311),ISNUMBER(I311),F311&gt;0),I311/F311-1,"")</f>
        <v/>
      </c>
      <c r="K311" s="22" t="n">
        <v>596</v>
      </c>
      <c r="L311" s="23">
        <f>IF(AND(ISNUMBER(F311),ISNUMBER(K311),F311&gt;0),K311/F311-1,"")</f>
        <v/>
      </c>
      <c r="M311" s="24" t="n">
        <v>24</v>
      </c>
      <c r="N311" s="25" t="n">
        <v>3.54</v>
      </c>
      <c r="O311" s="26">
        <f>IF(AND(ISNUMBER(F311),ISNUMBER(N311),F311&gt;0),N311/F311,"")</f>
        <v/>
      </c>
      <c r="P311" s="27" t="n">
        <v>46325</v>
      </c>
      <c r="Q311" s="27" t="n">
        <v>46332</v>
      </c>
      <c r="R311" s="25" t="n">
        <v>10.46</v>
      </c>
      <c r="S311" s="28">
        <f>IF(AND(ISNUMBER(F311),ISNUMBER(R311),R311&gt;0),F311/R311,"")</f>
        <v/>
      </c>
      <c r="T311" s="27" t="n">
        <v>46323</v>
      </c>
    </row>
    <row r="312">
      <c r="A312" s="11" t="inlineStr">
        <is>
          <t>CIEN</t>
        </is>
      </c>
      <c r="B312" s="11" t="inlineStr">
        <is>
          <t>Ciena Corporation</t>
        </is>
      </c>
      <c r="C312" s="11" t="inlineStr">
        <is>
          <t>Communication Equipment</t>
        </is>
      </c>
      <c r="D312" s="11" t="inlineStr">
        <is>
          <t>United States</t>
        </is>
      </c>
      <c r="E312" s="12" t="n">
        <v>49.8</v>
      </c>
      <c r="F312" s="13" t="n">
        <v>351.15</v>
      </c>
      <c r="G312" s="13" t="n">
        <v>512.9906999999999</v>
      </c>
      <c r="H312" s="14">
        <f>IF(AND(ISNUMBER(F312),ISNUMBER(G312),F312&gt;0),G312/F312-1,"")</f>
        <v/>
      </c>
      <c r="I312" s="13" t="n">
        <v>347</v>
      </c>
      <c r="J312" s="14">
        <f>IF(AND(ISNUMBER(F312),ISNUMBER(I312),F312&gt;0),I312/F312-1,"")</f>
        <v/>
      </c>
      <c r="K312" s="13" t="n">
        <v>660</v>
      </c>
      <c r="L312" s="14">
        <f>IF(AND(ISNUMBER(F312),ISNUMBER(K312),F312&gt;0),K312/F312-1,"")</f>
        <v/>
      </c>
      <c r="M312" s="15" t="n">
        <v>20</v>
      </c>
      <c r="N312" s="16" t="n"/>
      <c r="O312" s="17">
        <f>IF(AND(ISNUMBER(F312),ISNUMBER(N312),F312&gt;0),N312/F312,"")</f>
        <v/>
      </c>
      <c r="P312" s="18" t="n"/>
      <c r="Q312" s="18" t="n">
        <v>46268</v>
      </c>
      <c r="R312" s="16" t="n">
        <v>4.47</v>
      </c>
      <c r="S312" s="19">
        <f>IF(AND(ISNUMBER(F312),ISNUMBER(R312),R312&gt;0),F312/R312,"")</f>
        <v/>
      </c>
      <c r="T312" s="18" t="n">
        <v>46323</v>
      </c>
    </row>
    <row r="313">
      <c r="A313" s="20" t="inlineStr">
        <is>
          <t>NOK</t>
        </is>
      </c>
      <c r="B313" s="20" t="inlineStr">
        <is>
          <t>Nokia Corporation Sponsored</t>
        </is>
      </c>
      <c r="C313" s="20" t="inlineStr">
        <is>
          <t>Communication Equipment</t>
        </is>
      </c>
      <c r="D313" s="20" t="inlineStr">
        <is>
          <t>Finland</t>
        </is>
      </c>
      <c r="E313" s="21" t="n">
        <v>49.77</v>
      </c>
      <c r="F313" s="22" t="n">
        <v>8.890000000000001</v>
      </c>
      <c r="G313" s="22" t="n">
        <v>14.51667</v>
      </c>
      <c r="H313" s="23">
        <f>IF(AND(ISNUMBER(F313),ISNUMBER(G313),F313&gt;0),G313/F313-1,"")</f>
        <v/>
      </c>
      <c r="I313" s="22" t="n">
        <v>8.4</v>
      </c>
      <c r="J313" s="23">
        <f>IF(AND(ISNUMBER(F313),ISNUMBER(I313),F313&gt;0),I313/F313-1,"")</f>
        <v/>
      </c>
      <c r="K313" s="22" t="n">
        <v>20.5</v>
      </c>
      <c r="L313" s="23">
        <f>IF(AND(ISNUMBER(F313),ISNUMBER(K313),F313&gt;0),K313/F313-1,"")</f>
        <v/>
      </c>
      <c r="M313" s="24" t="n">
        <v>12</v>
      </c>
      <c r="N313" s="25" t="n">
        <v>0.13</v>
      </c>
      <c r="O313" s="26">
        <f>IF(AND(ISNUMBER(F313),ISNUMBER(N313),F313&gt;0),N313/F313,"")</f>
        <v/>
      </c>
      <c r="P313" s="27" t="n">
        <v>46322</v>
      </c>
      <c r="Q313" s="27" t="n">
        <v>46317</v>
      </c>
      <c r="R313" s="25" t="n">
        <v>0.16</v>
      </c>
      <c r="S313" s="28">
        <f>IF(AND(ISNUMBER(F313),ISNUMBER(R313),R313&gt;0),F313/R313,"")</f>
        <v/>
      </c>
      <c r="T313" s="27" t="n">
        <v>46323</v>
      </c>
    </row>
    <row r="314">
      <c r="A314" s="11" t="inlineStr">
        <is>
          <t>ALAB</t>
        </is>
      </c>
      <c r="B314" s="11" t="inlineStr">
        <is>
          <t>Astera Labs, Inc.</t>
        </is>
      </c>
      <c r="C314" s="11" t="inlineStr">
        <is>
          <t>Semiconductors</t>
        </is>
      </c>
      <c r="D314" s="11" t="inlineStr">
        <is>
          <t>United States</t>
        </is>
      </c>
      <c r="E314" s="12" t="n">
        <v>49.74</v>
      </c>
      <c r="F314" s="13" t="n">
        <v>286.69</v>
      </c>
      <c r="G314" s="13" t="n">
        <v>382.6778</v>
      </c>
      <c r="H314" s="14">
        <f>IF(AND(ISNUMBER(F314),ISNUMBER(G314),F314&gt;0),G314/F314-1,"")</f>
        <v/>
      </c>
      <c r="I314" s="13" t="n">
        <v>190</v>
      </c>
      <c r="J314" s="14">
        <f>IF(AND(ISNUMBER(F314),ISNUMBER(I314),F314&gt;0),I314/F314-1,"")</f>
        <v/>
      </c>
      <c r="K314" s="13" t="n">
        <v>500</v>
      </c>
      <c r="L314" s="14">
        <f>IF(AND(ISNUMBER(F314),ISNUMBER(K314),F314&gt;0),K314/F314-1,"")</f>
        <v/>
      </c>
      <c r="M314" s="15" t="n">
        <v>22</v>
      </c>
      <c r="N314" s="16" t="n"/>
      <c r="O314" s="17">
        <f>IF(AND(ISNUMBER(F314),ISNUMBER(N314),F314&gt;0),N314/F314,"")</f>
        <v/>
      </c>
      <c r="P314" s="18" t="n"/>
      <c r="Q314" s="18" t="n">
        <v>46329</v>
      </c>
      <c r="R314" s="16" t="n">
        <v>2.03</v>
      </c>
      <c r="S314" s="19">
        <f>IF(AND(ISNUMBER(F314),ISNUMBER(R314),R314&gt;0),F314/R314,"")</f>
        <v/>
      </c>
      <c r="T314" s="18" t="n">
        <v>46323</v>
      </c>
    </row>
    <row r="315">
      <c r="A315" s="20" t="inlineStr">
        <is>
          <t>WDAY</t>
        </is>
      </c>
      <c r="B315" s="20" t="inlineStr">
        <is>
          <t>Workday, Inc.</t>
        </is>
      </c>
      <c r="C315" s="20" t="inlineStr">
        <is>
          <t>Software - Application</t>
        </is>
      </c>
      <c r="D315" s="20" t="inlineStr">
        <is>
          <t>United States</t>
        </is>
      </c>
      <c r="E315" s="21" t="n">
        <v>49.52</v>
      </c>
      <c r="F315" s="22" t="n">
        <v>205.46</v>
      </c>
      <c r="G315" s="22" t="n">
        <v>209.25323</v>
      </c>
      <c r="H315" s="23">
        <f>IF(AND(ISNUMBER(F315),ISNUMBER(G315),F315&gt;0),G315/F315-1,"")</f>
        <v/>
      </c>
      <c r="I315" s="22" t="n">
        <v>92</v>
      </c>
      <c r="J315" s="23">
        <f>IF(AND(ISNUMBER(F315),ISNUMBER(I315),F315&gt;0),I315/F315-1,"")</f>
        <v/>
      </c>
      <c r="K315" s="22" t="n">
        <v>275</v>
      </c>
      <c r="L315" s="23">
        <f>IF(AND(ISNUMBER(F315),ISNUMBER(K315),F315&gt;0),K315/F315-1,"")</f>
        <v/>
      </c>
      <c r="M315" s="24" t="n">
        <v>37</v>
      </c>
      <c r="N315" s="25" t="n"/>
      <c r="O315" s="26">
        <f>IF(AND(ISNUMBER(F315),ISNUMBER(N315),F315&gt;0),N315/F315,"")</f>
        <v/>
      </c>
      <c r="P315" s="27" t="n"/>
      <c r="Q315" s="27" t="n">
        <v>46261</v>
      </c>
      <c r="R315" s="25" t="n">
        <v>4.88</v>
      </c>
      <c r="S315" s="28">
        <f>IF(AND(ISNUMBER(F315),ISNUMBER(R315),R315&gt;0),F315/R315,"")</f>
        <v/>
      </c>
      <c r="T315" s="27" t="n">
        <v>46323</v>
      </c>
    </row>
    <row r="316">
      <c r="A316" s="11" t="inlineStr">
        <is>
          <t>VST</t>
        </is>
      </c>
      <c r="B316" s="11" t="inlineStr">
        <is>
          <t>Vistra Corp.</t>
        </is>
      </c>
      <c r="C316" s="11" t="inlineStr">
        <is>
          <t>Utilities - Independent Power Producers</t>
        </is>
      </c>
      <c r="D316" s="11" t="inlineStr">
        <is>
          <t>United States</t>
        </is>
      </c>
      <c r="E316" s="12" t="n">
        <v>49.22</v>
      </c>
      <c r="F316" s="13" t="n">
        <v>146.66</v>
      </c>
      <c r="G316" s="13" t="n">
        <v>208.77274</v>
      </c>
      <c r="H316" s="14">
        <f>IF(AND(ISNUMBER(F316),ISNUMBER(G316),F316&gt;0),G316/F316-1,"")</f>
        <v/>
      </c>
      <c r="I316" s="13" t="n">
        <v>106</v>
      </c>
      <c r="J316" s="14">
        <f>IF(AND(ISNUMBER(F316),ISNUMBER(I316),F316&gt;0),I316/F316-1,"")</f>
        <v/>
      </c>
      <c r="K316" s="13" t="n">
        <v>305</v>
      </c>
      <c r="L316" s="14">
        <f>IF(AND(ISNUMBER(F316),ISNUMBER(K316),F316&gt;0),K316/F316-1,"")</f>
        <v/>
      </c>
      <c r="M316" s="15" t="n">
        <v>22</v>
      </c>
      <c r="N316" s="16" t="n">
        <v>0.92</v>
      </c>
      <c r="O316" s="17">
        <f>IF(AND(ISNUMBER(F316),ISNUMBER(N316),F316&gt;0),N316/F316,"")</f>
        <v/>
      </c>
      <c r="P316" s="18" t="n">
        <v>46286</v>
      </c>
      <c r="Q316" s="18" t="n">
        <v>46332</v>
      </c>
      <c r="R316" s="16" t="n">
        <v>5.93</v>
      </c>
      <c r="S316" s="19">
        <f>IF(AND(ISNUMBER(F316),ISNUMBER(R316),R316&gt;0),F316/R316,"")</f>
        <v/>
      </c>
      <c r="T316" s="18" t="n">
        <v>46323</v>
      </c>
    </row>
    <row r="317">
      <c r="A317" s="20" t="inlineStr">
        <is>
          <t>INFY</t>
        </is>
      </c>
      <c r="B317" s="20" t="inlineStr">
        <is>
          <t>Infosys Limited</t>
        </is>
      </c>
      <c r="C317" s="20" t="inlineStr">
        <is>
          <t>Information Technology Services</t>
        </is>
      </c>
      <c r="D317" s="20" t="inlineStr">
        <is>
          <t>India</t>
        </is>
      </c>
      <c r="E317" s="21" t="n">
        <v>49.05</v>
      </c>
      <c r="F317" s="22" t="n">
        <v>12.11</v>
      </c>
      <c r="G317" s="22" t="n">
        <v>12.0667</v>
      </c>
      <c r="H317" s="23">
        <f>IF(AND(ISNUMBER(F317),ISNUMBER(G317),F317&gt;0),G317/F317-1,"")</f>
        <v/>
      </c>
      <c r="I317" s="22" t="n">
        <v>10.4</v>
      </c>
      <c r="J317" s="23">
        <f>IF(AND(ISNUMBER(F317),ISNUMBER(I317),F317&gt;0),I317/F317-1,"")</f>
        <v/>
      </c>
      <c r="K317" s="22" t="n">
        <v>14.3</v>
      </c>
      <c r="L317" s="23">
        <f>IF(AND(ISNUMBER(F317),ISNUMBER(K317),F317&gt;0),K317/F317-1,"")</f>
        <v/>
      </c>
      <c r="M317" s="24" t="n">
        <v>12</v>
      </c>
      <c r="N317" s="25" t="n">
        <v>0.52</v>
      </c>
      <c r="O317" s="26">
        <f>IF(AND(ISNUMBER(F317),ISNUMBER(N317),F317&gt;0),N317/F317,"")</f>
        <v/>
      </c>
      <c r="P317" s="27" t="n">
        <v>46183</v>
      </c>
      <c r="Q317" s="27" t="n">
        <v>46400</v>
      </c>
      <c r="R317" s="25" t="n">
        <v>0.8100000000000001</v>
      </c>
      <c r="S317" s="28">
        <f>IF(AND(ISNUMBER(F317),ISNUMBER(R317),R317&gt;0),F317/R317,"")</f>
        <v/>
      </c>
      <c r="T317" s="27" t="n">
        <v>46323</v>
      </c>
    </row>
    <row r="318">
      <c r="A318" s="11" t="inlineStr">
        <is>
          <t>ROK</t>
        </is>
      </c>
      <c r="B318" s="11" t="inlineStr">
        <is>
          <t>Rockwell Automation, Inc.</t>
        </is>
      </c>
      <c r="C318" s="11" t="inlineStr">
        <is>
          <t>Specialty Industrial Machinery</t>
        </is>
      </c>
      <c r="D318" s="11" t="inlineStr">
        <is>
          <t>United States</t>
        </is>
      </c>
      <c r="E318" s="12" t="n">
        <v>48.87</v>
      </c>
      <c r="F318" s="13" t="n">
        <v>439.2</v>
      </c>
      <c r="G318" s="13" t="n">
        <v>474.88</v>
      </c>
      <c r="H318" s="14">
        <f>IF(AND(ISNUMBER(F318),ISNUMBER(G318),F318&gt;0),G318/F318-1,"")</f>
        <v/>
      </c>
      <c r="I318" s="13" t="n">
        <v>282</v>
      </c>
      <c r="J318" s="14">
        <f>IF(AND(ISNUMBER(F318),ISNUMBER(I318),F318&gt;0),I318/F318-1,"")</f>
        <v/>
      </c>
      <c r="K318" s="13" t="n">
        <v>550</v>
      </c>
      <c r="L318" s="14">
        <f>IF(AND(ISNUMBER(F318),ISNUMBER(K318),F318&gt;0),K318/F318-1,"")</f>
        <v/>
      </c>
      <c r="M318" s="15" t="n">
        <v>25</v>
      </c>
      <c r="N318" s="16" t="n">
        <v>5.52</v>
      </c>
      <c r="O318" s="17">
        <f>IF(AND(ISNUMBER(F318),ISNUMBER(N318),F318&gt;0),N318/F318,"")</f>
        <v/>
      </c>
      <c r="P318" s="18" t="n">
        <v>46251</v>
      </c>
      <c r="Q318" s="18" t="n">
        <v>46331</v>
      </c>
      <c r="R318" s="16" t="n">
        <v>10.68</v>
      </c>
      <c r="S318" s="19">
        <f>IF(AND(ISNUMBER(F318),ISNUMBER(R318),R318&gt;0),F318/R318,"")</f>
        <v/>
      </c>
      <c r="T318" s="18" t="n">
        <v>46323</v>
      </c>
    </row>
    <row r="319">
      <c r="A319" s="20" t="inlineStr">
        <is>
          <t>CCEP</t>
        </is>
      </c>
      <c r="B319" s="20" t="inlineStr">
        <is>
          <t xml:space="preserve">Coca-Cola Europacific Partners </t>
        </is>
      </c>
      <c r="C319" s="20" t="inlineStr">
        <is>
          <t>Beverages - Non-Alcoholic</t>
        </is>
      </c>
      <c r="D319" s="20" t="inlineStr">
        <is>
          <t>United Kingdom</t>
        </is>
      </c>
      <c r="E319" s="21" t="n">
        <v>48.69</v>
      </c>
      <c r="F319" s="22" t="n">
        <v>110.89</v>
      </c>
      <c r="G319" s="22" t="n">
        <v>108.452225</v>
      </c>
      <c r="H319" s="23">
        <f>IF(AND(ISNUMBER(F319),ISNUMBER(G319),F319&gt;0),G319/F319-1,"")</f>
        <v/>
      </c>
      <c r="I319" s="22" t="n">
        <v>90.8836</v>
      </c>
      <c r="J319" s="23">
        <f>IF(AND(ISNUMBER(F319),ISNUMBER(I319),F319&gt;0),I319/F319-1,"")</f>
        <v/>
      </c>
      <c r="K319" s="22" t="n">
        <v>115.64545</v>
      </c>
      <c r="L319" s="23">
        <f>IF(AND(ISNUMBER(F319),ISNUMBER(K319),F319&gt;0),K319/F319-1,"")</f>
        <v/>
      </c>
      <c r="M319" s="24" t="n">
        <v>12</v>
      </c>
      <c r="N319" s="25" t="n">
        <v>2.41</v>
      </c>
      <c r="O319" s="26">
        <f>IF(AND(ISNUMBER(F319),ISNUMBER(N319),F319&gt;0),N319/F319,"")</f>
        <v/>
      </c>
      <c r="P319" s="27" t="n">
        <v>46157</v>
      </c>
      <c r="Q319" s="27" t="n">
        <v>46238</v>
      </c>
      <c r="R319" s="25" t="n">
        <v>5.25</v>
      </c>
      <c r="S319" s="28">
        <f>IF(AND(ISNUMBER(F319),ISNUMBER(R319),R319&gt;0),F319/R319,"")</f>
        <v/>
      </c>
      <c r="T319" s="27" t="n">
        <v>46323</v>
      </c>
    </row>
    <row r="320">
      <c r="A320" s="11" t="inlineStr">
        <is>
          <t>LHX</t>
        </is>
      </c>
      <c r="B320" s="11" t="inlineStr">
        <is>
          <t>L3Harris Technologies, Inc.</t>
        </is>
      </c>
      <c r="C320" s="11" t="inlineStr">
        <is>
          <t>Aerospace &amp; Defense</t>
        </is>
      </c>
      <c r="D320" s="11" t="inlineStr">
        <is>
          <t>United States</t>
        </is>
      </c>
      <c r="E320" s="12" t="n">
        <v>48.3</v>
      </c>
      <c r="F320" s="13" t="n">
        <v>259.4</v>
      </c>
      <c r="G320" s="13" t="n">
        <v>323.66666</v>
      </c>
      <c r="H320" s="14">
        <f>IF(AND(ISNUMBER(F320),ISNUMBER(G320),F320&gt;0),G320/F320-1,"")</f>
        <v/>
      </c>
      <c r="I320" s="13" t="n">
        <v>241</v>
      </c>
      <c r="J320" s="14">
        <f>IF(AND(ISNUMBER(F320),ISNUMBER(I320),F320&gt;0),I320/F320-1,"")</f>
        <v/>
      </c>
      <c r="K320" s="13" t="n">
        <v>443</v>
      </c>
      <c r="L320" s="14">
        <f>IF(AND(ISNUMBER(F320),ISNUMBER(K320),F320&gt;0),K320/F320-1,"")</f>
        <v/>
      </c>
      <c r="M320" s="15" t="n">
        <v>18</v>
      </c>
      <c r="N320" s="16" t="n">
        <v>5</v>
      </c>
      <c r="O320" s="17">
        <f>IF(AND(ISNUMBER(F320),ISNUMBER(N320),F320&gt;0),N320/F320,"")</f>
        <v/>
      </c>
      <c r="P320" s="18" t="n">
        <v>46360</v>
      </c>
      <c r="Q320" s="18" t="n">
        <v>46324</v>
      </c>
      <c r="R320" s="16" t="n">
        <v>9.92</v>
      </c>
      <c r="S320" s="19">
        <f>IF(AND(ISNUMBER(F320),ISNUMBER(R320),R320&gt;0),F320/R320,"")</f>
        <v/>
      </c>
      <c r="T320" s="18" t="n">
        <v>46323</v>
      </c>
    </row>
    <row r="321">
      <c r="A321" s="20" t="inlineStr">
        <is>
          <t>PYPL</t>
        </is>
      </c>
      <c r="B321" s="20" t="inlineStr">
        <is>
          <t>PayPal Holdings, Inc.</t>
        </is>
      </c>
      <c r="C321" s="20" t="inlineStr">
        <is>
          <t>Credit Services</t>
        </is>
      </c>
      <c r="D321" s="20" t="inlineStr">
        <is>
          <t>United States</t>
        </is>
      </c>
      <c r="E321" s="21" t="n">
        <v>47.98</v>
      </c>
      <c r="F321" s="22" t="n">
        <v>56.09</v>
      </c>
      <c r="G321" s="22" t="n">
        <v>56.88939</v>
      </c>
      <c r="H321" s="23">
        <f>IF(AND(ISNUMBER(F321),ISNUMBER(G321),F321&gt;0),G321/F321-1,"")</f>
        <v/>
      </c>
      <c r="I321" s="22" t="n">
        <v>36</v>
      </c>
      <c r="J321" s="23">
        <f>IF(AND(ISNUMBER(F321),ISNUMBER(I321),F321&gt;0),I321/F321-1,"")</f>
        <v/>
      </c>
      <c r="K321" s="22" t="n">
        <v>80</v>
      </c>
      <c r="L321" s="23">
        <f>IF(AND(ISNUMBER(F321),ISNUMBER(K321),F321&gt;0),K321/F321-1,"")</f>
        <v/>
      </c>
      <c r="M321" s="24" t="n">
        <v>33</v>
      </c>
      <c r="N321" s="25" t="n">
        <v>0.5600000000000001</v>
      </c>
      <c r="O321" s="26">
        <f>IF(AND(ISNUMBER(F321),ISNUMBER(N321),F321&gt;0),N321/F321,"")</f>
        <v/>
      </c>
      <c r="P321" s="27" t="n">
        <v>46269</v>
      </c>
      <c r="Q321" s="27" t="n">
        <v>46322</v>
      </c>
      <c r="R321" s="25" t="n">
        <v>5.1</v>
      </c>
      <c r="S321" s="28">
        <f>IF(AND(ISNUMBER(F321),ISNUMBER(R321),R321&gt;0),F321/R321,"")</f>
        <v/>
      </c>
      <c r="T321" s="27" t="n">
        <v>46323</v>
      </c>
    </row>
    <row r="322">
      <c r="A322" s="11" t="inlineStr">
        <is>
          <t>CARR</t>
        </is>
      </c>
      <c r="B322" s="11" t="inlineStr">
        <is>
          <t>Carrier Global Corporation</t>
        </is>
      </c>
      <c r="C322" s="11" t="inlineStr">
        <is>
          <t>Building Products &amp; Equipment</t>
        </is>
      </c>
      <c r="D322" s="11" t="inlineStr">
        <is>
          <t>United States</t>
        </is>
      </c>
      <c r="E322" s="12" t="n">
        <v>47.67</v>
      </c>
      <c r="F322" s="13" t="n">
        <v>57.83</v>
      </c>
      <c r="G322" s="13" t="n">
        <v>73.00521999999999</v>
      </c>
      <c r="H322" s="14">
        <f>IF(AND(ISNUMBER(F322),ISNUMBER(G322),F322&gt;0),G322/F322-1,"")</f>
        <v/>
      </c>
      <c r="I322" s="13" t="n">
        <v>55</v>
      </c>
      <c r="J322" s="14">
        <f>IF(AND(ISNUMBER(F322),ISNUMBER(I322),F322&gt;0),I322/F322-1,"")</f>
        <v/>
      </c>
      <c r="K322" s="13" t="n">
        <v>90</v>
      </c>
      <c r="L322" s="14">
        <f>IF(AND(ISNUMBER(F322),ISNUMBER(K322),F322&gt;0),K322/F322-1,"")</f>
        <v/>
      </c>
      <c r="M322" s="15" t="n">
        <v>23</v>
      </c>
      <c r="N322" s="16" t="n">
        <v>0.96</v>
      </c>
      <c r="O322" s="17">
        <f>IF(AND(ISNUMBER(F322),ISNUMBER(N322),F322&gt;0),N322/F322,"")</f>
        <v/>
      </c>
      <c r="P322" s="18" t="n">
        <v>46324</v>
      </c>
      <c r="Q322" s="18" t="n">
        <v>46324</v>
      </c>
      <c r="R322" s="16" t="n">
        <v>1.38</v>
      </c>
      <c r="S322" s="19">
        <f>IF(AND(ISNUMBER(F322),ISNUMBER(R322),R322&gt;0),F322/R322,"")</f>
        <v/>
      </c>
      <c r="T322" s="18" t="n">
        <v>46323</v>
      </c>
    </row>
    <row r="323">
      <c r="A323" s="20" t="inlineStr">
        <is>
          <t>KDP</t>
        </is>
      </c>
      <c r="B323" s="20" t="inlineStr">
        <is>
          <t>Keurig Dr Pepper Inc.</t>
        </is>
      </c>
      <c r="C323" s="20" t="inlineStr">
        <is>
          <t>Beverages - Non-Alcoholic</t>
        </is>
      </c>
      <c r="D323" s="20" t="inlineStr">
        <is>
          <t>United States</t>
        </is>
      </c>
      <c r="E323" s="21" t="n">
        <v>47.44</v>
      </c>
      <c r="F323" s="22" t="n">
        <v>34.86</v>
      </c>
      <c r="G323" s="22" t="n">
        <v>36.38235</v>
      </c>
      <c r="H323" s="23">
        <f>IF(AND(ISNUMBER(F323),ISNUMBER(G323),F323&gt;0),G323/F323-1,"")</f>
        <v/>
      </c>
      <c r="I323" s="22" t="n">
        <v>29</v>
      </c>
      <c r="J323" s="23">
        <f>IF(AND(ISNUMBER(F323),ISNUMBER(I323),F323&gt;0),I323/F323-1,"")</f>
        <v/>
      </c>
      <c r="K323" s="22" t="n">
        <v>42</v>
      </c>
      <c r="L323" s="23">
        <f>IF(AND(ISNUMBER(F323),ISNUMBER(K323),F323&gt;0),K323/F323-1,"")</f>
        <v/>
      </c>
      <c r="M323" s="24" t="n">
        <v>17</v>
      </c>
      <c r="N323" s="25" t="n">
        <v>0.92</v>
      </c>
      <c r="O323" s="26">
        <f>IF(AND(ISNUMBER(F323),ISNUMBER(N323),F323&gt;0),N323/F323,"")</f>
        <v/>
      </c>
      <c r="P323" s="27" t="n">
        <v>46293</v>
      </c>
      <c r="Q323" s="27" t="n">
        <v>46329</v>
      </c>
      <c r="R323" s="25" t="n">
        <v>0.99</v>
      </c>
      <c r="S323" s="28">
        <f>IF(AND(ISNUMBER(F323),ISNUMBER(R323),R323&gt;0),F323/R323,"")</f>
        <v/>
      </c>
      <c r="T323" s="27" t="n">
        <v>46323</v>
      </c>
    </row>
    <row r="324">
      <c r="A324" s="11" t="inlineStr">
        <is>
          <t>HEINY</t>
        </is>
      </c>
      <c r="B324" s="11" t="inlineStr">
        <is>
          <t>Heineken N.V.</t>
        </is>
      </c>
      <c r="C324" s="11" t="inlineStr">
        <is>
          <t>Beverages - Brewers</t>
        </is>
      </c>
      <c r="D324" s="11" t="inlineStr">
        <is>
          <t>Netherlands</t>
        </is>
      </c>
      <c r="E324" s="12" t="n">
        <v>47.33</v>
      </c>
      <c r="F324" s="13" t="n">
        <v>42.78</v>
      </c>
      <c r="G324" s="13" t="n">
        <v>49.5</v>
      </c>
      <c r="H324" s="14">
        <f>IF(AND(ISNUMBER(F324),ISNUMBER(G324),F324&gt;0),G324/F324-1,"")</f>
        <v/>
      </c>
      <c r="I324" s="13" t="n">
        <v>44</v>
      </c>
      <c r="J324" s="14">
        <f>IF(AND(ISNUMBER(F324),ISNUMBER(I324),F324&gt;0),I324/F324-1,"")</f>
        <v/>
      </c>
      <c r="K324" s="13" t="n">
        <v>55</v>
      </c>
      <c r="L324" s="14">
        <f>IF(AND(ISNUMBER(F324),ISNUMBER(K324),F324&gt;0),K324/F324-1,"")</f>
        <v/>
      </c>
      <c r="M324" s="15" t="n">
        <v>2</v>
      </c>
      <c r="N324" s="16" t="n">
        <v>1.12</v>
      </c>
      <c r="O324" s="17">
        <f>IF(AND(ISNUMBER(F324),ISNUMBER(N324),F324&gt;0),N324/F324,"")</f>
        <v/>
      </c>
      <c r="P324" s="18" t="n">
        <v>46244</v>
      </c>
      <c r="Q324" s="18" t="n">
        <v>45866</v>
      </c>
      <c r="R324" s="16" t="n">
        <v>2.38</v>
      </c>
      <c r="S324" s="19">
        <f>IF(AND(ISNUMBER(F324),ISNUMBER(R324),R324&gt;0),F324/R324,"")</f>
        <v/>
      </c>
      <c r="T324" s="18" t="n">
        <v>46323</v>
      </c>
    </row>
    <row r="325">
      <c r="A325" s="20" t="inlineStr">
        <is>
          <t>WAB</t>
        </is>
      </c>
      <c r="B325" s="20" t="inlineStr">
        <is>
          <t>Westinghouse Air Brake Technolo</t>
        </is>
      </c>
      <c r="C325" s="20" t="inlineStr">
        <is>
          <t>Railroads</t>
        </is>
      </c>
      <c r="D325" s="20" t="inlineStr">
        <is>
          <t>United States</t>
        </is>
      </c>
      <c r="E325" s="21" t="n">
        <v>47.12</v>
      </c>
      <c r="F325" s="22" t="n">
        <v>278.95</v>
      </c>
      <c r="G325" s="22" t="n">
        <v>332.08334</v>
      </c>
      <c r="H325" s="23">
        <f>IF(AND(ISNUMBER(F325),ISNUMBER(G325),F325&gt;0),G325/F325-1,"")</f>
        <v/>
      </c>
      <c r="I325" s="22" t="n">
        <v>292</v>
      </c>
      <c r="J325" s="23">
        <f>IF(AND(ISNUMBER(F325),ISNUMBER(I325),F325&gt;0),I325/F325-1,"")</f>
        <v/>
      </c>
      <c r="K325" s="22" t="n">
        <v>355</v>
      </c>
      <c r="L325" s="23">
        <f>IF(AND(ISNUMBER(F325),ISNUMBER(K325),F325&gt;0),K325/F325-1,"")</f>
        <v/>
      </c>
      <c r="M325" s="24" t="n">
        <v>12</v>
      </c>
      <c r="N325" s="25" t="n">
        <v>1.24</v>
      </c>
      <c r="O325" s="26">
        <f>IF(AND(ISNUMBER(F325),ISNUMBER(N325),F325&gt;0),N325/F325,"")</f>
        <v/>
      </c>
      <c r="P325" s="27" t="n">
        <v>46343</v>
      </c>
      <c r="Q325" s="27" t="n">
        <v>46316</v>
      </c>
      <c r="R325" s="25" t="n">
        <v>8.050000000000001</v>
      </c>
      <c r="S325" s="28">
        <f>IF(AND(ISNUMBER(F325),ISNUMBER(R325),R325&gt;0),F325/R325,"")</f>
        <v/>
      </c>
      <c r="T325" s="27" t="n">
        <v>46323</v>
      </c>
    </row>
    <row r="326">
      <c r="A326" s="11" t="inlineStr">
        <is>
          <t>TEVA</t>
        </is>
      </c>
      <c r="B326" s="11" t="inlineStr">
        <is>
          <t xml:space="preserve">Teva Pharmaceutical Industries </t>
        </is>
      </c>
      <c r="C326" s="11" t="inlineStr">
        <is>
          <t>Drug Manufacturers - Specialty &amp; Generic</t>
        </is>
      </c>
      <c r="D326" s="11" t="inlineStr">
        <is>
          <t>Israel</t>
        </is>
      </c>
      <c r="E326" s="12" t="n">
        <v>47.11</v>
      </c>
      <c r="F326" s="13" t="n">
        <v>40.39</v>
      </c>
      <c r="G326" s="13" t="n">
        <v>47.58333</v>
      </c>
      <c r="H326" s="14">
        <f>IF(AND(ISNUMBER(F326),ISNUMBER(G326),F326&gt;0),G326/F326-1,"")</f>
        <v/>
      </c>
      <c r="I326" s="13" t="n">
        <v>42</v>
      </c>
      <c r="J326" s="14">
        <f>IF(AND(ISNUMBER(F326),ISNUMBER(I326),F326&gt;0),I326/F326-1,"")</f>
        <v/>
      </c>
      <c r="K326" s="13" t="n">
        <v>55</v>
      </c>
      <c r="L326" s="14">
        <f>IF(AND(ISNUMBER(F326),ISNUMBER(K326),F326&gt;0),K326/F326-1,"")</f>
        <v/>
      </c>
      <c r="M326" s="15" t="n">
        <v>12</v>
      </c>
      <c r="N326" s="16" t="n"/>
      <c r="O326" s="17">
        <f>IF(AND(ISNUMBER(F326),ISNUMBER(N326),F326&gt;0),N326/F326,"")</f>
        <v/>
      </c>
      <c r="P326" s="18" t="n"/>
      <c r="Q326" s="18" t="n">
        <v>46329</v>
      </c>
      <c r="R326" s="16" t="n">
        <v>0.6</v>
      </c>
      <c r="S326" s="19">
        <f>IF(AND(ISNUMBER(F326),ISNUMBER(R326),R326&gt;0),F326/R326,"")</f>
        <v/>
      </c>
      <c r="T326" s="18" t="n">
        <v>46323</v>
      </c>
    </row>
    <row r="327">
      <c r="A327" s="20" t="inlineStr">
        <is>
          <t>F</t>
        </is>
      </c>
      <c r="B327" s="20" t="inlineStr">
        <is>
          <t>Ford Motor Company</t>
        </is>
      </c>
      <c r="C327" s="20" t="inlineStr">
        <is>
          <t>Auto Manufacturers</t>
        </is>
      </c>
      <c r="D327" s="20" t="inlineStr">
        <is>
          <t>United States</t>
        </is>
      </c>
      <c r="E327" s="21" t="n">
        <v>46.69</v>
      </c>
      <c r="F327" s="22" t="n">
        <v>11.71</v>
      </c>
      <c r="G327" s="22" t="n">
        <v>15.55778</v>
      </c>
      <c r="H327" s="23">
        <f>IF(AND(ISNUMBER(F327),ISNUMBER(G327),F327&gt;0),G327/F327-1,"")</f>
        <v/>
      </c>
      <c r="I327" s="22" t="n">
        <v>12.8</v>
      </c>
      <c r="J327" s="23">
        <f>IF(AND(ISNUMBER(F327),ISNUMBER(I327),F327&gt;0),I327/F327-1,"")</f>
        <v/>
      </c>
      <c r="K327" s="22" t="n">
        <v>20</v>
      </c>
      <c r="L327" s="23">
        <f>IF(AND(ISNUMBER(F327),ISNUMBER(K327),F327&gt;0),K327/F327-1,"")</f>
        <v/>
      </c>
      <c r="M327" s="24" t="n">
        <v>18</v>
      </c>
      <c r="N327" s="25" t="n">
        <v>0.6</v>
      </c>
      <c r="O327" s="26">
        <f>IF(AND(ISNUMBER(F327),ISNUMBER(N327),F327&gt;0),N327/F327,"")</f>
        <v/>
      </c>
      <c r="P327" s="27" t="n">
        <v>46245</v>
      </c>
      <c r="Q327" s="27" t="n">
        <v>46323</v>
      </c>
      <c r="R327" s="25" t="n">
        <v>-1.88</v>
      </c>
      <c r="S327" s="28">
        <f>IF(AND(ISNUMBER(F327),ISNUMBER(R327),R327&gt;0),F327/R327,"")</f>
        <v/>
      </c>
      <c r="T327" s="27" t="n">
        <v>46323</v>
      </c>
    </row>
    <row r="328">
      <c r="A328" s="11" t="inlineStr">
        <is>
          <t>STT</t>
        </is>
      </c>
      <c r="B328" s="11" t="inlineStr">
        <is>
          <t>State Street Corporation</t>
        </is>
      </c>
      <c r="C328" s="11" t="inlineStr">
        <is>
          <t>Asset Management</t>
        </is>
      </c>
      <c r="D328" s="11" t="inlineStr">
        <is>
          <t>United States</t>
        </is>
      </c>
      <c r="E328" s="12" t="n">
        <v>46.62</v>
      </c>
      <c r="F328" s="13" t="n">
        <v>170.89</v>
      </c>
      <c r="G328" s="13" t="n">
        <v>192.3</v>
      </c>
      <c r="H328" s="14">
        <f>IF(AND(ISNUMBER(F328),ISNUMBER(G328),F328&gt;0),G328/F328-1,"")</f>
        <v/>
      </c>
      <c r="I328" s="13" t="n">
        <v>152</v>
      </c>
      <c r="J328" s="14">
        <f>IF(AND(ISNUMBER(F328),ISNUMBER(I328),F328&gt;0),I328/F328-1,"")</f>
        <v/>
      </c>
      <c r="K328" s="13" t="n">
        <v>230</v>
      </c>
      <c r="L328" s="14">
        <f>IF(AND(ISNUMBER(F328),ISNUMBER(K328),F328&gt;0),K328/F328-1,"")</f>
        <v/>
      </c>
      <c r="M328" s="15" t="n">
        <v>15</v>
      </c>
      <c r="N328" s="16" t="n">
        <v>3.68</v>
      </c>
      <c r="O328" s="17">
        <f>IF(AND(ISNUMBER(F328),ISNUMBER(N328),F328&gt;0),N328/F328,"")</f>
        <v/>
      </c>
      <c r="P328" s="18" t="n">
        <v>46296</v>
      </c>
      <c r="Q328" s="18" t="n">
        <v>46402</v>
      </c>
      <c r="R328" s="16" t="n">
        <v>12.24</v>
      </c>
      <c r="S328" s="19">
        <f>IF(AND(ISNUMBER(F328),ISNUMBER(R328),R328&gt;0),F328/R328,"")</f>
        <v/>
      </c>
      <c r="T328" s="18" t="n">
        <v>46323</v>
      </c>
    </row>
    <row r="329">
      <c r="A329" s="20" t="inlineStr">
        <is>
          <t>COHR</t>
        </is>
      </c>
      <c r="B329" s="20" t="inlineStr">
        <is>
          <t>Coherent Corp.</t>
        </is>
      </c>
      <c r="C329" s="20" t="inlineStr">
        <is>
          <t>Scientific &amp; Technical Instruments</t>
        </is>
      </c>
      <c r="D329" s="20" t="inlineStr">
        <is>
          <t>United States</t>
        </is>
      </c>
      <c r="E329" s="21" t="n">
        <v>46.43</v>
      </c>
      <c r="F329" s="22" t="n">
        <v>235.79</v>
      </c>
      <c r="G329" s="22" t="n">
        <v>395.99854</v>
      </c>
      <c r="H329" s="23">
        <f>IF(AND(ISNUMBER(F329),ISNUMBER(G329),F329&gt;0),G329/F329-1,"")</f>
        <v/>
      </c>
      <c r="I329" s="22" t="n">
        <v>230</v>
      </c>
      <c r="J329" s="23">
        <f>IF(AND(ISNUMBER(F329),ISNUMBER(I329),F329&gt;0),I329/F329-1,"")</f>
        <v/>
      </c>
      <c r="K329" s="22" t="n">
        <v>500</v>
      </c>
      <c r="L329" s="23">
        <f>IF(AND(ISNUMBER(F329),ISNUMBER(K329),F329&gt;0),K329/F329-1,"")</f>
        <v/>
      </c>
      <c r="M329" s="24" t="n">
        <v>25</v>
      </c>
      <c r="N329" s="25" t="n"/>
      <c r="O329" s="26">
        <f>IF(AND(ISNUMBER(F329),ISNUMBER(N329),F329&gt;0),N329/F329,"")</f>
        <v/>
      </c>
      <c r="P329" s="27" t="n"/>
      <c r="Q329" s="27" t="n">
        <v>46330</v>
      </c>
      <c r="R329" s="25" t="n">
        <v>4.12</v>
      </c>
      <c r="S329" s="28">
        <f>IF(AND(ISNUMBER(F329),ISNUMBER(R329),R329&gt;0),F329/R329,"")</f>
        <v/>
      </c>
      <c r="T329" s="27" t="n">
        <v>46323</v>
      </c>
    </row>
    <row r="330">
      <c r="A330" s="11" t="inlineStr">
        <is>
          <t>NBIS</t>
        </is>
      </c>
      <c r="B330" s="11" t="inlineStr">
        <is>
          <t>Nebius Group N.V.</t>
        </is>
      </c>
      <c r="C330" s="11" t="inlineStr">
        <is>
          <t>Internet Content &amp; Information</t>
        </is>
      </c>
      <c r="D330" s="11" t="inlineStr">
        <is>
          <t>Netherlands</t>
        </is>
      </c>
      <c r="E330" s="12" t="n">
        <v>46.34</v>
      </c>
      <c r="F330" s="13" t="n">
        <v>170.47</v>
      </c>
      <c r="G330" s="13" t="n">
        <v>281</v>
      </c>
      <c r="H330" s="14">
        <f>IF(AND(ISNUMBER(F330),ISNUMBER(G330),F330&gt;0),G330/F330-1,"")</f>
        <v/>
      </c>
      <c r="I330" s="13" t="n">
        <v>84</v>
      </c>
      <c r="J330" s="14">
        <f>IF(AND(ISNUMBER(F330),ISNUMBER(I330),F330&gt;0),I330/F330-1,"")</f>
        <v/>
      </c>
      <c r="K330" s="13" t="n">
        <v>410</v>
      </c>
      <c r="L330" s="14">
        <f>IF(AND(ISNUMBER(F330),ISNUMBER(K330),F330&gt;0),K330/F330-1,"")</f>
        <v/>
      </c>
      <c r="M330" s="15" t="n">
        <v>20</v>
      </c>
      <c r="N330" s="16" t="n"/>
      <c r="O330" s="17">
        <f>IF(AND(ISNUMBER(F330),ISNUMBER(N330),F330&gt;0),N330/F330,"")</f>
        <v/>
      </c>
      <c r="P330" s="18" t="n"/>
      <c r="Q330" s="18" t="n">
        <v>46336</v>
      </c>
      <c r="R330" s="16" t="n">
        <v>1.28</v>
      </c>
      <c r="S330" s="19">
        <f>IF(AND(ISNUMBER(F330),ISNUMBER(R330),R330&gt;0),F330/R330,"")</f>
        <v/>
      </c>
      <c r="T330" s="18" t="n">
        <v>46323</v>
      </c>
    </row>
    <row r="331">
      <c r="A331" s="20" t="inlineStr">
        <is>
          <t>EXC</t>
        </is>
      </c>
      <c r="B331" s="20" t="inlineStr">
        <is>
          <t>Exelon Corporation</t>
        </is>
      </c>
      <c r="C331" s="20" t="inlineStr">
        <is>
          <t>Utilities - Regulated Electric</t>
        </is>
      </c>
      <c r="D331" s="20" t="inlineStr">
        <is>
          <t>United States</t>
        </is>
      </c>
      <c r="E331" s="21" t="n">
        <v>46.05</v>
      </c>
      <c r="F331" s="22" t="n">
        <v>44.7</v>
      </c>
      <c r="G331" s="22" t="n">
        <v>47.76471</v>
      </c>
      <c r="H331" s="23">
        <f>IF(AND(ISNUMBER(F331),ISNUMBER(G331),F331&gt;0),G331/F331-1,"")</f>
        <v/>
      </c>
      <c r="I331" s="22" t="n">
        <v>44</v>
      </c>
      <c r="J331" s="23">
        <f>IF(AND(ISNUMBER(F331),ISNUMBER(I331),F331&gt;0),I331/F331-1,"")</f>
        <v/>
      </c>
      <c r="K331" s="22" t="n">
        <v>58</v>
      </c>
      <c r="L331" s="23">
        <f>IF(AND(ISNUMBER(F331),ISNUMBER(K331),F331&gt;0),K331/F331-1,"")</f>
        <v/>
      </c>
      <c r="M331" s="24" t="n">
        <v>17</v>
      </c>
      <c r="N331" s="25" t="n">
        <v>1.68</v>
      </c>
      <c r="O331" s="26">
        <f>IF(AND(ISNUMBER(F331),ISNUMBER(N331),F331&gt;0),N331/F331,"")</f>
        <v/>
      </c>
      <c r="P331" s="27" t="n">
        <v>46269</v>
      </c>
      <c r="Q331" s="27" t="n">
        <v>46325</v>
      </c>
      <c r="R331" s="25" t="n">
        <v>2.72</v>
      </c>
      <c r="S331" s="28">
        <f>IF(AND(ISNUMBER(F331),ISNUMBER(R331),R331&gt;0),F331/R331,"")</f>
        <v/>
      </c>
      <c r="T331" s="27" t="n">
        <v>46323</v>
      </c>
    </row>
    <row r="332">
      <c r="A332" s="11" t="inlineStr">
        <is>
          <t>WAT</t>
        </is>
      </c>
      <c r="B332" s="11" t="inlineStr">
        <is>
          <t>Waters Corporation</t>
        </is>
      </c>
      <c r="C332" s="11" t="inlineStr">
        <is>
          <t>Diagnostics &amp; Research</t>
        </is>
      </c>
      <c r="D332" s="11" t="inlineStr">
        <is>
          <t>United States</t>
        </is>
      </c>
      <c r="E332" s="12" t="n">
        <v>46</v>
      </c>
      <c r="F332" s="13" t="n">
        <v>468.55</v>
      </c>
      <c r="G332" s="13" t="n">
        <v>465.86365</v>
      </c>
      <c r="H332" s="14">
        <f>IF(AND(ISNUMBER(F332),ISNUMBER(G332),F332&gt;0),G332/F332-1,"")</f>
        <v/>
      </c>
      <c r="I332" s="13" t="n">
        <v>349</v>
      </c>
      <c r="J332" s="14">
        <f>IF(AND(ISNUMBER(F332),ISNUMBER(I332),F332&gt;0),I332/F332-1,"")</f>
        <v/>
      </c>
      <c r="K332" s="13" t="n">
        <v>530</v>
      </c>
      <c r="L332" s="14">
        <f>IF(AND(ISNUMBER(F332),ISNUMBER(K332),F332&gt;0),K332/F332-1,"")</f>
        <v/>
      </c>
      <c r="M332" s="15" t="n">
        <v>22</v>
      </c>
      <c r="N332" s="16" t="n"/>
      <c r="O332" s="17">
        <f>IF(AND(ISNUMBER(F332),ISNUMBER(N332),F332&gt;0),N332/F332,"")</f>
        <v/>
      </c>
      <c r="P332" s="18" t="n"/>
      <c r="Q332" s="18" t="n">
        <v>46329</v>
      </c>
      <c r="R332" s="16" t="n">
        <v>3.95</v>
      </c>
      <c r="S332" s="19">
        <f>IF(AND(ISNUMBER(F332),ISNUMBER(R332),R332&gt;0),F332/R332,"")</f>
        <v/>
      </c>
      <c r="T332" s="18" t="n">
        <v>46323</v>
      </c>
    </row>
    <row r="333">
      <c r="A333" s="20" t="inlineStr">
        <is>
          <t>SE</t>
        </is>
      </c>
      <c r="B333" s="20" t="inlineStr">
        <is>
          <t>Sea Limited</t>
        </is>
      </c>
      <c r="C333" s="20" t="inlineStr">
        <is>
          <t>Internet Retail</t>
        </is>
      </c>
      <c r="D333" s="20" t="inlineStr">
        <is>
          <t>Singapore</t>
        </is>
      </c>
      <c r="E333" s="21" t="n">
        <v>45.77</v>
      </c>
      <c r="F333" s="22" t="n">
        <v>74.73</v>
      </c>
      <c r="G333" s="22" t="n">
        <v>149.11</v>
      </c>
      <c r="H333" s="23">
        <f>IF(AND(ISNUMBER(F333),ISNUMBER(G333),F333&gt;0),G333/F333-1,"")</f>
        <v/>
      </c>
      <c r="I333" s="22" t="n">
        <v>70</v>
      </c>
      <c r="J333" s="23">
        <f>IF(AND(ISNUMBER(F333),ISNUMBER(I333),F333&gt;0),I333/F333-1,"")</f>
        <v/>
      </c>
      <c r="K333" s="22" t="n">
        <v>195</v>
      </c>
      <c r="L333" s="23">
        <f>IF(AND(ISNUMBER(F333),ISNUMBER(K333),F333&gt;0),K333/F333-1,"")</f>
        <v/>
      </c>
      <c r="M333" s="24" t="n">
        <v>28</v>
      </c>
      <c r="N333" s="25" t="n"/>
      <c r="O333" s="26">
        <f>IF(AND(ISNUMBER(F333),ISNUMBER(N333),F333&gt;0),N333/F333,"")</f>
        <v/>
      </c>
      <c r="P333" s="27" t="n"/>
      <c r="Q333" s="27" t="n">
        <v>46336</v>
      </c>
      <c r="R333" s="25" t="n">
        <v>2.59</v>
      </c>
      <c r="S333" s="28">
        <f>IF(AND(ISNUMBER(F333),ISNUMBER(R333),R333&gt;0),F333/R333,"")</f>
        <v/>
      </c>
      <c r="T333" s="27" t="n">
        <v>46323</v>
      </c>
    </row>
    <row r="334">
      <c r="A334" s="11" t="inlineStr">
        <is>
          <t>FNV</t>
        </is>
      </c>
      <c r="B334" s="11" t="inlineStr">
        <is>
          <t>Franco-Nevada Corporation</t>
        </is>
      </c>
      <c r="C334" s="11" t="inlineStr">
        <is>
          <t>Gold</t>
        </is>
      </c>
      <c r="D334" s="11" t="inlineStr">
        <is>
          <t>Canada</t>
        </is>
      </c>
      <c r="E334" s="12" t="n">
        <v>45.6</v>
      </c>
      <c r="F334" s="13" t="n">
        <v>236.4</v>
      </c>
      <c r="G334" s="13" t="n">
        <v>282.3622</v>
      </c>
      <c r="H334" s="14">
        <f>IF(AND(ISNUMBER(F334),ISNUMBER(G334),F334&gt;0),G334/F334-1,"")</f>
        <v/>
      </c>
      <c r="I334" s="13" t="n">
        <v>265</v>
      </c>
      <c r="J334" s="14">
        <f>IF(AND(ISNUMBER(F334),ISNUMBER(I334),F334&gt;0),I334/F334-1,"")</f>
        <v/>
      </c>
      <c r="K334" s="13" t="n">
        <v>305</v>
      </c>
      <c r="L334" s="14">
        <f>IF(AND(ISNUMBER(F334),ISNUMBER(K334),F334&gt;0),K334/F334-1,"")</f>
        <v/>
      </c>
      <c r="M334" s="15" t="n">
        <v>9</v>
      </c>
      <c r="N334" s="16" t="n">
        <v>1.76</v>
      </c>
      <c r="O334" s="17">
        <f>IF(AND(ISNUMBER(F334),ISNUMBER(N334),F334&gt;0),N334/F334,"")</f>
        <v/>
      </c>
      <c r="P334" s="18" t="n">
        <v>46275</v>
      </c>
      <c r="Q334" s="18" t="n">
        <v>46337</v>
      </c>
      <c r="R334" s="16" t="n">
        <v>7.65</v>
      </c>
      <c r="S334" s="19">
        <f>IF(AND(ISNUMBER(F334),ISNUMBER(R334),R334&gt;0),F334/R334,"")</f>
        <v/>
      </c>
      <c r="T334" s="18" t="n">
        <v>46323</v>
      </c>
    </row>
    <row r="335">
      <c r="A335" s="20" t="inlineStr">
        <is>
          <t>WCN</t>
        </is>
      </c>
      <c r="B335" s="20" t="inlineStr">
        <is>
          <t>Waste Connections, Inc.</t>
        </is>
      </c>
      <c r="C335" s="20" t="inlineStr">
        <is>
          <t>Waste Management</t>
        </is>
      </c>
      <c r="D335" s="20" t="inlineStr">
        <is>
          <t>Canada</t>
        </is>
      </c>
      <c r="E335" s="21" t="n">
        <v>45.54</v>
      </c>
      <c r="F335" s="22" t="n">
        <v>181.97</v>
      </c>
      <c r="G335" s="22" t="n">
        <v>206.31966</v>
      </c>
      <c r="H335" s="23">
        <f>IF(AND(ISNUMBER(F335),ISNUMBER(G335),F335&gt;0),G335/F335-1,"")</f>
        <v/>
      </c>
      <c r="I335" s="22" t="n">
        <v>170</v>
      </c>
      <c r="J335" s="23">
        <f>IF(AND(ISNUMBER(F335),ISNUMBER(I335),F335&gt;0),I335/F335-1,"")</f>
        <v/>
      </c>
      <c r="K335" s="22" t="n">
        <v>225</v>
      </c>
      <c r="L335" s="23">
        <f>IF(AND(ISNUMBER(F335),ISNUMBER(K335),F335&gt;0),K335/F335-1,"")</f>
        <v/>
      </c>
      <c r="M335" s="24" t="n">
        <v>26</v>
      </c>
      <c r="N335" s="25" t="n">
        <v>1.54</v>
      </c>
      <c r="O335" s="26">
        <f>IF(AND(ISNUMBER(F335),ISNUMBER(N335),F335&gt;0),N335/F335,"")</f>
        <v/>
      </c>
      <c r="P335" s="27" t="n">
        <v>46331</v>
      </c>
      <c r="Q335" s="27" t="n">
        <v>46316</v>
      </c>
      <c r="R335" s="25" t="n">
        <v>4.46</v>
      </c>
      <c r="S335" s="28">
        <f>IF(AND(ISNUMBER(F335),ISNUMBER(R335),R335&gt;0),F335/R335,"")</f>
        <v/>
      </c>
      <c r="T335" s="27" t="n">
        <v>46323</v>
      </c>
    </row>
    <row r="336">
      <c r="A336" s="11" t="inlineStr">
        <is>
          <t>FIX</t>
        </is>
      </c>
      <c r="B336" s="11" t="inlineStr">
        <is>
          <t>Comfort Systems USA, Inc.</t>
        </is>
      </c>
      <c r="C336" s="11" t="inlineStr">
        <is>
          <t>Engineering &amp; Construction</t>
        </is>
      </c>
      <c r="D336" s="11" t="inlineStr">
        <is>
          <t>United States</t>
        </is>
      </c>
      <c r="E336" s="12" t="n">
        <v>45.35</v>
      </c>
      <c r="F336" s="13" t="n">
        <v>1288.61</v>
      </c>
      <c r="G336" s="13" t="n">
        <v>1916.875</v>
      </c>
      <c r="H336" s="14">
        <f>IF(AND(ISNUMBER(F336),ISNUMBER(G336),F336&gt;0),G336/F336-1,"")</f>
        <v/>
      </c>
      <c r="I336" s="13" t="n">
        <v>1808</v>
      </c>
      <c r="J336" s="14">
        <f>IF(AND(ISNUMBER(F336),ISNUMBER(I336),F336&gt;0),I336/F336-1,"")</f>
        <v/>
      </c>
      <c r="K336" s="13" t="n">
        <v>2053</v>
      </c>
      <c r="L336" s="14">
        <f>IF(AND(ISNUMBER(F336),ISNUMBER(K336),F336&gt;0),K336/F336-1,"")</f>
        <v/>
      </c>
      <c r="M336" s="15" t="n">
        <v>8</v>
      </c>
      <c r="N336" s="16" t="n">
        <v>4</v>
      </c>
      <c r="O336" s="17">
        <f>IF(AND(ISNUMBER(F336),ISNUMBER(N336),F336&gt;0),N336/F336,"")</f>
        <v/>
      </c>
      <c r="P336" s="18" t="n">
        <v>46338</v>
      </c>
      <c r="Q336" s="18" t="n">
        <v>46317</v>
      </c>
      <c r="R336" s="16" t="n">
        <v>46.3</v>
      </c>
      <c r="S336" s="19">
        <f>IF(AND(ISNUMBER(F336),ISNUMBER(R336),R336&gt;0),F336/R336,"")</f>
        <v/>
      </c>
      <c r="T336" s="18" t="n">
        <v>46323</v>
      </c>
    </row>
    <row r="337">
      <c r="A337" s="20" t="inlineStr">
        <is>
          <t>XYZ</t>
        </is>
      </c>
      <c r="B337" s="20" t="inlineStr">
        <is>
          <t>Block, Inc.</t>
        </is>
      </c>
      <c r="C337" s="20" t="inlineStr">
        <is>
          <t>Software - Infrastructure</t>
        </is>
      </c>
      <c r="D337" s="20" t="inlineStr">
        <is>
          <t>United States</t>
        </is>
      </c>
      <c r="E337" s="21" t="n">
        <v>44.98</v>
      </c>
      <c r="F337" s="22" t="n">
        <v>74.87</v>
      </c>
      <c r="G337" s="22" t="n">
        <v>97.91119</v>
      </c>
      <c r="H337" s="23">
        <f>IF(AND(ISNUMBER(F337),ISNUMBER(G337),F337&gt;0),G337/F337-1,"")</f>
        <v/>
      </c>
      <c r="I337" s="22" t="n">
        <v>75</v>
      </c>
      <c r="J337" s="23">
        <f>IF(AND(ISNUMBER(F337),ISNUMBER(I337),F337&gt;0),I337/F337-1,"")</f>
        <v/>
      </c>
      <c r="K337" s="22" t="n">
        <v>125</v>
      </c>
      <c r="L337" s="23">
        <f>IF(AND(ISNUMBER(F337),ISNUMBER(K337),F337&gt;0),K337/F337-1,"")</f>
        <v/>
      </c>
      <c r="M337" s="24" t="n">
        <v>42</v>
      </c>
      <c r="N337" s="25" t="n"/>
      <c r="O337" s="26">
        <f>IF(AND(ISNUMBER(F337),ISNUMBER(N337),F337&gt;0),N337/F337,"")</f>
        <v/>
      </c>
      <c r="P337" s="27" t="n"/>
      <c r="Q337" s="27" t="n">
        <v>46329</v>
      </c>
      <c r="R337" s="25" t="n">
        <v>0.5600000000000001</v>
      </c>
      <c r="S337" s="28">
        <f>IF(AND(ISNUMBER(F337),ISNUMBER(R337),R337&gt;0),F337/R337,"")</f>
        <v/>
      </c>
      <c r="T337" s="27" t="n">
        <v>46323</v>
      </c>
    </row>
    <row r="338">
      <c r="A338" s="11" t="inlineStr">
        <is>
          <t>SDVKY</t>
        </is>
      </c>
      <c r="B338" s="11" t="inlineStr">
        <is>
          <t>Sandvik AB</t>
        </is>
      </c>
      <c r="C338" s="11" t="inlineStr">
        <is>
          <t>Specialty Industrial Machinery</t>
        </is>
      </c>
      <c r="D338" s="11" t="inlineStr">
        <is>
          <t>Sweden</t>
        </is>
      </c>
      <c r="E338" s="12" t="n">
        <v>44.74</v>
      </c>
      <c r="F338" s="13" t="n">
        <v>35.67</v>
      </c>
      <c r="G338" s="13" t="n">
        <v>39</v>
      </c>
      <c r="H338" s="14">
        <f>IF(AND(ISNUMBER(F338),ISNUMBER(G338),F338&gt;0),G338/F338-1,"")</f>
        <v/>
      </c>
      <c r="I338" s="13" t="n">
        <v>39</v>
      </c>
      <c r="J338" s="14">
        <f>IF(AND(ISNUMBER(F338),ISNUMBER(I338),F338&gt;0),I338/F338-1,"")</f>
        <v/>
      </c>
      <c r="K338" s="13" t="n">
        <v>39</v>
      </c>
      <c r="L338" s="14">
        <f>IF(AND(ISNUMBER(F338),ISNUMBER(K338),F338&gt;0),K338/F338-1,"")</f>
        <v/>
      </c>
      <c r="M338" s="15" t="n">
        <v>1</v>
      </c>
      <c r="N338" s="16" t="n">
        <v>0.65</v>
      </c>
      <c r="O338" s="17">
        <f>IF(AND(ISNUMBER(F338),ISNUMBER(N338),F338&gt;0),N338/F338,"")</f>
        <v/>
      </c>
      <c r="P338" s="18" t="n">
        <v>46142</v>
      </c>
      <c r="Q338" s="18" t="n">
        <v>46317</v>
      </c>
      <c r="R338" s="16" t="n">
        <v>1.62</v>
      </c>
      <c r="S338" s="19">
        <f>IF(AND(ISNUMBER(F338),ISNUMBER(R338),R338&gt;0),F338/R338,"")</f>
        <v/>
      </c>
      <c r="T338" s="18" t="n">
        <v>46323</v>
      </c>
    </row>
    <row r="339">
      <c r="A339" s="20" t="inlineStr">
        <is>
          <t>NTAP</t>
        </is>
      </c>
      <c r="B339" s="20" t="inlineStr">
        <is>
          <t>NetApp, Inc.</t>
        </is>
      </c>
      <c r="C339" s="20" t="inlineStr">
        <is>
          <t>Software - Infrastructure</t>
        </is>
      </c>
      <c r="D339" s="20" t="inlineStr">
        <is>
          <t>United States</t>
        </is>
      </c>
      <c r="E339" s="21" t="n">
        <v>44.7</v>
      </c>
      <c r="F339" s="22" t="n">
        <v>227.58</v>
      </c>
      <c r="G339" s="22" t="n">
        <v>211.6875</v>
      </c>
      <c r="H339" s="23">
        <f>IF(AND(ISNUMBER(F339),ISNUMBER(G339),F339&gt;0),G339/F339-1,"")</f>
        <v/>
      </c>
      <c r="I339" s="22" t="n">
        <v>170</v>
      </c>
      <c r="J339" s="23">
        <f>IF(AND(ISNUMBER(F339),ISNUMBER(I339),F339&gt;0),I339/F339-1,"")</f>
        <v/>
      </c>
      <c r="K339" s="22" t="n">
        <v>300</v>
      </c>
      <c r="L339" s="23">
        <f>IF(AND(ISNUMBER(F339),ISNUMBER(K339),F339&gt;0),K339/F339-1,"")</f>
        <v/>
      </c>
      <c r="M339" s="24" t="n">
        <v>16</v>
      </c>
      <c r="N339" s="25" t="n">
        <v>2.08</v>
      </c>
      <c r="O339" s="26">
        <f>IF(AND(ISNUMBER(F339),ISNUMBER(N339),F339&gt;0),N339/F339,"")</f>
        <v/>
      </c>
      <c r="P339" s="27" t="n">
        <v>46304</v>
      </c>
      <c r="Q339" s="27" t="n">
        <v>46357</v>
      </c>
      <c r="R339" s="25" t="n">
        <v>7.09</v>
      </c>
      <c r="S339" s="28">
        <f>IF(AND(ISNUMBER(F339),ISNUMBER(R339),R339&gt;0),F339/R339,"")</f>
        <v/>
      </c>
      <c r="T339" s="27" t="n">
        <v>46323</v>
      </c>
    </row>
    <row r="340">
      <c r="A340" s="11" t="inlineStr">
        <is>
          <t>SLF</t>
        </is>
      </c>
      <c r="B340" s="11" t="inlineStr">
        <is>
          <t>Sun Life Financial Inc.</t>
        </is>
      </c>
      <c r="C340" s="11" t="inlineStr">
        <is>
          <t>Insurance - Diversified</t>
        </is>
      </c>
      <c r="D340" s="11" t="inlineStr">
        <is>
          <t>Canada</t>
        </is>
      </c>
      <c r="E340" s="12" t="n">
        <v>44.51</v>
      </c>
      <c r="F340" s="13" t="n">
        <v>80.05</v>
      </c>
      <c r="G340" s="13" t="n">
        <v>64.84990999999999</v>
      </c>
      <c r="H340" s="14">
        <f>IF(AND(ISNUMBER(F340),ISNUMBER(G340),F340&gt;0),G340/F340-1,"")</f>
        <v/>
      </c>
      <c r="I340" s="13" t="n">
        <v>64.84990999999999</v>
      </c>
      <c r="J340" s="14">
        <f>IF(AND(ISNUMBER(F340),ISNUMBER(I340),F340&gt;0),I340/F340-1,"")</f>
        <v/>
      </c>
      <c r="K340" s="13" t="n">
        <v>64.84990999999999</v>
      </c>
      <c r="L340" s="14">
        <f>IF(AND(ISNUMBER(F340),ISNUMBER(K340),F340&gt;0),K340/F340-1,"")</f>
        <v/>
      </c>
      <c r="M340" s="15" t="n">
        <v>1</v>
      </c>
      <c r="N340" s="16" t="n">
        <v>2.71</v>
      </c>
      <c r="O340" s="17">
        <f>IF(AND(ISNUMBER(F340),ISNUMBER(N340),F340&gt;0),N340/F340,"")</f>
        <v/>
      </c>
      <c r="P340" s="18" t="n">
        <v>46260</v>
      </c>
      <c r="Q340" s="18" t="n">
        <v>46330</v>
      </c>
      <c r="R340" s="16" t="n">
        <v>4.28</v>
      </c>
      <c r="S340" s="19">
        <f>IF(AND(ISNUMBER(F340),ISNUMBER(R340),R340&gt;0),F340/R340,"")</f>
        <v/>
      </c>
      <c r="T340" s="18" t="n">
        <v>46323</v>
      </c>
    </row>
    <row r="341">
      <c r="A341" s="20" t="inlineStr">
        <is>
          <t>FERG</t>
        </is>
      </c>
      <c r="B341" s="20" t="inlineStr">
        <is>
          <t>Ferguson Enterprises Inc.</t>
        </is>
      </c>
      <c r="C341" s="20" t="inlineStr">
        <is>
          <t>Industrial Distribution</t>
        </is>
      </c>
      <c r="D341" s="20" t="inlineStr">
        <is>
          <t>United States</t>
        </is>
      </c>
      <c r="E341" s="21" t="n">
        <v>44.41</v>
      </c>
      <c r="F341" s="22" t="n">
        <v>229.56</v>
      </c>
      <c r="G341" s="22" t="n">
        <v>283.22726</v>
      </c>
      <c r="H341" s="23">
        <f>IF(AND(ISNUMBER(F341),ISNUMBER(G341),F341&gt;0),G341/F341-1,"")</f>
        <v/>
      </c>
      <c r="I341" s="22" t="n">
        <v>235</v>
      </c>
      <c r="J341" s="23">
        <f>IF(AND(ISNUMBER(F341),ISNUMBER(I341),F341&gt;0),I341/F341-1,"")</f>
        <v/>
      </c>
      <c r="K341" s="22" t="n">
        <v>325</v>
      </c>
      <c r="L341" s="23">
        <f>IF(AND(ISNUMBER(F341),ISNUMBER(K341),F341&gt;0),K341/F341-1,"")</f>
        <v/>
      </c>
      <c r="M341" s="24" t="n">
        <v>22</v>
      </c>
      <c r="N341" s="25" t="n">
        <v>3.56</v>
      </c>
      <c r="O341" s="26">
        <f>IF(AND(ISNUMBER(F341),ISNUMBER(N341),F341&gt;0),N341/F341,"")</f>
        <v/>
      </c>
      <c r="P341" s="27" t="n">
        <v>46255</v>
      </c>
      <c r="Q341" s="27" t="n">
        <v>46335</v>
      </c>
      <c r="R341" s="25" t="n">
        <v>10.16</v>
      </c>
      <c r="S341" s="28">
        <f>IF(AND(ISNUMBER(F341),ISNUMBER(R341),R341&gt;0),F341/R341,"")</f>
        <v/>
      </c>
      <c r="T341" s="27" t="n">
        <v>46323</v>
      </c>
    </row>
    <row r="342">
      <c r="A342" s="11" t="inlineStr">
        <is>
          <t>HLN</t>
        </is>
      </c>
      <c r="B342" s="11" t="inlineStr">
        <is>
          <t>Haleon plc</t>
        </is>
      </c>
      <c r="C342" s="11" t="inlineStr">
        <is>
          <t>Drug Manufacturers - Specialty &amp; Generic</t>
        </is>
      </c>
      <c r="D342" s="11" t="inlineStr">
        <is>
          <t>United Kingdom</t>
        </is>
      </c>
      <c r="E342" s="12" t="n">
        <v>44.33</v>
      </c>
      <c r="F342" s="13" t="n">
        <v>10.08</v>
      </c>
      <c r="G342" s="13" t="n">
        <v>11.934</v>
      </c>
      <c r="H342" s="14">
        <f>IF(AND(ISNUMBER(F342),ISNUMBER(G342),F342&gt;0),G342/F342-1,"")</f>
        <v/>
      </c>
      <c r="I342" s="13" t="n">
        <v>10</v>
      </c>
      <c r="J342" s="14">
        <f>IF(AND(ISNUMBER(F342),ISNUMBER(I342),F342&gt;0),I342/F342-1,"")</f>
        <v/>
      </c>
      <c r="K342" s="13" t="n">
        <v>13.77</v>
      </c>
      <c r="L342" s="14">
        <f>IF(AND(ISNUMBER(F342),ISNUMBER(K342),F342&gt;0),K342/F342-1,"")</f>
        <v/>
      </c>
      <c r="M342" s="15" t="n">
        <v>5</v>
      </c>
      <c r="N342" s="16" t="n">
        <v>0.2</v>
      </c>
      <c r="O342" s="17">
        <f>IF(AND(ISNUMBER(F342),ISNUMBER(N342),F342&gt;0),N342/F342,"")</f>
        <v/>
      </c>
      <c r="P342" s="18" t="n">
        <v>46248</v>
      </c>
      <c r="Q342" s="18" t="n">
        <v>46233</v>
      </c>
      <c r="R342" s="16" t="n">
        <v>0.49</v>
      </c>
      <c r="S342" s="19">
        <f>IF(AND(ISNUMBER(F342),ISNUMBER(R342),R342&gt;0),F342/R342,"")</f>
        <v/>
      </c>
      <c r="T342" s="18" t="n">
        <v>46323</v>
      </c>
    </row>
    <row r="343">
      <c r="A343" s="20" t="inlineStr">
        <is>
          <t>ABEV</t>
        </is>
      </c>
      <c r="B343" s="20" t="inlineStr">
        <is>
          <t>Ambev S.A.</t>
        </is>
      </c>
      <c r="C343" s="20" t="inlineStr">
        <is>
          <t>Beverages - Brewers</t>
        </is>
      </c>
      <c r="D343" s="20" t="inlineStr">
        <is>
          <t>Brazil</t>
        </is>
      </c>
      <c r="E343" s="21" t="n">
        <v>44.25</v>
      </c>
      <c r="F343" s="22" t="n">
        <v>2.87</v>
      </c>
      <c r="G343" s="22" t="n">
        <v>3.346</v>
      </c>
      <c r="H343" s="23">
        <f>IF(AND(ISNUMBER(F343),ISNUMBER(G343),F343&gt;0),G343/F343-1,"")</f>
        <v/>
      </c>
      <c r="I343" s="22" t="n">
        <v>2.64</v>
      </c>
      <c r="J343" s="23">
        <f>IF(AND(ISNUMBER(F343),ISNUMBER(I343),F343&gt;0),I343/F343-1,"")</f>
        <v/>
      </c>
      <c r="K343" s="22" t="n">
        <v>4</v>
      </c>
      <c r="L343" s="23">
        <f>IF(AND(ISNUMBER(F343),ISNUMBER(K343),F343&gt;0),K343/F343-1,"")</f>
        <v/>
      </c>
      <c r="M343" s="24" t="n">
        <v>10</v>
      </c>
      <c r="N343" s="25" t="n">
        <v>0.14</v>
      </c>
      <c r="O343" s="26">
        <f>IF(AND(ISNUMBER(F343),ISNUMBER(N343),F343&gt;0),N343/F343,"")</f>
        <v/>
      </c>
      <c r="P343" s="27" t="n">
        <v>46288</v>
      </c>
      <c r="Q343" s="27" t="n">
        <v>46324</v>
      </c>
      <c r="R343" s="25" t="n">
        <v>0.19</v>
      </c>
      <c r="S343" s="28">
        <f>IF(AND(ISNUMBER(F343),ISNUMBER(R343),R343&gt;0),F343/R343,"")</f>
        <v/>
      </c>
      <c r="T343" s="27" t="n">
        <v>46323</v>
      </c>
    </row>
    <row r="344">
      <c r="A344" s="11" t="inlineStr">
        <is>
          <t>IDXX</t>
        </is>
      </c>
      <c r="B344" s="11" t="inlineStr">
        <is>
          <t>IDEXX Laboratories, Inc.</t>
        </is>
      </c>
      <c r="C344" s="11" t="inlineStr">
        <is>
          <t>Diagnostics &amp; Research</t>
        </is>
      </c>
      <c r="D344" s="11" t="inlineStr">
        <is>
          <t>United States</t>
        </is>
      </c>
      <c r="E344" s="12" t="n">
        <v>44.22</v>
      </c>
      <c r="F344" s="13" t="n">
        <v>561.25</v>
      </c>
      <c r="G344" s="13" t="n">
        <v>694.4167</v>
      </c>
      <c r="H344" s="14">
        <f>IF(AND(ISNUMBER(F344),ISNUMBER(G344),F344&gt;0),G344/F344-1,"")</f>
        <v/>
      </c>
      <c r="I344" s="13" t="n">
        <v>470</v>
      </c>
      <c r="J344" s="14">
        <f>IF(AND(ISNUMBER(F344),ISNUMBER(I344),F344&gt;0),I344/F344-1,"")</f>
        <v/>
      </c>
      <c r="K344" s="13" t="n">
        <v>805</v>
      </c>
      <c r="L344" s="14">
        <f>IF(AND(ISNUMBER(F344),ISNUMBER(K344),F344&gt;0),K344/F344-1,"")</f>
        <v/>
      </c>
      <c r="M344" s="15" t="n">
        <v>12</v>
      </c>
      <c r="N344" s="16" t="n"/>
      <c r="O344" s="17">
        <f>IF(AND(ISNUMBER(F344),ISNUMBER(N344),F344&gt;0),N344/F344,"")</f>
        <v/>
      </c>
      <c r="P344" s="18" t="n"/>
      <c r="Q344" s="18" t="n">
        <v>46328</v>
      </c>
      <c r="R344" s="16" t="n">
        <v>14.48</v>
      </c>
      <c r="S344" s="19">
        <f>IF(AND(ISNUMBER(F344),ISNUMBER(R344),R344&gt;0),F344/R344,"")</f>
        <v/>
      </c>
      <c r="T344" s="18" t="n">
        <v>46323</v>
      </c>
    </row>
    <row r="345">
      <c r="A345" s="20" t="inlineStr">
        <is>
          <t>HMC</t>
        </is>
      </c>
      <c r="B345" s="20" t="inlineStr">
        <is>
          <t>Honda Motor Company, Ltd.</t>
        </is>
      </c>
      <c r="C345" s="20" t="inlineStr">
        <is>
          <t>Auto Manufacturers</t>
        </is>
      </c>
      <c r="D345" s="20" t="inlineStr">
        <is>
          <t>Japan</t>
        </is>
      </c>
      <c r="E345" s="21" t="n">
        <v>44.21</v>
      </c>
      <c r="F345" s="22" t="n">
        <v>34.07</v>
      </c>
      <c r="G345" s="22" t="n">
        <v>34.08536</v>
      </c>
      <c r="H345" s="23">
        <f>IF(AND(ISNUMBER(F345),ISNUMBER(G345),F345&gt;0),G345/F345-1,"")</f>
        <v/>
      </c>
      <c r="I345" s="22" t="n">
        <v>32</v>
      </c>
      <c r="J345" s="23">
        <f>IF(AND(ISNUMBER(F345),ISNUMBER(I345),F345&gt;0),I345/F345-1,"")</f>
        <v/>
      </c>
      <c r="K345" s="22" t="n">
        <v>36.25608</v>
      </c>
      <c r="L345" s="23">
        <f>IF(AND(ISNUMBER(F345),ISNUMBER(K345),F345&gt;0),K345/F345-1,"")</f>
        <v/>
      </c>
      <c r="M345" s="24" t="n">
        <v>3</v>
      </c>
      <c r="N345" s="25" t="n">
        <v>1.33</v>
      </c>
      <c r="O345" s="26">
        <f>IF(AND(ISNUMBER(F345),ISNUMBER(N345),F345&gt;0),N345/F345,"")</f>
        <v/>
      </c>
      <c r="P345" s="27" t="n">
        <v>46111</v>
      </c>
      <c r="Q345" s="27" t="n">
        <v>46336</v>
      </c>
      <c r="R345" s="25" t="n">
        <v>-0.72</v>
      </c>
      <c r="S345" s="28">
        <f>IF(AND(ISNUMBER(F345),ISNUMBER(R345),R345&gt;0),F345/R345,"")</f>
        <v/>
      </c>
      <c r="T345" s="27" t="n">
        <v>46323</v>
      </c>
    </row>
    <row r="346">
      <c r="A346" s="11" t="inlineStr">
        <is>
          <t>RBGLY</t>
        </is>
      </c>
      <c r="B346" s="11" t="inlineStr">
        <is>
          <t>Reckitt Benckiser Group Plc.</t>
        </is>
      </c>
      <c r="C346" s="11" t="inlineStr">
        <is>
          <t>Household &amp; Personal Products</t>
        </is>
      </c>
      <c r="D346" s="11" t="inlineStr">
        <is>
          <t>United Kingdom</t>
        </is>
      </c>
      <c r="E346" s="12" t="n">
        <v>44.21</v>
      </c>
      <c r="F346" s="13" t="n">
        <v>13.96</v>
      </c>
      <c r="G346" s="13" t="n">
        <v>16.376627</v>
      </c>
      <c r="H346" s="14">
        <f>IF(AND(ISNUMBER(F346),ISNUMBER(G346),F346&gt;0),G346/F346-1,"")</f>
        <v/>
      </c>
      <c r="I346" s="13" t="n">
        <v>14.502009</v>
      </c>
      <c r="J346" s="14">
        <f>IF(AND(ISNUMBER(F346),ISNUMBER(I346),F346&gt;0),I346/F346-1,"")</f>
        <v/>
      </c>
      <c r="K346" s="13" t="n">
        <v>18.739523</v>
      </c>
      <c r="L346" s="14">
        <f>IF(AND(ISNUMBER(F346),ISNUMBER(K346),F346&gt;0),K346/F346-1,"")</f>
        <v/>
      </c>
      <c r="M346" s="15" t="n">
        <v>4</v>
      </c>
      <c r="N346" s="16" t="n">
        <v>0.58</v>
      </c>
      <c r="O346" s="17">
        <f>IF(AND(ISNUMBER(F346),ISNUMBER(N346),F346&gt;0),N346/F346,"")</f>
        <v/>
      </c>
      <c r="P346" s="18" t="n">
        <v>46244</v>
      </c>
      <c r="Q346" s="18" t="n">
        <v>46086</v>
      </c>
      <c r="R346" s="16" t="n">
        <v>1.19</v>
      </c>
      <c r="S346" s="19">
        <f>IF(AND(ISNUMBER(F346),ISNUMBER(R346),R346&gt;0),F346/R346,"")</f>
        <v/>
      </c>
      <c r="T346" s="18" t="n">
        <v>46323</v>
      </c>
    </row>
    <row r="347">
      <c r="A347" s="20" t="inlineStr">
        <is>
          <t>AU</t>
        </is>
      </c>
      <c r="B347" s="20" t="inlineStr">
        <is>
          <t>AngloGold Ashanti PLC</t>
        </is>
      </c>
      <c r="C347" s="20" t="inlineStr">
        <is>
          <t>Gold</t>
        </is>
      </c>
      <c r="D347" s="20" t="inlineStr">
        <is>
          <t>United States</t>
        </is>
      </c>
      <c r="E347" s="21" t="n">
        <v>43.87</v>
      </c>
      <c r="F347" s="22" t="n">
        <v>86.73</v>
      </c>
      <c r="G347" s="22" t="n">
        <v>113.1875</v>
      </c>
      <c r="H347" s="23">
        <f>IF(AND(ISNUMBER(F347),ISNUMBER(G347),F347&gt;0),G347/F347-1,"")</f>
        <v/>
      </c>
      <c r="I347" s="22" t="n">
        <v>76</v>
      </c>
      <c r="J347" s="23">
        <f>IF(AND(ISNUMBER(F347),ISNUMBER(I347),F347&gt;0),I347/F347-1,"")</f>
        <v/>
      </c>
      <c r="K347" s="22" t="n">
        <v>139</v>
      </c>
      <c r="L347" s="23">
        <f>IF(AND(ISNUMBER(F347),ISNUMBER(K347),F347&gt;0),K347/F347-1,"")</f>
        <v/>
      </c>
      <c r="M347" s="24" t="n">
        <v>8</v>
      </c>
      <c r="N347" s="25" t="n">
        <v>4.52</v>
      </c>
      <c r="O347" s="26">
        <f>IF(AND(ISNUMBER(F347),ISNUMBER(N347),F347&gt;0),N347/F347,"")</f>
        <v/>
      </c>
      <c r="P347" s="27" t="n">
        <v>46255</v>
      </c>
      <c r="Q347" s="27" t="n">
        <v>46331</v>
      </c>
      <c r="R347" s="25" t="n">
        <v>7.46</v>
      </c>
      <c r="S347" s="28">
        <f>IF(AND(ISNUMBER(F347),ISNUMBER(R347),R347&gt;0),F347/R347,"")</f>
        <v/>
      </c>
      <c r="T347" s="27" t="n">
        <v>46323</v>
      </c>
    </row>
    <row r="348">
      <c r="A348" s="11" t="inlineStr">
        <is>
          <t>MSCI</t>
        </is>
      </c>
      <c r="B348" s="11" t="inlineStr">
        <is>
          <t>MSCI Inc.</t>
        </is>
      </c>
      <c r="C348" s="11" t="inlineStr">
        <is>
          <t>Financial Data &amp; Stock Exchanges</t>
        </is>
      </c>
      <c r="D348" s="11" t="inlineStr">
        <is>
          <t>United States</t>
        </is>
      </c>
      <c r="E348" s="12" t="n">
        <v>43.75</v>
      </c>
      <c r="F348" s="13" t="n">
        <v>601.75</v>
      </c>
      <c r="G348" s="13" t="n">
        <v>683.5294</v>
      </c>
      <c r="H348" s="14">
        <f>IF(AND(ISNUMBER(F348),ISNUMBER(G348),F348&gt;0),G348/F348-1,"")</f>
        <v/>
      </c>
      <c r="I348" s="13" t="n">
        <v>585</v>
      </c>
      <c r="J348" s="14">
        <f>IF(AND(ISNUMBER(F348),ISNUMBER(I348),F348&gt;0),I348/F348-1,"")</f>
        <v/>
      </c>
      <c r="K348" s="13" t="n">
        <v>735</v>
      </c>
      <c r="L348" s="14">
        <f>IF(AND(ISNUMBER(F348),ISNUMBER(K348),F348&gt;0),K348/F348-1,"")</f>
        <v/>
      </c>
      <c r="M348" s="15" t="n">
        <v>17</v>
      </c>
      <c r="N348" s="16" t="n">
        <v>8.199999999999999</v>
      </c>
      <c r="O348" s="17">
        <f>IF(AND(ISNUMBER(F348),ISNUMBER(N348),F348&gt;0),N348/F348,"")</f>
        <v/>
      </c>
      <c r="P348" s="18" t="n">
        <v>46339</v>
      </c>
      <c r="Q348" s="18" t="n">
        <v>46315</v>
      </c>
      <c r="R348" s="16" t="n">
        <v>19.4</v>
      </c>
      <c r="S348" s="19">
        <f>IF(AND(ISNUMBER(F348),ISNUMBER(R348),R348&gt;0),F348/R348,"")</f>
        <v/>
      </c>
      <c r="T348" s="18" t="n">
        <v>46323</v>
      </c>
    </row>
    <row r="349">
      <c r="A349" s="20" t="inlineStr">
        <is>
          <t>MDLN</t>
        </is>
      </c>
      <c r="B349" s="20" t="inlineStr">
        <is>
          <t>Medline Inc.</t>
        </is>
      </c>
      <c r="C349" s="20" t="inlineStr">
        <is>
          <t>Medical Instruments &amp; Supplies</t>
        </is>
      </c>
      <c r="D349" s="20" t="inlineStr">
        <is>
          <t>United States</t>
        </is>
      </c>
      <c r="E349" s="21" t="n">
        <v>43.57</v>
      </c>
      <c r="F349" s="22" t="n">
        <v>32.38</v>
      </c>
      <c r="G349" s="22" t="n">
        <v>44.30769</v>
      </c>
      <c r="H349" s="23">
        <f>IF(AND(ISNUMBER(F349),ISNUMBER(G349),F349&gt;0),G349/F349-1,"")</f>
        <v/>
      </c>
      <c r="I349" s="22" t="n">
        <v>34</v>
      </c>
      <c r="J349" s="23">
        <f>IF(AND(ISNUMBER(F349),ISNUMBER(I349),F349&gt;0),I349/F349-1,"")</f>
        <v/>
      </c>
      <c r="K349" s="22" t="n">
        <v>55</v>
      </c>
      <c r="L349" s="23">
        <f>IF(AND(ISNUMBER(F349),ISNUMBER(K349),F349&gt;0),K349/F349-1,"")</f>
        <v/>
      </c>
      <c r="M349" s="24" t="n">
        <v>26</v>
      </c>
      <c r="N349" s="25" t="n"/>
      <c r="O349" s="26">
        <f>IF(AND(ISNUMBER(F349),ISNUMBER(N349),F349&gt;0),N349/F349,"")</f>
        <v/>
      </c>
      <c r="P349" s="27" t="n"/>
      <c r="Q349" s="27" t="n">
        <v>46330</v>
      </c>
      <c r="R349" s="25" t="n">
        <v>0.39</v>
      </c>
      <c r="S349" s="28">
        <f>IF(AND(ISNUMBER(F349),ISNUMBER(R349),R349&gt;0),F349/R349,"")</f>
        <v/>
      </c>
      <c r="T349" s="27" t="n">
        <v>46323</v>
      </c>
    </row>
    <row r="350">
      <c r="A350" s="11" t="inlineStr">
        <is>
          <t>AMP</t>
        </is>
      </c>
      <c r="B350" s="11" t="inlineStr">
        <is>
          <t>Ameriprise Financial, Inc.</t>
        </is>
      </c>
      <c r="C350" s="11" t="inlineStr">
        <is>
          <t>Asset Management</t>
        </is>
      </c>
      <c r="D350" s="11" t="inlineStr">
        <is>
          <t>United States</t>
        </is>
      </c>
      <c r="E350" s="12" t="n">
        <v>43.54</v>
      </c>
      <c r="F350" s="13" t="n">
        <v>492.85</v>
      </c>
      <c r="G350" s="13" t="n">
        <v>554.63635</v>
      </c>
      <c r="H350" s="14">
        <f>IF(AND(ISNUMBER(F350),ISNUMBER(G350),F350&gt;0),G350/F350-1,"")</f>
        <v/>
      </c>
      <c r="I350" s="13" t="n">
        <v>445</v>
      </c>
      <c r="J350" s="14">
        <f>IF(AND(ISNUMBER(F350),ISNUMBER(I350),F350&gt;0),I350/F350-1,"")</f>
        <v/>
      </c>
      <c r="K350" s="13" t="n">
        <v>638</v>
      </c>
      <c r="L350" s="14">
        <f>IF(AND(ISNUMBER(F350),ISNUMBER(K350),F350&gt;0),K350/F350-1,"")</f>
        <v/>
      </c>
      <c r="M350" s="15" t="n">
        <v>11</v>
      </c>
      <c r="N350" s="16" t="n">
        <v>6.8</v>
      </c>
      <c r="O350" s="17">
        <f>IF(AND(ISNUMBER(F350),ISNUMBER(N350),F350&gt;0),N350/F350,"")</f>
        <v/>
      </c>
      <c r="P350" s="18" t="n">
        <v>46237</v>
      </c>
      <c r="Q350" s="18" t="n">
        <v>46324</v>
      </c>
      <c r="R350" s="16" t="n">
        <v>41.54</v>
      </c>
      <c r="S350" s="19">
        <f>IF(AND(ISNUMBER(F350),ISNUMBER(R350),R350&gt;0),F350/R350,"")</f>
        <v/>
      </c>
      <c r="T350" s="18" t="n">
        <v>46323</v>
      </c>
    </row>
    <row r="351">
      <c r="A351" s="20" t="inlineStr">
        <is>
          <t>MCHP</t>
        </is>
      </c>
      <c r="B351" s="20" t="inlineStr">
        <is>
          <t>Microchip Technology Incorporat</t>
        </is>
      </c>
      <c r="C351" s="20" t="inlineStr">
        <is>
          <t>Semiconductors</t>
        </is>
      </c>
      <c r="D351" s="20" t="inlineStr">
        <is>
          <t>United States</t>
        </is>
      </c>
      <c r="E351" s="21" t="n">
        <v>43.53</v>
      </c>
      <c r="F351" s="22" t="n">
        <v>80.17</v>
      </c>
      <c r="G351" s="22" t="n">
        <v>105.92</v>
      </c>
      <c r="H351" s="23">
        <f>IF(AND(ISNUMBER(F351),ISNUMBER(G351),F351&gt;0),G351/F351-1,"")</f>
        <v/>
      </c>
      <c r="I351" s="22" t="n">
        <v>75</v>
      </c>
      <c r="J351" s="23">
        <f>IF(AND(ISNUMBER(F351),ISNUMBER(I351),F351&gt;0),I351/F351-1,"")</f>
        <v/>
      </c>
      <c r="K351" s="22" t="n">
        <v>135</v>
      </c>
      <c r="L351" s="23">
        <f>IF(AND(ISNUMBER(F351),ISNUMBER(K351),F351&gt;0),K351/F351-1,"")</f>
        <v/>
      </c>
      <c r="M351" s="24" t="n">
        <v>25</v>
      </c>
      <c r="N351" s="25" t="n">
        <v>1.82</v>
      </c>
      <c r="O351" s="26">
        <f>IF(AND(ISNUMBER(F351),ISNUMBER(N351),F351&gt;0),N351/F351,"")</f>
        <v/>
      </c>
      <c r="P351" s="27" t="n">
        <v>46258</v>
      </c>
      <c r="Q351" s="27" t="n">
        <v>46331</v>
      </c>
      <c r="R351" s="25" t="n">
        <v>0.68</v>
      </c>
      <c r="S351" s="28">
        <f>IF(AND(ISNUMBER(F351),ISNUMBER(R351),R351&gt;0),F351/R351,"")</f>
        <v/>
      </c>
      <c r="T351" s="27" t="n">
        <v>46323</v>
      </c>
    </row>
    <row r="352">
      <c r="A352" s="11" t="inlineStr">
        <is>
          <t>ROP</t>
        </is>
      </c>
      <c r="B352" s="11" t="inlineStr">
        <is>
          <t>Roper Technologies, Inc.</t>
        </is>
      </c>
      <c r="C352" s="11" t="inlineStr">
        <is>
          <t>Software - Application</t>
        </is>
      </c>
      <c r="D352" s="11" t="inlineStr">
        <is>
          <t>United States</t>
        </is>
      </c>
      <c r="E352" s="12" t="n">
        <v>42.97</v>
      </c>
      <c r="F352" s="13" t="n">
        <v>434.48</v>
      </c>
      <c r="G352" s="13" t="n">
        <v>462.64285</v>
      </c>
      <c r="H352" s="14">
        <f>IF(AND(ISNUMBER(F352),ISNUMBER(G352),F352&gt;0),G352/F352-1,"")</f>
        <v/>
      </c>
      <c r="I352" s="13" t="n">
        <v>335</v>
      </c>
      <c r="J352" s="14">
        <f>IF(AND(ISNUMBER(F352),ISNUMBER(I352),F352&gt;0),I352/F352-1,"")</f>
        <v/>
      </c>
      <c r="K352" s="13" t="n">
        <v>550</v>
      </c>
      <c r="L352" s="14">
        <f>IF(AND(ISNUMBER(F352),ISNUMBER(K352),F352&gt;0),K352/F352-1,"")</f>
        <v/>
      </c>
      <c r="M352" s="15" t="n">
        <v>14</v>
      </c>
      <c r="N352" s="16" t="n">
        <v>3.64</v>
      </c>
      <c r="O352" s="17">
        <f>IF(AND(ISNUMBER(F352),ISNUMBER(N352),F352&gt;0),N352/F352,"")</f>
        <v/>
      </c>
      <c r="P352" s="18" t="n">
        <v>46297</v>
      </c>
      <c r="Q352" s="18" t="n">
        <v>46317</v>
      </c>
      <c r="R352" s="16" t="n">
        <v>25.27</v>
      </c>
      <c r="S352" s="19">
        <f>IF(AND(ISNUMBER(F352),ISNUMBER(R352),R352&gt;0),F352/R352,"")</f>
        <v/>
      </c>
      <c r="T352" s="18" t="n">
        <v>46323</v>
      </c>
    </row>
    <row r="353">
      <c r="A353" s="20" t="inlineStr">
        <is>
          <t>ED</t>
        </is>
      </c>
      <c r="B353" s="20" t="inlineStr">
        <is>
          <t>Consolidated Edison, Inc.</t>
        </is>
      </c>
      <c r="C353" s="20" t="inlineStr">
        <is>
          <t>Utilities - Regulated Electric</t>
        </is>
      </c>
      <c r="D353" s="20" t="inlineStr">
        <is>
          <t>United States</t>
        </is>
      </c>
      <c r="E353" s="21" t="n">
        <v>42.54</v>
      </c>
      <c r="F353" s="22" t="n">
        <v>115.03</v>
      </c>
      <c r="G353" s="22" t="n">
        <v>107.38235</v>
      </c>
      <c r="H353" s="23">
        <f>IF(AND(ISNUMBER(F353),ISNUMBER(G353),F353&gt;0),G353/F353-1,"")</f>
        <v/>
      </c>
      <c r="I353" s="22" t="n">
        <v>87</v>
      </c>
      <c r="J353" s="23">
        <f>IF(AND(ISNUMBER(F353),ISNUMBER(I353),F353&gt;0),I353/F353-1,"")</f>
        <v/>
      </c>
      <c r="K353" s="22" t="n">
        <v>130</v>
      </c>
      <c r="L353" s="23">
        <f>IF(AND(ISNUMBER(F353),ISNUMBER(K353),F353&gt;0),K353/F353-1,"")</f>
        <v/>
      </c>
      <c r="M353" s="24" t="n">
        <v>17</v>
      </c>
      <c r="N353" s="25" t="n">
        <v>3.55</v>
      </c>
      <c r="O353" s="26">
        <f>IF(AND(ISNUMBER(F353),ISNUMBER(N353),F353&gt;0),N353/F353,"")</f>
        <v/>
      </c>
      <c r="P353" s="27" t="n">
        <v>46344</v>
      </c>
      <c r="Q353" s="27" t="n">
        <v>46331</v>
      </c>
      <c r="R353" s="25" t="n">
        <v>6.05</v>
      </c>
      <c r="S353" s="28">
        <f>IF(AND(ISNUMBER(F353),ISNUMBER(R353),R353&gt;0),F353/R353,"")</f>
        <v/>
      </c>
      <c r="T353" s="27" t="n">
        <v>46323</v>
      </c>
    </row>
    <row r="354">
      <c r="A354" s="11" t="inlineStr">
        <is>
          <t>COIN</t>
        </is>
      </c>
      <c r="B354" s="11" t="inlineStr">
        <is>
          <t>Coinbase Global, Inc.</t>
        </is>
      </c>
      <c r="C354" s="11" t="inlineStr">
        <is>
          <t>Financial Data &amp; Stock Exchanges</t>
        </is>
      </c>
      <c r="D354" s="11" t="inlineStr">
        <is>
          <t>United States</t>
        </is>
      </c>
      <c r="E354" s="12" t="n">
        <v>42.5</v>
      </c>
      <c r="F354" s="13" t="n">
        <v>161.09</v>
      </c>
      <c r="G354" s="13" t="n">
        <v>211.12424</v>
      </c>
      <c r="H354" s="14">
        <f>IF(AND(ISNUMBER(F354),ISNUMBER(G354),F354&gt;0),G354/F354-1,"")</f>
        <v/>
      </c>
      <c r="I354" s="13" t="n">
        <v>110</v>
      </c>
      <c r="J354" s="14">
        <f>IF(AND(ISNUMBER(F354),ISNUMBER(I354),F354&gt;0),I354/F354-1,"")</f>
        <v/>
      </c>
      <c r="K354" s="13" t="n">
        <v>300</v>
      </c>
      <c r="L354" s="14">
        <f>IF(AND(ISNUMBER(F354),ISNUMBER(K354),F354&gt;0),K354/F354-1,"")</f>
        <v/>
      </c>
      <c r="M354" s="15" t="n">
        <v>33</v>
      </c>
      <c r="N354" s="16" t="n"/>
      <c r="O354" s="17">
        <f>IF(AND(ISNUMBER(F354),ISNUMBER(N354),F354&gt;0),N354/F354,"")</f>
        <v/>
      </c>
      <c r="P354" s="18" t="n"/>
      <c r="Q354" s="18" t="n">
        <v>46324</v>
      </c>
      <c r="R354" s="16" t="n">
        <v>-3.84</v>
      </c>
      <c r="S354" s="19">
        <f>IF(AND(ISNUMBER(F354),ISNUMBER(R354),R354&gt;0),F354/R354,"")</f>
        <v/>
      </c>
      <c r="T354" s="18" t="n">
        <v>46323</v>
      </c>
    </row>
    <row r="355">
      <c r="A355" s="20" t="inlineStr">
        <is>
          <t>ZS</t>
        </is>
      </c>
      <c r="B355" s="20" t="inlineStr">
        <is>
          <t>Zscaler, Inc.</t>
        </is>
      </c>
      <c r="C355" s="20" t="inlineStr">
        <is>
          <t>Software - Infrastructure</t>
        </is>
      </c>
      <c r="D355" s="20" t="inlineStr">
        <is>
          <t>United States</t>
        </is>
      </c>
      <c r="E355" s="21" t="n">
        <v>42.42</v>
      </c>
      <c r="F355" s="22" t="n">
        <v>260.15</v>
      </c>
      <c r="G355" s="22" t="n">
        <v>235.19444</v>
      </c>
      <c r="H355" s="23">
        <f>IF(AND(ISNUMBER(F355),ISNUMBER(G355),F355&gt;0),G355/F355-1,"")</f>
        <v/>
      </c>
      <c r="I355" s="22" t="n">
        <v>164.75</v>
      </c>
      <c r="J355" s="23">
        <f>IF(AND(ISNUMBER(F355),ISNUMBER(I355),F355&gt;0),I355/F355-1,"")</f>
        <v/>
      </c>
      <c r="K355" s="22" t="n">
        <v>298</v>
      </c>
      <c r="L355" s="23">
        <f>IF(AND(ISNUMBER(F355),ISNUMBER(K355),F355&gt;0),K355/F355-1,"")</f>
        <v/>
      </c>
      <c r="M355" s="24" t="n">
        <v>45</v>
      </c>
      <c r="N355" s="25" t="n"/>
      <c r="O355" s="26">
        <f>IF(AND(ISNUMBER(F355),ISNUMBER(N355),F355&gt;0),N355/F355,"")</f>
        <v/>
      </c>
      <c r="P355" s="27" t="n"/>
      <c r="Q355" s="27" t="n">
        <v>46350</v>
      </c>
      <c r="R355" s="25" t="n">
        <v>-0.4</v>
      </c>
      <c r="S355" s="28">
        <f>IF(AND(ISNUMBER(F355),ISNUMBER(R355),R355&gt;0),F355/R355,"")</f>
        <v/>
      </c>
      <c r="T355" s="27" t="n">
        <v>46323</v>
      </c>
    </row>
    <row r="356">
      <c r="A356" s="11" t="inlineStr">
        <is>
          <t>ILMN</t>
        </is>
      </c>
      <c r="B356" s="11" t="inlineStr">
        <is>
          <t>Illumina, Inc.</t>
        </is>
      </c>
      <c r="C356" s="11" t="inlineStr">
        <is>
          <t>Diagnostics &amp; Research</t>
        </is>
      </c>
      <c r="D356" s="11" t="inlineStr">
        <is>
          <t>United States</t>
        </is>
      </c>
      <c r="E356" s="12" t="n">
        <v>42.2</v>
      </c>
      <c r="F356" s="13" t="n">
        <v>279.47</v>
      </c>
      <c r="G356" s="13" t="n">
        <v>248.9</v>
      </c>
      <c r="H356" s="14">
        <f>IF(AND(ISNUMBER(F356),ISNUMBER(G356),F356&gt;0),G356/F356-1,"")</f>
        <v/>
      </c>
      <c r="I356" s="13" t="n">
        <v>113</v>
      </c>
      <c r="J356" s="14">
        <f>IF(AND(ISNUMBER(F356),ISNUMBER(I356),F356&gt;0),I356/F356-1,"")</f>
        <v/>
      </c>
      <c r="K356" s="13" t="n">
        <v>365</v>
      </c>
      <c r="L356" s="14">
        <f>IF(AND(ISNUMBER(F356),ISNUMBER(K356),F356&gt;0),K356/F356-1,"")</f>
        <v/>
      </c>
      <c r="M356" s="15" t="n">
        <v>20</v>
      </c>
      <c r="N356" s="16" t="n"/>
      <c r="O356" s="17">
        <f>IF(AND(ISNUMBER(F356),ISNUMBER(N356),F356&gt;0),N356/F356,"")</f>
        <v/>
      </c>
      <c r="P356" s="18" t="n"/>
      <c r="Q356" s="18" t="n">
        <v>46324</v>
      </c>
      <c r="R356" s="16" t="n">
        <v>5.39</v>
      </c>
      <c r="S356" s="19">
        <f>IF(AND(ISNUMBER(F356),ISNUMBER(R356),R356&gt;0),F356/R356,"")</f>
        <v/>
      </c>
      <c r="T356" s="18" t="n">
        <v>46323</v>
      </c>
    </row>
    <row r="357">
      <c r="A357" s="20" t="inlineStr">
        <is>
          <t>ONC</t>
        </is>
      </c>
      <c r="B357" s="20" t="inlineStr">
        <is>
          <t>BeOne Medicines Ltd.</t>
        </is>
      </c>
      <c r="C357" s="20" t="inlineStr">
        <is>
          <t>Biotechnology</t>
        </is>
      </c>
      <c r="D357" s="20" t="inlineStr">
        <is>
          <t>Switzerland</t>
        </is>
      </c>
      <c r="E357" s="21" t="n">
        <v>41.65</v>
      </c>
      <c r="F357" s="22" t="n">
        <v>366.06</v>
      </c>
      <c r="G357" s="22" t="n">
        <v>436.46036</v>
      </c>
      <c r="H357" s="23">
        <f>IF(AND(ISNUMBER(F357),ISNUMBER(G357),F357&gt;0),G357/F357-1,"")</f>
        <v/>
      </c>
      <c r="I357" s="22" t="n">
        <v>370</v>
      </c>
      <c r="J357" s="23">
        <f>IF(AND(ISNUMBER(F357),ISNUMBER(I357),F357&gt;0),I357/F357-1,"")</f>
        <v/>
      </c>
      <c r="K357" s="22" t="n">
        <v>528</v>
      </c>
      <c r="L357" s="23">
        <f>IF(AND(ISNUMBER(F357),ISNUMBER(K357),F357&gt;0),K357/F357-1,"")</f>
        <v/>
      </c>
      <c r="M357" s="24" t="n">
        <v>27</v>
      </c>
      <c r="N357" s="25" t="n"/>
      <c r="O357" s="26">
        <f>IF(AND(ISNUMBER(F357),ISNUMBER(N357),F357&gt;0),N357/F357,"")</f>
        <v/>
      </c>
      <c r="P357" s="27" t="n"/>
      <c r="Q357" s="27" t="n">
        <v>46331</v>
      </c>
      <c r="R357" s="25" t="n">
        <v>5.59</v>
      </c>
      <c r="S357" s="28">
        <f>IF(AND(ISNUMBER(F357),ISNUMBER(R357),R357&gt;0),F357/R357,"")</f>
        <v/>
      </c>
      <c r="T357" s="27" t="n">
        <v>46323</v>
      </c>
    </row>
    <row r="358">
      <c r="A358" s="11" t="inlineStr">
        <is>
          <t>AIG</t>
        </is>
      </c>
      <c r="B358" s="11" t="inlineStr">
        <is>
          <t>American International Group, I</t>
        </is>
      </c>
      <c r="C358" s="11" t="inlineStr">
        <is>
          <t>Insurance - Diversified</t>
        </is>
      </c>
      <c r="D358" s="11" t="inlineStr">
        <is>
          <t>United States</t>
        </is>
      </c>
      <c r="E358" s="12" t="n">
        <v>41.61</v>
      </c>
      <c r="F358" s="13" t="n">
        <v>79.58</v>
      </c>
      <c r="G358" s="13" t="n">
        <v>87.7</v>
      </c>
      <c r="H358" s="14">
        <f>IF(AND(ISNUMBER(F358),ISNUMBER(G358),F358&gt;0),G358/F358-1,"")</f>
        <v/>
      </c>
      <c r="I358" s="13" t="n">
        <v>80</v>
      </c>
      <c r="J358" s="14">
        <f>IF(AND(ISNUMBER(F358),ISNUMBER(I358),F358&gt;0),I358/F358-1,"")</f>
        <v/>
      </c>
      <c r="K358" s="13" t="n">
        <v>101</v>
      </c>
      <c r="L358" s="14">
        <f>IF(AND(ISNUMBER(F358),ISNUMBER(K358),F358&gt;0),K358/F358-1,"")</f>
        <v/>
      </c>
      <c r="M358" s="15" t="n">
        <v>20</v>
      </c>
      <c r="N358" s="16" t="n">
        <v>2</v>
      </c>
      <c r="O358" s="17">
        <f>IF(AND(ISNUMBER(F358),ISNUMBER(N358),F358&gt;0),N358/F358,"")</f>
        <v/>
      </c>
      <c r="P358" s="18" t="n">
        <v>46281</v>
      </c>
      <c r="Q358" s="18" t="n">
        <v>46329</v>
      </c>
      <c r="R358" s="16" t="n">
        <v>5.46</v>
      </c>
      <c r="S358" s="19">
        <f>IF(AND(ISNUMBER(F358),ISNUMBER(R358),R358&gt;0),F358/R358,"")</f>
        <v/>
      </c>
      <c r="T358" s="18" t="n">
        <v>46323</v>
      </c>
    </row>
    <row r="359">
      <c r="A359" s="20" t="inlineStr">
        <is>
          <t>DHI</t>
        </is>
      </c>
      <c r="B359" s="20" t="inlineStr">
        <is>
          <t>D.R. Horton, Inc.</t>
        </is>
      </c>
      <c r="C359" s="20" t="inlineStr">
        <is>
          <t>Residential Construction</t>
        </is>
      </c>
      <c r="D359" s="20" t="inlineStr">
        <is>
          <t>United States</t>
        </is>
      </c>
      <c r="E359" s="21" t="n">
        <v>41.12</v>
      </c>
      <c r="F359" s="22" t="n">
        <v>147.02</v>
      </c>
      <c r="G359" s="22" t="n">
        <v>152.35715</v>
      </c>
      <c r="H359" s="23">
        <f>IF(AND(ISNUMBER(F359),ISNUMBER(G359),F359&gt;0),G359/F359-1,"")</f>
        <v/>
      </c>
      <c r="I359" s="22" t="n">
        <v>119</v>
      </c>
      <c r="J359" s="23">
        <f>IF(AND(ISNUMBER(F359),ISNUMBER(I359),F359&gt;0),I359/F359-1,"")</f>
        <v/>
      </c>
      <c r="K359" s="22" t="n">
        <v>206</v>
      </c>
      <c r="L359" s="23">
        <f>IF(AND(ISNUMBER(F359),ISNUMBER(K359),F359&gt;0),K359/F359-1,"")</f>
        <v/>
      </c>
      <c r="M359" s="24" t="n">
        <v>14</v>
      </c>
      <c r="N359" s="25" t="n">
        <v>1.8</v>
      </c>
      <c r="O359" s="26">
        <f>IF(AND(ISNUMBER(F359),ISNUMBER(N359),F359&gt;0),N359/F359,"")</f>
        <v/>
      </c>
      <c r="P359" s="27" t="n">
        <v>46240</v>
      </c>
      <c r="Q359" s="27" t="n">
        <v>46324</v>
      </c>
      <c r="R359" s="25" t="n">
        <v>10.49</v>
      </c>
      <c r="S359" s="28">
        <f>IF(AND(ISNUMBER(F359),ISNUMBER(R359),R359&gt;0),F359/R359,"")</f>
        <v/>
      </c>
      <c r="T359" s="27" t="n">
        <v>46323</v>
      </c>
    </row>
    <row r="360">
      <c r="A360" s="11" t="inlineStr">
        <is>
          <t>YUM</t>
        </is>
      </c>
      <c r="B360" s="11" t="inlineStr">
        <is>
          <t>Yum! Brands, Inc.</t>
        </is>
      </c>
      <c r="C360" s="11" t="inlineStr">
        <is>
          <t>Restaurants</t>
        </is>
      </c>
      <c r="D360" s="11" t="inlineStr">
        <is>
          <t>United States</t>
        </is>
      </c>
      <c r="E360" s="12" t="n">
        <v>40.81</v>
      </c>
      <c r="F360" s="13" t="n">
        <v>149.54</v>
      </c>
      <c r="G360" s="13" t="n">
        <v>170.60909</v>
      </c>
      <c r="H360" s="14">
        <f>IF(AND(ISNUMBER(F360),ISNUMBER(G360),F360&gt;0),G360/F360-1,"")</f>
        <v/>
      </c>
      <c r="I360" s="13" t="n">
        <v>147</v>
      </c>
      <c r="J360" s="14">
        <f>IF(AND(ISNUMBER(F360),ISNUMBER(I360),F360&gt;0),I360/F360-1,"")</f>
        <v/>
      </c>
      <c r="K360" s="13" t="n">
        <v>200</v>
      </c>
      <c r="L360" s="14">
        <f>IF(AND(ISNUMBER(F360),ISNUMBER(K360),F360&gt;0),K360/F360-1,"")</f>
        <v/>
      </c>
      <c r="M360" s="15" t="n">
        <v>22</v>
      </c>
      <c r="N360" s="16" t="n">
        <v>3</v>
      </c>
      <c r="O360" s="17">
        <f>IF(AND(ISNUMBER(F360),ISNUMBER(N360),F360&gt;0),N360/F360,"")</f>
        <v/>
      </c>
      <c r="P360" s="18" t="n">
        <v>46274</v>
      </c>
      <c r="Q360" s="18" t="n">
        <v>46329</v>
      </c>
      <c r="R360" s="16" t="n">
        <v>7.93</v>
      </c>
      <c r="S360" s="19">
        <f>IF(AND(ISNUMBER(F360),ISNUMBER(R360),R360&gt;0),F360/R360,"")</f>
        <v/>
      </c>
      <c r="T360" s="18" t="n">
        <v>46323</v>
      </c>
    </row>
    <row r="361">
      <c r="A361" s="20" t="inlineStr">
        <is>
          <t>SYY</t>
        </is>
      </c>
      <c r="B361" s="20" t="inlineStr">
        <is>
          <t>Sysco Corporation</t>
        </is>
      </c>
      <c r="C361" s="20" t="inlineStr">
        <is>
          <t>Food Distribution</t>
        </is>
      </c>
      <c r="D361" s="20" t="inlineStr">
        <is>
          <t>United States</t>
        </is>
      </c>
      <c r="E361" s="21" t="n">
        <v>40.48</v>
      </c>
      <c r="F361" s="22" t="n">
        <v>82.3</v>
      </c>
      <c r="G361" s="22" t="n">
        <v>91.75</v>
      </c>
      <c r="H361" s="23">
        <f>IF(AND(ISNUMBER(F361),ISNUMBER(G361),F361&gt;0),G361/F361-1,"")</f>
        <v/>
      </c>
      <c r="I361" s="22" t="n">
        <v>78</v>
      </c>
      <c r="J361" s="23">
        <f>IF(AND(ISNUMBER(F361),ISNUMBER(I361),F361&gt;0),I361/F361-1,"")</f>
        <v/>
      </c>
      <c r="K361" s="22" t="n">
        <v>102</v>
      </c>
      <c r="L361" s="23">
        <f>IF(AND(ISNUMBER(F361),ISNUMBER(K361),F361&gt;0),K361/F361-1,"")</f>
        <v/>
      </c>
      <c r="M361" s="24" t="n">
        <v>12</v>
      </c>
      <c r="N361" s="25" t="n">
        <v>2.2</v>
      </c>
      <c r="O361" s="26">
        <f>IF(AND(ISNUMBER(F361),ISNUMBER(N361),F361&gt;0),N361/F361,"")</f>
        <v/>
      </c>
      <c r="P361" s="27" t="n">
        <v>46297</v>
      </c>
      <c r="Q361" s="27" t="n">
        <v>46329</v>
      </c>
      <c r="R361" s="25" t="n">
        <v>3.7</v>
      </c>
      <c r="S361" s="28">
        <f>IF(AND(ISNUMBER(F361),ISNUMBER(R361),R361&gt;0),F361/R361,"")</f>
        <v/>
      </c>
      <c r="T361" s="27" t="n">
        <v>46323</v>
      </c>
    </row>
    <row r="362">
      <c r="A362" s="11" t="inlineStr">
        <is>
          <t>LYV</t>
        </is>
      </c>
      <c r="B362" s="11" t="inlineStr">
        <is>
          <t>Live Nation Entertainment, Inc.</t>
        </is>
      </c>
      <c r="C362" s="11" t="inlineStr">
        <is>
          <t>Entertainment</t>
        </is>
      </c>
      <c r="D362" s="11" t="inlineStr">
        <is>
          <t>United States</t>
        </is>
      </c>
      <c r="E362" s="12" t="n">
        <v>40.06</v>
      </c>
      <c r="F362" s="13" t="n">
        <v>171.97</v>
      </c>
      <c r="G362" s="13" t="n">
        <v>202.625</v>
      </c>
      <c r="H362" s="14">
        <f>IF(AND(ISNUMBER(F362),ISNUMBER(G362),F362&gt;0),G362/F362-1,"")</f>
        <v/>
      </c>
      <c r="I362" s="13" t="n">
        <v>145</v>
      </c>
      <c r="J362" s="14">
        <f>IF(AND(ISNUMBER(F362),ISNUMBER(I362),F362&gt;0),I362/F362-1,"")</f>
        <v/>
      </c>
      <c r="K362" s="13" t="n">
        <v>222</v>
      </c>
      <c r="L362" s="14">
        <f>IF(AND(ISNUMBER(F362),ISNUMBER(K362),F362&gt;0),K362/F362-1,"")</f>
        <v/>
      </c>
      <c r="M362" s="15" t="n">
        <v>24</v>
      </c>
      <c r="N362" s="16" t="n"/>
      <c r="O362" s="17">
        <f>IF(AND(ISNUMBER(F362),ISNUMBER(N362),F362&gt;0),N362/F362,"")</f>
        <v/>
      </c>
      <c r="P362" s="18" t="n"/>
      <c r="Q362" s="18" t="n">
        <v>46331</v>
      </c>
      <c r="R362" s="16" t="n">
        <v>-1.11</v>
      </c>
      <c r="S362" s="19">
        <f>IF(AND(ISNUMBER(F362),ISNUMBER(R362),R362&gt;0),F362/R362,"")</f>
        <v/>
      </c>
      <c r="T362" s="18" t="n">
        <v>46323</v>
      </c>
    </row>
    <row r="363">
      <c r="A363" s="20" t="inlineStr">
        <is>
          <t>RVMD</t>
        </is>
      </c>
      <c r="B363" s="20" t="inlineStr">
        <is>
          <t>Revolution Medicines, Inc.</t>
        </is>
      </c>
      <c r="C363" s="20" t="inlineStr">
        <is>
          <t>Biotechnology</t>
        </is>
      </c>
      <c r="D363" s="20" t="inlineStr">
        <is>
          <t>United States</t>
        </is>
      </c>
      <c r="E363" s="21" t="n">
        <v>39.91</v>
      </c>
      <c r="F363" s="22" t="n">
        <v>186.22</v>
      </c>
      <c r="G363" s="22" t="n">
        <v>258.84375</v>
      </c>
      <c r="H363" s="23">
        <f>IF(AND(ISNUMBER(F363),ISNUMBER(G363),F363&gt;0),G363/F363-1,"")</f>
        <v/>
      </c>
      <c r="I363" s="22" t="n">
        <v>179</v>
      </c>
      <c r="J363" s="23">
        <f>IF(AND(ISNUMBER(F363),ISNUMBER(I363),F363&gt;0),I363/F363-1,"")</f>
        <v/>
      </c>
      <c r="K363" s="22" t="n">
        <v>320</v>
      </c>
      <c r="L363" s="23">
        <f>IF(AND(ISNUMBER(F363),ISNUMBER(K363),F363&gt;0),K363/F363-1,"")</f>
        <v/>
      </c>
      <c r="M363" s="24" t="n">
        <v>24</v>
      </c>
      <c r="N363" s="25" t="n"/>
      <c r="O363" s="26">
        <f>IF(AND(ISNUMBER(F363),ISNUMBER(N363),F363&gt;0),N363/F363,"")</f>
        <v/>
      </c>
      <c r="P363" s="27" t="n"/>
      <c r="Q363" s="27" t="n">
        <v>46330</v>
      </c>
      <c r="R363" s="25" t="n">
        <v>-8.869999999999999</v>
      </c>
      <c r="S363" s="28">
        <f>IF(AND(ISNUMBER(F363),ISNUMBER(R363),R363&gt;0),F363/R363,"")</f>
        <v/>
      </c>
      <c r="T363" s="27" t="n">
        <v>46323</v>
      </c>
    </row>
    <row r="364">
      <c r="A364" s="11" t="inlineStr">
        <is>
          <t>PRU</t>
        </is>
      </c>
      <c r="B364" s="11" t="inlineStr">
        <is>
          <t>Prudential Financial, Inc.</t>
        </is>
      </c>
      <c r="C364" s="11" t="inlineStr">
        <is>
          <t>Insurance - Life</t>
        </is>
      </c>
      <c r="D364" s="11" t="inlineStr">
        <is>
          <t>United States</t>
        </is>
      </c>
      <c r="E364" s="12" t="n">
        <v>39.75</v>
      </c>
      <c r="F364" s="13" t="n">
        <v>115.21</v>
      </c>
      <c r="G364" s="13" t="n">
        <v>107.6</v>
      </c>
      <c r="H364" s="14">
        <f>IF(AND(ISNUMBER(F364),ISNUMBER(G364),F364&gt;0),G364/F364-1,"")</f>
        <v/>
      </c>
      <c r="I364" s="13" t="n">
        <v>87</v>
      </c>
      <c r="J364" s="14">
        <f>IF(AND(ISNUMBER(F364),ISNUMBER(I364),F364&gt;0),I364/F364-1,"")</f>
        <v/>
      </c>
      <c r="K364" s="13" t="n">
        <v>132</v>
      </c>
      <c r="L364" s="14">
        <f>IF(AND(ISNUMBER(F364),ISNUMBER(K364),F364&gt;0),K364/F364-1,"")</f>
        <v/>
      </c>
      <c r="M364" s="15" t="n">
        <v>15</v>
      </c>
      <c r="N364" s="16" t="n">
        <v>5.6</v>
      </c>
      <c r="O364" s="17">
        <f>IF(AND(ISNUMBER(F364),ISNUMBER(N364),F364&gt;0),N364/F364,"")</f>
        <v/>
      </c>
      <c r="P364" s="18" t="n">
        <v>46259</v>
      </c>
      <c r="Q364" s="18" t="n">
        <v>46329</v>
      </c>
      <c r="R364" s="16" t="n">
        <v>11.04</v>
      </c>
      <c r="S364" s="19">
        <f>IF(AND(ISNUMBER(F364),ISNUMBER(R364),R364&gt;0),F364/R364,"")</f>
        <v/>
      </c>
      <c r="T364" s="18" t="n">
        <v>46323</v>
      </c>
    </row>
    <row r="365">
      <c r="A365" s="20" t="inlineStr">
        <is>
          <t>OKTA</t>
        </is>
      </c>
      <c r="B365" s="20" t="inlineStr">
        <is>
          <t>Okta, Inc.</t>
        </is>
      </c>
      <c r="C365" s="20" t="inlineStr">
        <is>
          <t>Software - Infrastructure</t>
        </is>
      </c>
      <c r="D365" s="20" t="inlineStr">
        <is>
          <t>United States</t>
        </is>
      </c>
      <c r="E365" s="21" t="n">
        <v>39.52</v>
      </c>
      <c r="F365" s="22" t="n">
        <v>226.07</v>
      </c>
      <c r="G365" s="22" t="n">
        <v>214.7165</v>
      </c>
      <c r="H365" s="23">
        <f>IF(AND(ISNUMBER(F365),ISNUMBER(G365),F365&gt;0),G365/F365-1,"")</f>
        <v/>
      </c>
      <c r="I365" s="22" t="n">
        <v>127</v>
      </c>
      <c r="J365" s="23">
        <f>IF(AND(ISNUMBER(F365),ISNUMBER(I365),F365&gt;0),I365/F365-1,"")</f>
        <v/>
      </c>
      <c r="K365" s="22" t="n">
        <v>250</v>
      </c>
      <c r="L365" s="23">
        <f>IF(AND(ISNUMBER(F365),ISNUMBER(K365),F365&gt;0),K365/F365-1,"")</f>
        <v/>
      </c>
      <c r="M365" s="24" t="n">
        <v>43</v>
      </c>
      <c r="N365" s="25" t="n"/>
      <c r="O365" s="26">
        <f>IF(AND(ISNUMBER(F365),ISNUMBER(N365),F365&gt;0),N365/F365,"")</f>
        <v/>
      </c>
      <c r="P365" s="27" t="n"/>
      <c r="Q365" s="27" t="n">
        <v>46357</v>
      </c>
      <c r="R365" s="25" t="n">
        <v>1.66</v>
      </c>
      <c r="S365" s="28">
        <f>IF(AND(ISNUMBER(F365),ISNUMBER(R365),R365&gt;0),F365/R365,"")</f>
        <v/>
      </c>
      <c r="T365" s="27" t="n">
        <v>46323</v>
      </c>
    </row>
    <row r="366">
      <c r="A366" s="11" t="inlineStr">
        <is>
          <t>EL</t>
        </is>
      </c>
      <c r="B366" s="11" t="inlineStr">
        <is>
          <t>Estee Lauder Companies, Inc. (T</t>
        </is>
      </c>
      <c r="C366" s="11" t="inlineStr">
        <is>
          <t>Household &amp; Personal Products</t>
        </is>
      </c>
      <c r="D366" s="11" t="inlineStr">
        <is>
          <t>United States</t>
        </is>
      </c>
      <c r="E366" s="12" t="n">
        <v>39.26</v>
      </c>
      <c r="F366" s="13" t="n">
        <v>108.35</v>
      </c>
      <c r="G366" s="13" t="n">
        <v>110.05429</v>
      </c>
      <c r="H366" s="14">
        <f>IF(AND(ISNUMBER(F366),ISNUMBER(G366),F366&gt;0),G366/F366-1,"")</f>
        <v/>
      </c>
      <c r="I366" s="13" t="n">
        <v>70</v>
      </c>
      <c r="J366" s="14">
        <f>IF(AND(ISNUMBER(F366),ISNUMBER(I366),F366&gt;0),I366/F366-1,"")</f>
        <v/>
      </c>
      <c r="K366" s="13" t="n">
        <v>127</v>
      </c>
      <c r="L366" s="14">
        <f>IF(AND(ISNUMBER(F366),ISNUMBER(K366),F366&gt;0),K366/F366-1,"")</f>
        <v/>
      </c>
      <c r="M366" s="15" t="n">
        <v>28</v>
      </c>
      <c r="N366" s="16" t="n">
        <v>1.4</v>
      </c>
      <c r="O366" s="17">
        <f>IF(AND(ISNUMBER(F366),ISNUMBER(N366),F366&gt;0),N366/F366,"")</f>
        <v/>
      </c>
      <c r="P366" s="18" t="n">
        <v>46265</v>
      </c>
      <c r="Q366" s="18" t="n">
        <v>46328</v>
      </c>
      <c r="R366" s="16" t="n">
        <v>0.5</v>
      </c>
      <c r="S366" s="19">
        <f>IF(AND(ISNUMBER(F366),ISNUMBER(R366),R366&gt;0),F366/R366,"")</f>
        <v/>
      </c>
      <c r="T366" s="18" t="n">
        <v>46323</v>
      </c>
    </row>
    <row r="367">
      <c r="A367" s="20" t="inlineStr">
        <is>
          <t>TWLO</t>
        </is>
      </c>
      <c r="B367" s="20" t="inlineStr">
        <is>
          <t>Twilio Inc.</t>
        </is>
      </c>
      <c r="C367" s="20" t="inlineStr">
        <is>
          <t>Software - Infrastructure</t>
        </is>
      </c>
      <c r="D367" s="20" t="inlineStr">
        <is>
          <t>United States</t>
        </is>
      </c>
      <c r="E367" s="21" t="n">
        <v>39.09</v>
      </c>
      <c r="F367" s="22" t="n">
        <v>254.56</v>
      </c>
      <c r="G367" s="22" t="n">
        <v>274.4369</v>
      </c>
      <c r="H367" s="23">
        <f>IF(AND(ISNUMBER(F367),ISNUMBER(G367),F367&gt;0),G367/F367-1,"")</f>
        <v/>
      </c>
      <c r="I367" s="22" t="n">
        <v>165</v>
      </c>
      <c r="J367" s="23">
        <f>IF(AND(ISNUMBER(F367),ISNUMBER(I367),F367&gt;0),I367/F367-1,"")</f>
        <v/>
      </c>
      <c r="K367" s="22" t="n">
        <v>350</v>
      </c>
      <c r="L367" s="23">
        <f>IF(AND(ISNUMBER(F367),ISNUMBER(K367),F367&gt;0),K367/F367-1,"")</f>
        <v/>
      </c>
      <c r="M367" s="24" t="n">
        <v>29</v>
      </c>
      <c r="N367" s="25" t="n"/>
      <c r="O367" s="26">
        <f>IF(AND(ISNUMBER(F367),ISNUMBER(N367),F367&gt;0),N367/F367,"")</f>
        <v/>
      </c>
      <c r="P367" s="27" t="n"/>
      <c r="Q367" s="27" t="n">
        <v>46324</v>
      </c>
      <c r="R367" s="25" t="n">
        <v>7.23</v>
      </c>
      <c r="S367" s="28">
        <f>IF(AND(ISNUMBER(F367),ISNUMBER(R367),R367&gt;0),F367/R367,"")</f>
        <v/>
      </c>
      <c r="T367" s="27" t="n">
        <v>46323</v>
      </c>
    </row>
    <row r="368">
      <c r="A368" s="11" t="inlineStr">
        <is>
          <t>RBLX</t>
        </is>
      </c>
      <c r="B368" s="11" t="inlineStr">
        <is>
          <t>Roblox Corporation</t>
        </is>
      </c>
      <c r="C368" s="11" t="inlineStr">
        <is>
          <t>Electronic Gaming &amp; Multimedia</t>
        </is>
      </c>
      <c r="D368" s="11" t="inlineStr">
        <is>
          <t>United States</t>
        </is>
      </c>
      <c r="E368" s="12" t="n">
        <v>38.91</v>
      </c>
      <c r="F368" s="13" t="n">
        <v>54.47</v>
      </c>
      <c r="G368" s="13" t="n">
        <v>50.09235</v>
      </c>
      <c r="H368" s="14">
        <f>IF(AND(ISNUMBER(F368),ISNUMBER(G368),F368&gt;0),G368/F368-1,"")</f>
        <v/>
      </c>
      <c r="I368" s="13" t="n">
        <v>33</v>
      </c>
      <c r="J368" s="14">
        <f>IF(AND(ISNUMBER(F368),ISNUMBER(I368),F368&gt;0),I368/F368-1,"")</f>
        <v/>
      </c>
      <c r="K368" s="13" t="n">
        <v>65</v>
      </c>
      <c r="L368" s="14">
        <f>IF(AND(ISNUMBER(F368),ISNUMBER(K368),F368&gt;0),K368/F368-1,"")</f>
        <v/>
      </c>
      <c r="M368" s="15" t="n">
        <v>34</v>
      </c>
      <c r="N368" s="16" t="n"/>
      <c r="O368" s="17">
        <f>IF(AND(ISNUMBER(F368),ISNUMBER(N368),F368&gt;0),N368/F368,"")</f>
        <v/>
      </c>
      <c r="P368" s="18" t="n"/>
      <c r="Q368" s="18" t="n">
        <v>46324</v>
      </c>
      <c r="R368" s="16" t="n">
        <v>-1.42</v>
      </c>
      <c r="S368" s="19">
        <f>IF(AND(ISNUMBER(F368),ISNUMBER(R368),R368&gt;0),F368/R368,"")</f>
        <v/>
      </c>
      <c r="T368" s="18" t="n">
        <v>46323</v>
      </c>
    </row>
    <row r="369">
      <c r="A369" s="20" t="inlineStr">
        <is>
          <t>PCG</t>
        </is>
      </c>
      <c r="B369" s="20" t="inlineStr">
        <is>
          <t>Pacific Gas &amp; Electric Co.</t>
        </is>
      </c>
      <c r="C369" s="20" t="inlineStr">
        <is>
          <t>Utilities - Regulated Electric</t>
        </is>
      </c>
      <c r="D369" s="20" t="inlineStr">
        <is>
          <t>United States</t>
        </is>
      </c>
      <c r="E369" s="21" t="n">
        <v>38.91</v>
      </c>
      <c r="F369" s="22" t="n">
        <v>12.96</v>
      </c>
      <c r="G369" s="22" t="n">
        <v>17.55882</v>
      </c>
      <c r="H369" s="23">
        <f>IF(AND(ISNUMBER(F369),ISNUMBER(G369),F369&gt;0),G369/F369-1,"")</f>
        <v/>
      </c>
      <c r="I369" s="22" t="n">
        <v>14</v>
      </c>
      <c r="J369" s="23">
        <f>IF(AND(ISNUMBER(F369),ISNUMBER(I369),F369&gt;0),I369/F369-1,"")</f>
        <v/>
      </c>
      <c r="K369" s="22" t="n">
        <v>24</v>
      </c>
      <c r="L369" s="23">
        <f>IF(AND(ISNUMBER(F369),ISNUMBER(K369),F369&gt;0),K369/F369-1,"")</f>
        <v/>
      </c>
      <c r="M369" s="24" t="n">
        <v>17</v>
      </c>
      <c r="N369" s="25" t="n">
        <v>0.2</v>
      </c>
      <c r="O369" s="26">
        <f>IF(AND(ISNUMBER(F369),ISNUMBER(N369),F369&gt;0),N369/F369,"")</f>
        <v/>
      </c>
      <c r="P369" s="27" t="n">
        <v>46295</v>
      </c>
      <c r="Q369" s="27" t="n">
        <v>46317</v>
      </c>
      <c r="R369" s="25" t="n">
        <v>1.35</v>
      </c>
      <c r="S369" s="28">
        <f>IF(AND(ISNUMBER(F369),ISNUMBER(R369),R369&gt;0),F369/R369,"")</f>
        <v/>
      </c>
      <c r="T369" s="27" t="n">
        <v>46323</v>
      </c>
    </row>
    <row r="370">
      <c r="A370" s="11" t="inlineStr">
        <is>
          <t>KR</t>
        </is>
      </c>
      <c r="B370" s="11" t="inlineStr">
        <is>
          <t>Kroger Company (The)</t>
        </is>
      </c>
      <c r="C370" s="11" t="inlineStr">
        <is>
          <t>Grocery Stores</t>
        </is>
      </c>
      <c r="D370" s="11" t="inlineStr">
        <is>
          <t>United States</t>
        </is>
      </c>
      <c r="E370" s="12" t="n">
        <v>38.9</v>
      </c>
      <c r="F370" s="13" t="n">
        <v>65.87</v>
      </c>
      <c r="G370" s="13" t="n">
        <v>69</v>
      </c>
      <c r="H370" s="14">
        <f>IF(AND(ISNUMBER(F370),ISNUMBER(G370),F370&gt;0),G370/F370-1,"")</f>
        <v/>
      </c>
      <c r="I370" s="13" t="n">
        <v>57</v>
      </c>
      <c r="J370" s="14">
        <f>IF(AND(ISNUMBER(F370),ISNUMBER(I370),F370&gt;0),I370/F370-1,"")</f>
        <v/>
      </c>
      <c r="K370" s="13" t="n">
        <v>85</v>
      </c>
      <c r="L370" s="14">
        <f>IF(AND(ISNUMBER(F370),ISNUMBER(K370),F370&gt;0),K370/F370-1,"")</f>
        <v/>
      </c>
      <c r="M370" s="15" t="n">
        <v>22</v>
      </c>
      <c r="N370" s="16" t="n">
        <v>1.56</v>
      </c>
      <c r="O370" s="17">
        <f>IF(AND(ISNUMBER(F370),ISNUMBER(N370),F370&gt;0),N370/F370,"")</f>
        <v/>
      </c>
      <c r="P370" s="18" t="n">
        <v>46342</v>
      </c>
      <c r="Q370" s="18" t="n">
        <v>46359</v>
      </c>
      <c r="R370" s="16" t="n">
        <v>1.8</v>
      </c>
      <c r="S370" s="19">
        <f>IF(AND(ISNUMBER(F370),ISNUMBER(R370),R370&gt;0),F370/R370,"")</f>
        <v/>
      </c>
      <c r="T370" s="18" t="n">
        <v>46323</v>
      </c>
    </row>
    <row r="371">
      <c r="A371" s="20" t="inlineStr">
        <is>
          <t>ODFL</t>
        </is>
      </c>
      <c r="B371" s="20" t="inlineStr">
        <is>
          <t>Old Dominion Freight Line, Inc.</t>
        </is>
      </c>
      <c r="C371" s="20" t="inlineStr">
        <is>
          <t>Trucking</t>
        </is>
      </c>
      <c r="D371" s="20" t="inlineStr">
        <is>
          <t>United States</t>
        </is>
      </c>
      <c r="E371" s="21" t="n">
        <v>38.9</v>
      </c>
      <c r="F371" s="22" t="n">
        <v>187.03</v>
      </c>
      <c r="G371" s="22" t="n">
        <v>221.14285</v>
      </c>
      <c r="H371" s="23">
        <f>IF(AND(ISNUMBER(F371),ISNUMBER(G371),F371&gt;0),G371/F371-1,"")</f>
        <v/>
      </c>
      <c r="I371" s="22" t="n">
        <v>156</v>
      </c>
      <c r="J371" s="23">
        <f>IF(AND(ISNUMBER(F371),ISNUMBER(I371),F371&gt;0),I371/F371-1,"")</f>
        <v/>
      </c>
      <c r="K371" s="22" t="n">
        <v>250</v>
      </c>
      <c r="L371" s="23">
        <f>IF(AND(ISNUMBER(F371),ISNUMBER(K371),F371&gt;0),K371/F371-1,"")</f>
        <v/>
      </c>
      <c r="M371" s="24" t="n">
        <v>21</v>
      </c>
      <c r="N371" s="25" t="n">
        <v>1.16</v>
      </c>
      <c r="O371" s="26">
        <f>IF(AND(ISNUMBER(F371),ISNUMBER(N371),F371&gt;0),N371/F371,"")</f>
        <v/>
      </c>
      <c r="P371" s="27" t="n">
        <v>46358</v>
      </c>
      <c r="Q371" s="27" t="n">
        <v>46323</v>
      </c>
      <c r="R371" s="25" t="n">
        <v>5.2</v>
      </c>
      <c r="S371" s="28">
        <f>IF(AND(ISNUMBER(F371),ISNUMBER(R371),R371&gt;0),F371/R371,"")</f>
        <v/>
      </c>
      <c r="T371" s="27" t="n">
        <v>46323</v>
      </c>
    </row>
    <row r="372">
      <c r="A372" s="11" t="inlineStr">
        <is>
          <t>PAYX</t>
        </is>
      </c>
      <c r="B372" s="11" t="inlineStr">
        <is>
          <t>Paychex, Inc.</t>
        </is>
      </c>
      <c r="C372" s="11" t="inlineStr">
        <is>
          <t>Software - Application</t>
        </is>
      </c>
      <c r="D372" s="11" t="inlineStr">
        <is>
          <t>United States</t>
        </is>
      </c>
      <c r="E372" s="12" t="n">
        <v>38.89</v>
      </c>
      <c r="F372" s="13" t="n">
        <v>109.26</v>
      </c>
      <c r="G372" s="13" t="n">
        <v>114.57143</v>
      </c>
      <c r="H372" s="14">
        <f>IF(AND(ISNUMBER(F372),ISNUMBER(G372),F372&gt;0),G372/F372-1,"")</f>
        <v/>
      </c>
      <c r="I372" s="13" t="n">
        <v>96</v>
      </c>
      <c r="J372" s="14">
        <f>IF(AND(ISNUMBER(F372),ISNUMBER(I372),F372&gt;0),I372/F372-1,"")</f>
        <v/>
      </c>
      <c r="K372" s="13" t="n">
        <v>150</v>
      </c>
      <c r="L372" s="14">
        <f>IF(AND(ISNUMBER(F372),ISNUMBER(K372),F372&gt;0),K372/F372-1,"")</f>
        <v/>
      </c>
      <c r="M372" s="15" t="n">
        <v>14</v>
      </c>
      <c r="N372" s="16" t="n">
        <v>4.76</v>
      </c>
      <c r="O372" s="17">
        <f>IF(AND(ISNUMBER(F372),ISNUMBER(N372),F372&gt;0),N372/F372,"")</f>
        <v/>
      </c>
      <c r="P372" s="18" t="n">
        <v>46321</v>
      </c>
      <c r="Q372" s="18" t="n">
        <v>46374</v>
      </c>
      <c r="R372" s="16" t="n">
        <v>5.04</v>
      </c>
      <c r="S372" s="19">
        <f>IF(AND(ISNUMBER(F372),ISNUMBER(R372),R372&gt;0),F372/R372,"")</f>
        <v/>
      </c>
      <c r="T372" s="18" t="n">
        <v>46323</v>
      </c>
    </row>
    <row r="373">
      <c r="A373" s="20" t="inlineStr">
        <is>
          <t>CCI</t>
        </is>
      </c>
      <c r="B373" s="20" t="inlineStr">
        <is>
          <t>Crown Castle Inc.</t>
        </is>
      </c>
      <c r="C373" s="20" t="inlineStr">
        <is>
          <t>Reit - Specialty</t>
        </is>
      </c>
      <c r="D373" s="20" t="inlineStr">
        <is>
          <t>United States</t>
        </is>
      </c>
      <c r="E373" s="21" t="n">
        <v>38.4</v>
      </c>
      <c r="F373" s="22" t="n">
        <v>87.87</v>
      </c>
      <c r="G373" s="22" t="n">
        <v>93.49524</v>
      </c>
      <c r="H373" s="23">
        <f>IF(AND(ISNUMBER(F373),ISNUMBER(G373),F373&gt;0),G373/F373-1,"")</f>
        <v/>
      </c>
      <c r="I373" s="22" t="n">
        <v>80</v>
      </c>
      <c r="J373" s="23">
        <f>IF(AND(ISNUMBER(F373),ISNUMBER(I373),F373&gt;0),I373/F373-1,"")</f>
        <v/>
      </c>
      <c r="K373" s="22" t="n">
        <v>120</v>
      </c>
      <c r="L373" s="23">
        <f>IF(AND(ISNUMBER(F373),ISNUMBER(K373),F373&gt;0),K373/F373-1,"")</f>
        <v/>
      </c>
      <c r="M373" s="24" t="n">
        <v>21</v>
      </c>
      <c r="N373" s="25" t="n">
        <v>4.25</v>
      </c>
      <c r="O373" s="26">
        <f>IF(AND(ISNUMBER(F373),ISNUMBER(N373),F373&gt;0),N373/F373,"")</f>
        <v/>
      </c>
      <c r="P373" s="27" t="n">
        <v>46280</v>
      </c>
      <c r="Q373" s="27" t="n">
        <v>46316</v>
      </c>
      <c r="R373" s="25" t="n">
        <v>2.49</v>
      </c>
      <c r="S373" s="28">
        <f>IF(AND(ISNUMBER(F373),ISNUMBER(R373),R373&gt;0),F373/R373,"")</f>
        <v/>
      </c>
      <c r="T373" s="27" t="n">
        <v>46323</v>
      </c>
    </row>
    <row r="374">
      <c r="A374" s="11" t="inlineStr">
        <is>
          <t>VWAGY</t>
        </is>
      </c>
      <c r="B374" s="11" t="inlineStr">
        <is>
          <t>Volkswagen AG</t>
        </is>
      </c>
      <c r="C374" s="11" t="inlineStr">
        <is>
          <t>Auto Manufacturers</t>
        </is>
      </c>
      <c r="D374" s="11" t="inlineStr">
        <is>
          <t>Germany</t>
        </is>
      </c>
      <c r="E374" s="12" t="n">
        <v>38.1</v>
      </c>
      <c r="F374" s="13" t="n">
        <v>7.6</v>
      </c>
      <c r="G374" s="13" t="n">
        <v>11.09437</v>
      </c>
      <c r="H374" s="14">
        <f>IF(AND(ISNUMBER(F374),ISNUMBER(G374),F374&gt;0),G374/F374-1,"")</f>
        <v/>
      </c>
      <c r="I374" s="13" t="n">
        <v>10.68874</v>
      </c>
      <c r="J374" s="14">
        <f>IF(AND(ISNUMBER(F374),ISNUMBER(I374),F374&gt;0),I374/F374-1,"")</f>
        <v/>
      </c>
      <c r="K374" s="13" t="n">
        <v>11.5</v>
      </c>
      <c r="L374" s="14">
        <f>IF(AND(ISNUMBER(F374),ISNUMBER(K374),F374&gt;0),K374/F374-1,"")</f>
        <v/>
      </c>
      <c r="M374" s="15" t="n">
        <v>2</v>
      </c>
      <c r="N374" s="16" t="n">
        <v>0.59</v>
      </c>
      <c r="O374" s="17">
        <f>IF(AND(ISNUMBER(F374),ISNUMBER(N374),F374&gt;0),N374/F374,"")</f>
        <v/>
      </c>
      <c r="P374" s="18" t="n">
        <v>46195</v>
      </c>
      <c r="Q374" s="18" t="n">
        <v>46324</v>
      </c>
      <c r="R374" s="16" t="n">
        <v>1.22</v>
      </c>
      <c r="S374" s="19">
        <f>IF(AND(ISNUMBER(F374),ISNUMBER(R374),R374&gt;0),F374/R374,"")</f>
        <v/>
      </c>
      <c r="T374" s="18" t="n">
        <v>46323</v>
      </c>
    </row>
    <row r="375">
      <c r="A375" s="20" t="inlineStr">
        <is>
          <t>HVRRY</t>
        </is>
      </c>
      <c r="B375" s="20" t="inlineStr">
        <is>
          <t>Hannover Re</t>
        </is>
      </c>
      <c r="C375" s="20" t="inlineStr">
        <is>
          <t>Insurance - Reinsurance</t>
        </is>
      </c>
      <c r="D375" s="20" t="inlineStr">
        <is>
          <t>Germany</t>
        </is>
      </c>
      <c r="E375" s="21" t="n">
        <v>37.89</v>
      </c>
      <c r="F375" s="22" t="n">
        <v>52.36</v>
      </c>
      <c r="G375" s="22" t="n">
        <v>43.57485</v>
      </c>
      <c r="H375" s="23">
        <f>IF(AND(ISNUMBER(F375),ISNUMBER(G375),F375&gt;0),G375/F375-1,"")</f>
        <v/>
      </c>
      <c r="I375" s="22" t="n">
        <v>43.57485</v>
      </c>
      <c r="J375" s="23">
        <f>IF(AND(ISNUMBER(F375),ISNUMBER(I375),F375&gt;0),I375/F375-1,"")</f>
        <v/>
      </c>
      <c r="K375" s="22" t="n">
        <v>43.57485</v>
      </c>
      <c r="L375" s="23">
        <f>IF(AND(ISNUMBER(F375),ISNUMBER(K375),F375&gt;0),K375/F375-1,"")</f>
        <v/>
      </c>
      <c r="M375" s="24" t="n">
        <v>1</v>
      </c>
      <c r="N375" s="25" t="n">
        <v>2.45</v>
      </c>
      <c r="O375" s="26">
        <f>IF(AND(ISNUMBER(F375),ISNUMBER(N375),F375&gt;0),N375/F375,"")</f>
        <v/>
      </c>
      <c r="P375" s="27" t="n">
        <v>46150</v>
      </c>
      <c r="Q375" s="27" t="n">
        <v>45881</v>
      </c>
      <c r="R375" s="25" t="n">
        <v>4.41</v>
      </c>
      <c r="S375" s="28">
        <f>IF(AND(ISNUMBER(F375),ISNUMBER(R375),R375&gt;0),F375/R375,"")</f>
        <v/>
      </c>
      <c r="T375" s="27" t="n">
        <v>46323</v>
      </c>
    </row>
    <row r="376">
      <c r="A376" s="11" t="inlineStr">
        <is>
          <t>RPRX</t>
        </is>
      </c>
      <c r="B376" s="11" t="inlineStr">
        <is>
          <t>Royalty Pharma plc</t>
        </is>
      </c>
      <c r="C376" s="11" t="inlineStr">
        <is>
          <t>Biotechnology</t>
        </is>
      </c>
      <c r="D376" s="11" t="inlineStr">
        <is>
          <t>United States</t>
        </is>
      </c>
      <c r="E376" s="12" t="n">
        <v>37.72</v>
      </c>
      <c r="F376" s="13" t="n">
        <v>65.28</v>
      </c>
      <c r="G376" s="13" t="n">
        <v>65.375</v>
      </c>
      <c r="H376" s="14">
        <f>IF(AND(ISNUMBER(F376),ISNUMBER(G376),F376&gt;0),G376/F376-1,"")</f>
        <v/>
      </c>
      <c r="I376" s="13" t="n">
        <v>61</v>
      </c>
      <c r="J376" s="14">
        <f>IF(AND(ISNUMBER(F376),ISNUMBER(I376),F376&gt;0),I376/F376-1,"")</f>
        <v/>
      </c>
      <c r="K376" s="13" t="n">
        <v>70</v>
      </c>
      <c r="L376" s="14">
        <f>IF(AND(ISNUMBER(F376),ISNUMBER(K376),F376&gt;0),K376/F376-1,"")</f>
        <v/>
      </c>
      <c r="M376" s="15" t="n">
        <v>8</v>
      </c>
      <c r="N376" s="16" t="n">
        <v>0.9399999999999999</v>
      </c>
      <c r="O376" s="17">
        <f>IF(AND(ISNUMBER(F376),ISNUMBER(N376),F376&gt;0),N376/F376,"")</f>
        <v/>
      </c>
      <c r="P376" s="18" t="n">
        <v>46339</v>
      </c>
      <c r="Q376" s="18" t="n">
        <v>46330</v>
      </c>
      <c r="R376" s="16" t="n">
        <v>1.88</v>
      </c>
      <c r="S376" s="19">
        <f>IF(AND(ISNUMBER(F376),ISNUMBER(R376),R376&gt;0),F376/R376,"")</f>
        <v/>
      </c>
      <c r="T376" s="18" t="n">
        <v>46323</v>
      </c>
    </row>
    <row r="377">
      <c r="A377" s="20" t="inlineStr">
        <is>
          <t>ADM</t>
        </is>
      </c>
      <c r="B377" s="20" t="inlineStr">
        <is>
          <t>Archer-Daniels-Midland Company</t>
        </is>
      </c>
      <c r="C377" s="20" t="inlineStr">
        <is>
          <t>Farm Products</t>
        </is>
      </c>
      <c r="D377" s="20" t="inlineStr">
        <is>
          <t>United States</t>
        </is>
      </c>
      <c r="E377" s="21" t="n">
        <v>37.69</v>
      </c>
      <c r="F377" s="22" t="n">
        <v>78.2</v>
      </c>
      <c r="G377" s="22" t="n">
        <v>80.3</v>
      </c>
      <c r="H377" s="23">
        <f>IF(AND(ISNUMBER(F377),ISNUMBER(G377),F377&gt;0),G377/F377-1,"")</f>
        <v/>
      </c>
      <c r="I377" s="22" t="n">
        <v>60</v>
      </c>
      <c r="J377" s="23">
        <f>IF(AND(ISNUMBER(F377),ISNUMBER(I377),F377&gt;0),I377/F377-1,"")</f>
        <v/>
      </c>
      <c r="K377" s="22" t="n">
        <v>95</v>
      </c>
      <c r="L377" s="23">
        <f>IF(AND(ISNUMBER(F377),ISNUMBER(K377),F377&gt;0),K377/F377-1,"")</f>
        <v/>
      </c>
      <c r="M377" s="24" t="n">
        <v>10</v>
      </c>
      <c r="N377" s="25" t="n">
        <v>2.08</v>
      </c>
      <c r="O377" s="26">
        <f>IF(AND(ISNUMBER(F377),ISNUMBER(N377),F377&gt;0),N377/F377,"")</f>
        <v/>
      </c>
      <c r="P377" s="27" t="n">
        <v>46253</v>
      </c>
      <c r="Q377" s="27" t="n">
        <v>46329</v>
      </c>
      <c r="R377" s="25" t="n">
        <v>3.65</v>
      </c>
      <c r="S377" s="28">
        <f>IF(AND(ISNUMBER(F377),ISNUMBER(R377),R377&gt;0),F377/R377,"")</f>
        <v/>
      </c>
      <c r="T377" s="27" t="n">
        <v>46323</v>
      </c>
    </row>
    <row r="378">
      <c r="A378" s="11" t="inlineStr">
        <is>
          <t>TTWO</t>
        </is>
      </c>
      <c r="B378" s="11" t="inlineStr">
        <is>
          <t xml:space="preserve">Take-Two Interactive Software, </t>
        </is>
      </c>
      <c r="C378" s="11" t="inlineStr">
        <is>
          <t>Electronic Gaming &amp; Multimedia</t>
        </is>
      </c>
      <c r="D378" s="11" t="inlineStr">
        <is>
          <t>United States</t>
        </is>
      </c>
      <c r="E378" s="12" t="n">
        <v>37.64</v>
      </c>
      <c r="F378" s="13" t="n">
        <v>201.28</v>
      </c>
      <c r="G378" s="13" t="n">
        <v>285.13138</v>
      </c>
      <c r="H378" s="14">
        <f>IF(AND(ISNUMBER(F378),ISNUMBER(G378),F378&gt;0),G378/F378-1,"")</f>
        <v/>
      </c>
      <c r="I378" s="13" t="n">
        <v>170</v>
      </c>
      <c r="J378" s="14">
        <f>IF(AND(ISNUMBER(F378),ISNUMBER(I378),F378&gt;0),I378/F378-1,"")</f>
        <v/>
      </c>
      <c r="K378" s="13" t="n">
        <v>330</v>
      </c>
      <c r="L378" s="14">
        <f>IF(AND(ISNUMBER(F378),ISNUMBER(K378),F378&gt;0),K378/F378-1,"")</f>
        <v/>
      </c>
      <c r="M378" s="15" t="n">
        <v>29</v>
      </c>
      <c r="N378" s="16" t="n"/>
      <c r="O378" s="17">
        <f>IF(AND(ISNUMBER(F378),ISNUMBER(N378),F378&gt;0),N378/F378,"")</f>
        <v/>
      </c>
      <c r="P378" s="18" t="n"/>
      <c r="Q378" s="18" t="n">
        <v>46335</v>
      </c>
      <c r="R378" s="16" t="n">
        <v>-1.73</v>
      </c>
      <c r="S378" s="19">
        <f>IF(AND(ISNUMBER(F378),ISNUMBER(R378),R378&gt;0),F378/R378,"")</f>
        <v/>
      </c>
      <c r="T378" s="18" t="n">
        <v>46323</v>
      </c>
    </row>
    <row r="379">
      <c r="A379" s="20" t="inlineStr">
        <is>
          <t>BIIB</t>
        </is>
      </c>
      <c r="B379" s="20" t="inlineStr">
        <is>
          <t>Biogen Inc.</t>
        </is>
      </c>
      <c r="C379" s="20" t="inlineStr">
        <is>
          <t>Drug Manufacturers - General</t>
        </is>
      </c>
      <c r="D379" s="20" t="inlineStr">
        <is>
          <t>United States</t>
        </is>
      </c>
      <c r="E379" s="21" t="n">
        <v>37.34</v>
      </c>
      <c r="F379" s="22" t="n">
        <v>252.73</v>
      </c>
      <c r="G379" s="22" t="n">
        <v>247.32281</v>
      </c>
      <c r="H379" s="23">
        <f>IF(AND(ISNUMBER(F379),ISNUMBER(G379),F379&gt;0),G379/F379-1,"")</f>
        <v/>
      </c>
      <c r="I379" s="22" t="n">
        <v>175</v>
      </c>
      <c r="J379" s="23">
        <f>IF(AND(ISNUMBER(F379),ISNUMBER(I379),F379&gt;0),I379/F379-1,"")</f>
        <v/>
      </c>
      <c r="K379" s="22" t="n">
        <v>310</v>
      </c>
      <c r="L379" s="23">
        <f>IF(AND(ISNUMBER(F379),ISNUMBER(K379),F379&gt;0),K379/F379-1,"")</f>
        <v/>
      </c>
      <c r="M379" s="24" t="n">
        <v>32</v>
      </c>
      <c r="N379" s="25" t="n"/>
      <c r="O379" s="26">
        <f>IF(AND(ISNUMBER(F379),ISNUMBER(N379),F379&gt;0),N379/F379,"")</f>
        <v/>
      </c>
      <c r="P379" s="27" t="n"/>
      <c r="Q379" s="27" t="n">
        <v>46323</v>
      </c>
      <c r="R379" s="25" t="n">
        <v>5.67</v>
      </c>
      <c r="S379" s="28">
        <f>IF(AND(ISNUMBER(F379),ISNUMBER(R379),R379&gt;0),F379/R379,"")</f>
        <v/>
      </c>
      <c r="T379" s="27" t="n">
        <v>46323</v>
      </c>
    </row>
    <row r="380">
      <c r="A380" s="11" t="inlineStr">
        <is>
          <t>KVUE</t>
        </is>
      </c>
      <c r="B380" s="11" t="inlineStr">
        <is>
          <t>Kenvue Inc.</t>
        </is>
      </c>
      <c r="C380" s="11" t="inlineStr">
        <is>
          <t>Household &amp; Personal Products</t>
        </is>
      </c>
      <c r="D380" s="11" t="inlineStr">
        <is>
          <t>United States</t>
        </is>
      </c>
      <c r="E380" s="12" t="n">
        <v>37.32</v>
      </c>
      <c r="F380" s="13" t="n">
        <v>19.43</v>
      </c>
      <c r="G380" s="13" t="n">
        <v>19.5</v>
      </c>
      <c r="H380" s="14">
        <f>IF(AND(ISNUMBER(F380),ISNUMBER(G380),F380&gt;0),G380/F380-1,"")</f>
        <v/>
      </c>
      <c r="I380" s="13" t="n">
        <v>18</v>
      </c>
      <c r="J380" s="14">
        <f>IF(AND(ISNUMBER(F380),ISNUMBER(I380),F380&gt;0),I380/F380-1,"")</f>
        <v/>
      </c>
      <c r="K380" s="13" t="n">
        <v>23</v>
      </c>
      <c r="L380" s="14">
        <f>IF(AND(ISNUMBER(F380),ISNUMBER(K380),F380&gt;0),K380/F380-1,"")</f>
        <v/>
      </c>
      <c r="M380" s="15" t="n">
        <v>12</v>
      </c>
      <c r="N380" s="16" t="n">
        <v>0.84</v>
      </c>
      <c r="O380" s="17">
        <f>IF(AND(ISNUMBER(F380),ISNUMBER(N380),F380&gt;0),N380/F380,"")</f>
        <v/>
      </c>
      <c r="P380" s="18" t="n">
        <v>46286</v>
      </c>
      <c r="Q380" s="18" t="n">
        <v>46325</v>
      </c>
      <c r="R380" s="16" t="n">
        <v>0.86</v>
      </c>
      <c r="S380" s="19">
        <f>IF(AND(ISNUMBER(F380),ISNUMBER(R380),R380&gt;0),F380/R380,"")</f>
        <v/>
      </c>
      <c r="T380" s="18" t="n">
        <v>46323</v>
      </c>
    </row>
    <row r="381">
      <c r="A381" s="20" t="inlineStr">
        <is>
          <t>CCL</t>
        </is>
      </c>
      <c r="B381" s="20" t="inlineStr">
        <is>
          <t>Carnival Corporation Ltd.</t>
        </is>
      </c>
      <c r="C381" s="20" t="inlineStr">
        <is>
          <t>Travel Services</t>
        </is>
      </c>
      <c r="D381" s="20" t="inlineStr">
        <is>
          <t>United States</t>
        </is>
      </c>
      <c r="E381" s="21" t="n">
        <v>37.3</v>
      </c>
      <c r="F381" s="22" t="n">
        <v>27.74</v>
      </c>
      <c r="G381" s="22" t="n">
        <v>33.89231</v>
      </c>
      <c r="H381" s="23">
        <f>IF(AND(ISNUMBER(F381),ISNUMBER(G381),F381&gt;0),G381/F381-1,"")</f>
        <v/>
      </c>
      <c r="I381" s="22" t="n">
        <v>28.7</v>
      </c>
      <c r="J381" s="23">
        <f>IF(AND(ISNUMBER(F381),ISNUMBER(I381),F381&gt;0),I381/F381-1,"")</f>
        <v/>
      </c>
      <c r="K381" s="22" t="n">
        <v>43</v>
      </c>
      <c r="L381" s="23">
        <f>IF(AND(ISNUMBER(F381),ISNUMBER(K381),F381&gt;0),K381/F381-1,"")</f>
        <v/>
      </c>
      <c r="M381" s="24" t="n">
        <v>26</v>
      </c>
      <c r="N381" s="25" t="n">
        <v>0.45</v>
      </c>
      <c r="O381" s="26">
        <f>IF(AND(ISNUMBER(F381),ISNUMBER(N381),F381&gt;0),N381/F381,"")</f>
        <v/>
      </c>
      <c r="P381" s="27" t="n">
        <v>46332</v>
      </c>
      <c r="Q381" s="27" t="n">
        <v>46374</v>
      </c>
      <c r="R381" s="25" t="n">
        <v>2.27</v>
      </c>
      <c r="S381" s="28">
        <f>IF(AND(ISNUMBER(F381),ISNUMBER(R381),R381&gt;0),F381/R381,"")</f>
        <v/>
      </c>
      <c r="T381" s="27" t="n">
        <v>46323</v>
      </c>
    </row>
    <row r="382">
      <c r="A382" s="11" t="inlineStr">
        <is>
          <t>RKLB</t>
        </is>
      </c>
      <c r="B382" s="11" t="inlineStr">
        <is>
          <t>Rocket Lab Corporation</t>
        </is>
      </c>
      <c r="C382" s="11" t="inlineStr">
        <is>
          <t>Aerospace &amp; Defense</t>
        </is>
      </c>
      <c r="D382" s="11" t="inlineStr">
        <is>
          <t>United States</t>
        </is>
      </c>
      <c r="E382" s="12" t="n">
        <v>37.28</v>
      </c>
      <c r="F382" s="13" t="n">
        <v>58.31</v>
      </c>
      <c r="G382" s="13" t="n">
        <v>102.15</v>
      </c>
      <c r="H382" s="14">
        <f>IF(AND(ISNUMBER(F382),ISNUMBER(G382),F382&gt;0),G382/F382-1,"")</f>
        <v/>
      </c>
      <c r="I382" s="13" t="n">
        <v>64</v>
      </c>
      <c r="J382" s="14">
        <f>IF(AND(ISNUMBER(F382),ISNUMBER(I382),F382&gt;0),I382/F382-1,"")</f>
        <v/>
      </c>
      <c r="K382" s="13" t="n">
        <v>150</v>
      </c>
      <c r="L382" s="14">
        <f>IF(AND(ISNUMBER(F382),ISNUMBER(K382),F382&gt;0),K382/F382-1,"")</f>
        <v/>
      </c>
      <c r="M382" s="15" t="n">
        <v>20</v>
      </c>
      <c r="N382" s="16" t="n"/>
      <c r="O382" s="17">
        <f>IF(AND(ISNUMBER(F382),ISNUMBER(N382),F382&gt;0),N382/F382,"")</f>
        <v/>
      </c>
      <c r="P382" s="18" t="n"/>
      <c r="Q382" s="18" t="n">
        <v>46335</v>
      </c>
      <c r="R382" s="16" t="n">
        <v>-0.28</v>
      </c>
      <c r="S382" s="19">
        <f>IF(AND(ISNUMBER(F382),ISNUMBER(R382),R382&gt;0),F382/R382,"")</f>
        <v/>
      </c>
      <c r="T382" s="18" t="n">
        <v>46323</v>
      </c>
    </row>
    <row r="383">
      <c r="A383" s="20" t="inlineStr">
        <is>
          <t>VOD</t>
        </is>
      </c>
      <c r="B383" s="20" t="inlineStr">
        <is>
          <t>Vodafone Group Plc</t>
        </is>
      </c>
      <c r="C383" s="20" t="inlineStr">
        <is>
          <t>Telecom Services</t>
        </is>
      </c>
      <c r="D383" s="20" t="inlineStr">
        <is>
          <t>United Kingdom</t>
        </is>
      </c>
      <c r="E383" s="21" t="n">
        <v>36.49</v>
      </c>
      <c r="F383" s="22" t="n">
        <v>15.75</v>
      </c>
      <c r="G383" s="22" t="n">
        <v>15.959938</v>
      </c>
      <c r="H383" s="23">
        <f>IF(AND(ISNUMBER(F383),ISNUMBER(G383),F383&gt;0),G383/F383-1,"")</f>
        <v/>
      </c>
      <c r="I383" s="22" t="n">
        <v>12.208991</v>
      </c>
      <c r="J383" s="23">
        <f>IF(AND(ISNUMBER(F383),ISNUMBER(I383),F383&gt;0),I383/F383-1,"")</f>
        <v/>
      </c>
      <c r="K383" s="22" t="n">
        <v>20.040062</v>
      </c>
      <c r="L383" s="23">
        <f>IF(AND(ISNUMBER(F383),ISNUMBER(K383),F383&gt;0),K383/F383-1,"")</f>
        <v/>
      </c>
      <c r="M383" s="24" t="n">
        <v>5</v>
      </c>
      <c r="N383" s="25" t="n">
        <v>0.54</v>
      </c>
      <c r="O383" s="26">
        <f>IF(AND(ISNUMBER(F383),ISNUMBER(N383),F383&gt;0),N383/F383,"")</f>
        <v/>
      </c>
      <c r="P383" s="27" t="n">
        <v>46178</v>
      </c>
      <c r="Q383" s="27" t="n">
        <v>46336</v>
      </c>
      <c r="R383" s="25" t="n">
        <v>-0.14</v>
      </c>
      <c r="S383" s="28">
        <f>IF(AND(ISNUMBER(F383),ISNUMBER(R383),R383&gt;0),F383/R383,"")</f>
        <v/>
      </c>
      <c r="T383" s="27" t="n">
        <v>46323</v>
      </c>
    </row>
    <row r="384">
      <c r="A384" s="11" t="inlineStr">
        <is>
          <t>KMB</t>
        </is>
      </c>
      <c r="B384" s="11" t="inlineStr">
        <is>
          <t>Kimberly-Clark Corporation</t>
        </is>
      </c>
      <c r="C384" s="11" t="inlineStr">
        <is>
          <t>Household &amp; Personal Products</t>
        </is>
      </c>
      <c r="D384" s="11" t="inlineStr">
        <is>
          <t>United States</t>
        </is>
      </c>
      <c r="E384" s="12" t="n">
        <v>36.28</v>
      </c>
      <c r="F384" s="13" t="n">
        <v>109.1</v>
      </c>
      <c r="G384" s="13" t="n">
        <v>114.1875</v>
      </c>
      <c r="H384" s="14">
        <f>IF(AND(ISNUMBER(F384),ISNUMBER(G384),F384&gt;0),G384/F384-1,"")</f>
        <v/>
      </c>
      <c r="I384" s="13" t="n">
        <v>90</v>
      </c>
      <c r="J384" s="14">
        <f>IF(AND(ISNUMBER(F384),ISNUMBER(I384),F384&gt;0),I384/F384-1,"")</f>
        <v/>
      </c>
      <c r="K384" s="13" t="n">
        <v>162</v>
      </c>
      <c r="L384" s="14">
        <f>IF(AND(ISNUMBER(F384),ISNUMBER(K384),F384&gt;0),K384/F384-1,"")</f>
        <v/>
      </c>
      <c r="M384" s="15" t="n">
        <v>16</v>
      </c>
      <c r="N384" s="16" t="n">
        <v>5.12</v>
      </c>
      <c r="O384" s="17">
        <f>IF(AND(ISNUMBER(F384),ISNUMBER(N384),F384&gt;0),N384/F384,"")</f>
        <v/>
      </c>
      <c r="P384" s="18" t="n">
        <v>46269</v>
      </c>
      <c r="Q384" s="18" t="n">
        <v>46331</v>
      </c>
      <c r="R384" s="16" t="n">
        <v>5.07</v>
      </c>
      <c r="S384" s="19">
        <f>IF(AND(ISNUMBER(F384),ISNUMBER(R384),R384&gt;0),F384/R384,"")</f>
        <v/>
      </c>
      <c r="T384" s="18" t="n">
        <v>46323</v>
      </c>
    </row>
    <row r="385">
      <c r="A385" s="20" t="inlineStr">
        <is>
          <t>UI</t>
        </is>
      </c>
      <c r="B385" s="20" t="inlineStr">
        <is>
          <t>Ubiquiti Inc.</t>
        </is>
      </c>
      <c r="C385" s="20" t="inlineStr">
        <is>
          <t>Communication Equipment</t>
        </is>
      </c>
      <c r="D385" s="20" t="inlineStr">
        <is>
          <t>United States</t>
        </is>
      </c>
      <c r="E385" s="21" t="n">
        <v>36.27</v>
      </c>
      <c r="F385" s="22" t="n">
        <v>599.53</v>
      </c>
      <c r="G385" s="22" t="n">
        <v>734.5</v>
      </c>
      <c r="H385" s="23">
        <f>IF(AND(ISNUMBER(F385),ISNUMBER(G385),F385&gt;0),G385/F385-1,"")</f>
        <v/>
      </c>
      <c r="I385" s="22" t="n">
        <v>489</v>
      </c>
      <c r="J385" s="23">
        <f>IF(AND(ISNUMBER(F385),ISNUMBER(I385),F385&gt;0),I385/F385-1,"")</f>
        <v/>
      </c>
      <c r="K385" s="22" t="n">
        <v>980</v>
      </c>
      <c r="L385" s="23">
        <f>IF(AND(ISNUMBER(F385),ISNUMBER(K385),F385&gt;0),K385/F385-1,"")</f>
        <v/>
      </c>
      <c r="M385" s="24" t="n">
        <v>2</v>
      </c>
      <c r="N385" s="25" t="n">
        <v>4</v>
      </c>
      <c r="O385" s="26">
        <f>IF(AND(ISNUMBER(F385),ISNUMBER(N385),F385&gt;0),N385/F385,"")</f>
        <v/>
      </c>
      <c r="P385" s="27" t="n">
        <v>46265</v>
      </c>
      <c r="Q385" s="27" t="n">
        <v>46332</v>
      </c>
      <c r="R385" s="25" t="n">
        <v>15.78</v>
      </c>
      <c r="S385" s="28">
        <f>IF(AND(ISNUMBER(F385),ISNUMBER(R385),R385&gt;0),F385/R385,"")</f>
        <v/>
      </c>
      <c r="T385" s="27" t="n">
        <v>46323</v>
      </c>
    </row>
    <row r="386">
      <c r="A386" s="11" t="inlineStr">
        <is>
          <t>HIG</t>
        </is>
      </c>
      <c r="B386" s="11" t="inlineStr">
        <is>
          <t>The Hartford Insurance Group, I</t>
        </is>
      </c>
      <c r="C386" s="11" t="inlineStr">
        <is>
          <t>Insurance - Diversified</t>
        </is>
      </c>
      <c r="D386" s="11" t="inlineStr">
        <is>
          <t>United States</t>
        </is>
      </c>
      <c r="E386" s="12" t="n">
        <v>36.16</v>
      </c>
      <c r="F386" s="13" t="n">
        <v>133.51</v>
      </c>
      <c r="G386" s="13" t="n">
        <v>147.14285</v>
      </c>
      <c r="H386" s="14">
        <f>IF(AND(ISNUMBER(F386),ISNUMBER(G386),F386&gt;0),G386/F386-1,"")</f>
        <v/>
      </c>
      <c r="I386" s="13" t="n">
        <v>135</v>
      </c>
      <c r="J386" s="14">
        <f>IF(AND(ISNUMBER(F386),ISNUMBER(I386),F386&gt;0),I386/F386-1,"")</f>
        <v/>
      </c>
      <c r="K386" s="13" t="n">
        <v>163</v>
      </c>
      <c r="L386" s="14">
        <f>IF(AND(ISNUMBER(F386),ISNUMBER(K386),F386&gt;0),K386/F386-1,"")</f>
        <v/>
      </c>
      <c r="M386" s="15" t="n">
        <v>21</v>
      </c>
      <c r="N386" s="16" t="n">
        <v>2.4</v>
      </c>
      <c r="O386" s="17">
        <f>IF(AND(ISNUMBER(F386),ISNUMBER(N386),F386&gt;0),N386/F386,"")</f>
        <v/>
      </c>
      <c r="P386" s="18" t="n">
        <v>46266</v>
      </c>
      <c r="Q386" s="18" t="n">
        <v>46321</v>
      </c>
      <c r="R386" s="16" t="n">
        <v>14.05</v>
      </c>
      <c r="S386" s="19">
        <f>IF(AND(ISNUMBER(F386),ISNUMBER(R386),R386&gt;0),F386/R386,"")</f>
        <v/>
      </c>
      <c r="T386" s="18" t="n">
        <v>46323</v>
      </c>
    </row>
    <row r="387">
      <c r="A387" s="20" t="inlineStr">
        <is>
          <t>ERIC</t>
        </is>
      </c>
      <c r="B387" s="20" t="inlineStr">
        <is>
          <t>Ericsson</t>
        </is>
      </c>
      <c r="C387" s="20" t="inlineStr">
        <is>
          <t>Communication Equipment</t>
        </is>
      </c>
      <c r="D387" s="20" t="inlineStr">
        <is>
          <t>Sweden</t>
        </is>
      </c>
      <c r="E387" s="21" t="n">
        <v>35.91</v>
      </c>
      <c r="F387" s="22" t="n">
        <v>11.08</v>
      </c>
      <c r="G387" s="22" t="n">
        <v>9.51667</v>
      </c>
      <c r="H387" s="23">
        <f>IF(AND(ISNUMBER(F387),ISNUMBER(G387),F387&gt;0),G387/F387-1,"")</f>
        <v/>
      </c>
      <c r="I387" s="22" t="n">
        <v>8.699999999999999</v>
      </c>
      <c r="J387" s="23">
        <f>IF(AND(ISNUMBER(F387),ISNUMBER(I387),F387&gt;0),I387/F387-1,"")</f>
        <v/>
      </c>
      <c r="K387" s="22" t="n">
        <v>10.4</v>
      </c>
      <c r="L387" s="23">
        <f>IF(AND(ISNUMBER(F387),ISNUMBER(K387),F387&gt;0),K387/F387-1,"")</f>
        <v/>
      </c>
      <c r="M387" s="24" t="n">
        <v>6</v>
      </c>
      <c r="N387" s="25" t="n">
        <v>0.32</v>
      </c>
      <c r="O387" s="26">
        <f>IF(AND(ISNUMBER(F387),ISNUMBER(N387),F387&gt;0),N387/F387,"")</f>
        <v/>
      </c>
      <c r="P387" s="27" t="n">
        <v>46294</v>
      </c>
      <c r="Q387" s="27" t="n">
        <v>46310</v>
      </c>
      <c r="R387" s="25" t="n">
        <v>0.62</v>
      </c>
      <c r="S387" s="28">
        <f>IF(AND(ISNUMBER(F387),ISNUMBER(R387),R387&gt;0),F387/R387,"")</f>
        <v/>
      </c>
      <c r="T387" s="27" t="n">
        <v>46323</v>
      </c>
    </row>
    <row r="388">
      <c r="A388" s="11" t="inlineStr">
        <is>
          <t>CCJ</t>
        </is>
      </c>
      <c r="B388" s="11" t="inlineStr">
        <is>
          <t>Cameco Corporation</t>
        </is>
      </c>
      <c r="C388" s="11" t="inlineStr">
        <is>
          <t>Uranium</t>
        </is>
      </c>
      <c r="D388" s="11" t="inlineStr">
        <is>
          <t>Canada</t>
        </is>
      </c>
      <c r="E388" s="12" t="n">
        <v>35.89</v>
      </c>
      <c r="F388" s="13" t="n">
        <v>82.41</v>
      </c>
      <c r="G388" s="13" t="n">
        <v>125.15596</v>
      </c>
      <c r="H388" s="14">
        <f>IF(AND(ISNUMBER(F388),ISNUMBER(G388),F388&gt;0),G388/F388-1,"")</f>
        <v/>
      </c>
      <c r="I388" s="13" t="n">
        <v>84.279205</v>
      </c>
      <c r="J388" s="14">
        <f>IF(AND(ISNUMBER(F388),ISNUMBER(I388),F388&gt;0),I388/F388-1,"")</f>
        <v/>
      </c>
      <c r="K388" s="13" t="n">
        <v>171.45226</v>
      </c>
      <c r="L388" s="14">
        <f>IF(AND(ISNUMBER(F388),ISNUMBER(K388),F388&gt;0),K388/F388-1,"")</f>
        <v/>
      </c>
      <c r="M388" s="15" t="n">
        <v>10</v>
      </c>
      <c r="N388" s="16" t="n">
        <v>0.17</v>
      </c>
      <c r="O388" s="17">
        <f>IF(AND(ISNUMBER(F388),ISNUMBER(N388),F388&gt;0),N388/F388,"")</f>
        <v/>
      </c>
      <c r="P388" s="18" t="n">
        <v>45992</v>
      </c>
      <c r="Q388" s="18" t="n">
        <v>46325</v>
      </c>
      <c r="R388" s="16" t="n">
        <v>0.59</v>
      </c>
      <c r="S388" s="19">
        <f>IF(AND(ISNUMBER(F388),ISNUMBER(R388),R388&gt;0),F388/R388,"")</f>
        <v/>
      </c>
      <c r="T388" s="18" t="n">
        <v>46323</v>
      </c>
    </row>
    <row r="389">
      <c r="A389" s="20" t="inlineStr">
        <is>
          <t>EC</t>
        </is>
      </c>
      <c r="B389" s="20" t="inlineStr">
        <is>
          <t>Ecopetrol S.A.</t>
        </is>
      </c>
      <c r="C389" s="20" t="inlineStr">
        <is>
          <t>Oil &amp; Gas Integrated</t>
        </is>
      </c>
      <c r="D389" s="20" t="inlineStr">
        <is>
          <t>Colombia</t>
        </is>
      </c>
      <c r="E389" s="21" t="n">
        <v>35.55</v>
      </c>
      <c r="F389" s="22" t="n">
        <v>17.29</v>
      </c>
      <c r="G389" s="22" t="n">
        <v>14.66364</v>
      </c>
      <c r="H389" s="23">
        <f>IF(AND(ISNUMBER(F389),ISNUMBER(G389),F389&gt;0),G389/F389-1,"")</f>
        <v/>
      </c>
      <c r="I389" s="22" t="n">
        <v>9</v>
      </c>
      <c r="J389" s="23">
        <f>IF(AND(ISNUMBER(F389),ISNUMBER(I389),F389&gt;0),I389/F389-1,"")</f>
        <v/>
      </c>
      <c r="K389" s="22" t="n">
        <v>18</v>
      </c>
      <c r="L389" s="23">
        <f>IF(AND(ISNUMBER(F389),ISNUMBER(K389),F389&gt;0),K389/F389-1,"")</f>
        <v/>
      </c>
      <c r="M389" s="24" t="n">
        <v>11</v>
      </c>
      <c r="N389" s="25" t="n">
        <v>0.65</v>
      </c>
      <c r="O389" s="26">
        <f>IF(AND(ISNUMBER(F389),ISNUMBER(N389),F389&gt;0),N389/F389,"")</f>
        <v/>
      </c>
      <c r="P389" s="27" t="n">
        <v>46141</v>
      </c>
      <c r="Q389" s="27" t="n">
        <v>46338</v>
      </c>
      <c r="R389" s="25" t="n">
        <v>1.84</v>
      </c>
      <c r="S389" s="28">
        <f>IF(AND(ISNUMBER(F389),ISNUMBER(R389),R389&gt;0),F389/R389,"")</f>
        <v/>
      </c>
      <c r="T389" s="27" t="n">
        <v>46323</v>
      </c>
    </row>
    <row r="390">
      <c r="A390" s="11" t="inlineStr">
        <is>
          <t>CMG</t>
        </is>
      </c>
      <c r="B390" s="11" t="inlineStr">
        <is>
          <t>Chipotle Mexican Grill, Inc.</t>
        </is>
      </c>
      <c r="C390" s="11" t="inlineStr">
        <is>
          <t>Restaurants</t>
        </is>
      </c>
      <c r="D390" s="11" t="inlineStr">
        <is>
          <t>United States</t>
        </is>
      </c>
      <c r="E390" s="12" t="n">
        <v>35.41</v>
      </c>
      <c r="F390" s="13" t="n">
        <v>27.98</v>
      </c>
      <c r="G390" s="13" t="n">
        <v>41.96774</v>
      </c>
      <c r="H390" s="14">
        <f>IF(AND(ISNUMBER(F390),ISNUMBER(G390),F390&gt;0),G390/F390-1,"")</f>
        <v/>
      </c>
      <c r="I390" s="13" t="n">
        <v>32</v>
      </c>
      <c r="J390" s="14">
        <f>IF(AND(ISNUMBER(F390),ISNUMBER(I390),F390&gt;0),I390/F390-1,"")</f>
        <v/>
      </c>
      <c r="K390" s="13" t="n">
        <v>53</v>
      </c>
      <c r="L390" s="14">
        <f>IF(AND(ISNUMBER(F390),ISNUMBER(K390),F390&gt;0),K390/F390-1,"")</f>
        <v/>
      </c>
      <c r="M390" s="15" t="n">
        <v>31</v>
      </c>
      <c r="N390" s="16" t="n"/>
      <c r="O390" s="17">
        <f>IF(AND(ISNUMBER(F390),ISNUMBER(N390),F390&gt;0),N390/F390,"")</f>
        <v/>
      </c>
      <c r="P390" s="18" t="n"/>
      <c r="Q390" s="18" t="n">
        <v>46323</v>
      </c>
      <c r="R390" s="16" t="n">
        <v>1.09</v>
      </c>
      <c r="S390" s="19">
        <f>IF(AND(ISNUMBER(F390),ISNUMBER(R390),R390&gt;0),F390/R390,"")</f>
        <v/>
      </c>
      <c r="T390" s="18" t="n">
        <v>46323</v>
      </c>
    </row>
    <row r="391">
      <c r="A391" s="20" t="inlineStr">
        <is>
          <t>EQT</t>
        </is>
      </c>
      <c r="B391" s="20" t="inlineStr">
        <is>
          <t>EQT Corporation</t>
        </is>
      </c>
      <c r="C391" s="20" t="inlineStr">
        <is>
          <t>Oil &amp; Gas E&amp;P</t>
        </is>
      </c>
      <c r="D391" s="20" t="inlineStr">
        <is>
          <t>United States</t>
        </is>
      </c>
      <c r="E391" s="21" t="n">
        <v>35.2</v>
      </c>
      <c r="F391" s="22" t="n">
        <v>56.27</v>
      </c>
      <c r="G391" s="22" t="n">
        <v>65.91304</v>
      </c>
      <c r="H391" s="23">
        <f>IF(AND(ISNUMBER(F391),ISNUMBER(G391),F391&gt;0),G391/F391-1,"")</f>
        <v/>
      </c>
      <c r="I391" s="22" t="n">
        <v>52</v>
      </c>
      <c r="J391" s="23">
        <f>IF(AND(ISNUMBER(F391),ISNUMBER(I391),F391&gt;0),I391/F391-1,"")</f>
        <v/>
      </c>
      <c r="K391" s="22" t="n">
        <v>81</v>
      </c>
      <c r="L391" s="23">
        <f>IF(AND(ISNUMBER(F391),ISNUMBER(K391),F391&gt;0),K391/F391-1,"")</f>
        <v/>
      </c>
      <c r="M391" s="24" t="n">
        <v>23</v>
      </c>
      <c r="N391" s="25" t="n">
        <v>0.68</v>
      </c>
      <c r="O391" s="26">
        <f>IF(AND(ISNUMBER(F391),ISNUMBER(N391),F391&gt;0),N391/F391,"")</f>
        <v/>
      </c>
      <c r="P391" s="27" t="n">
        <v>46330</v>
      </c>
      <c r="Q391" s="27" t="n">
        <v>46322</v>
      </c>
      <c r="R391" s="25" t="n">
        <v>4.31</v>
      </c>
      <c r="S391" s="28">
        <f>IF(AND(ISNUMBER(F391),ISNUMBER(R391),R391&gt;0),F391/R391,"")</f>
        <v/>
      </c>
      <c r="T391" s="27" t="n">
        <v>46323</v>
      </c>
    </row>
    <row r="392">
      <c r="A392" s="11" t="inlineStr">
        <is>
          <t>STLD</t>
        </is>
      </c>
      <c r="B392" s="11" t="inlineStr">
        <is>
          <t>Steel Dynamics, Inc.</t>
        </is>
      </c>
      <c r="C392" s="11" t="inlineStr">
        <is>
          <t>Steel</t>
        </is>
      </c>
      <c r="D392" s="11" t="inlineStr">
        <is>
          <t>United States</t>
        </is>
      </c>
      <c r="E392" s="12" t="n">
        <v>35.1</v>
      </c>
      <c r="F392" s="13" t="n">
        <v>246.8</v>
      </c>
      <c r="G392" s="13" t="n">
        <v>272.675</v>
      </c>
      <c r="H392" s="14">
        <f>IF(AND(ISNUMBER(F392),ISNUMBER(G392),F392&gt;0),G392/F392-1,"")</f>
        <v/>
      </c>
      <c r="I392" s="13" t="n">
        <v>205.45</v>
      </c>
      <c r="J392" s="14">
        <f>IF(AND(ISNUMBER(F392),ISNUMBER(I392),F392&gt;0),I392/F392-1,"")</f>
        <v/>
      </c>
      <c r="K392" s="13" t="n">
        <v>310</v>
      </c>
      <c r="L392" s="14">
        <f>IF(AND(ISNUMBER(F392),ISNUMBER(K392),F392&gt;0),K392/F392-1,"")</f>
        <v/>
      </c>
      <c r="M392" s="15" t="n">
        <v>14</v>
      </c>
      <c r="N392" s="16" t="n">
        <v>2.12</v>
      </c>
      <c r="O392" s="17">
        <f>IF(AND(ISNUMBER(F392),ISNUMBER(N392),F392&gt;0),N392/F392,"")</f>
        <v/>
      </c>
      <c r="P392" s="18" t="n">
        <v>46295</v>
      </c>
      <c r="Q392" s="18" t="n">
        <v>46314</v>
      </c>
      <c r="R392" s="16" t="n">
        <v>13.54</v>
      </c>
      <c r="S392" s="19">
        <f>IF(AND(ISNUMBER(F392),ISNUMBER(R392),R392&gt;0),F392/R392,"")</f>
        <v/>
      </c>
      <c r="T392" s="18" t="n">
        <v>46323</v>
      </c>
    </row>
    <row r="393">
      <c r="A393" s="20" t="inlineStr">
        <is>
          <t>CBRE</t>
        </is>
      </c>
      <c r="B393" s="20" t="inlineStr">
        <is>
          <t>CBRE Group Inc</t>
        </is>
      </c>
      <c r="C393" s="20" t="inlineStr">
        <is>
          <t>Real Estate Services</t>
        </is>
      </c>
      <c r="D393" s="20" t="inlineStr">
        <is>
          <t>United States</t>
        </is>
      </c>
      <c r="E393" s="21" t="n">
        <v>35.06</v>
      </c>
      <c r="F393" s="22" t="n">
        <v>121.65</v>
      </c>
      <c r="G393" s="22" t="n">
        <v>172.83333</v>
      </c>
      <c r="H393" s="23">
        <f>IF(AND(ISNUMBER(F393),ISNUMBER(G393),F393&gt;0),G393/F393-1,"")</f>
        <v/>
      </c>
      <c r="I393" s="22" t="n">
        <v>141</v>
      </c>
      <c r="J393" s="23">
        <f>IF(AND(ISNUMBER(F393),ISNUMBER(I393),F393&gt;0),I393/F393-1,"")</f>
        <v/>
      </c>
      <c r="K393" s="22" t="n">
        <v>200</v>
      </c>
      <c r="L393" s="23">
        <f>IF(AND(ISNUMBER(F393),ISNUMBER(K393),F393&gt;0),K393/F393-1,"")</f>
        <v/>
      </c>
      <c r="M393" s="24" t="n">
        <v>12</v>
      </c>
      <c r="N393" s="25" t="n"/>
      <c r="O393" s="26">
        <f>IF(AND(ISNUMBER(F393),ISNUMBER(N393),F393&gt;0),N393/F393,"")</f>
        <v/>
      </c>
      <c r="P393" s="27" t="n"/>
      <c r="Q393" s="27" t="n">
        <v>46317</v>
      </c>
      <c r="R393" s="25" t="n">
        <v>4.67</v>
      </c>
      <c r="S393" s="28">
        <f>IF(AND(ISNUMBER(F393),ISNUMBER(R393),R393&gt;0),F393/R393,"")</f>
        <v/>
      </c>
      <c r="T393" s="27" t="n">
        <v>46323</v>
      </c>
    </row>
    <row r="394">
      <c r="A394" s="11" t="inlineStr">
        <is>
          <t>CLS</t>
        </is>
      </c>
      <c r="B394" s="11" t="inlineStr">
        <is>
          <t>Celestica, Inc.</t>
        </is>
      </c>
      <c r="C394" s="11" t="inlineStr">
        <is>
          <t>Electronic Components</t>
        </is>
      </c>
      <c r="D394" s="11" t="inlineStr">
        <is>
          <t>Canada</t>
        </is>
      </c>
      <c r="E394" s="12" t="n">
        <v>34.87</v>
      </c>
      <c r="F394" s="13" t="n">
        <v>276.54</v>
      </c>
      <c r="G394" s="13" t="n">
        <v>468.35876</v>
      </c>
      <c r="H394" s="14">
        <f>IF(AND(ISNUMBER(F394),ISNUMBER(G394),F394&gt;0),G394/F394-1,"")</f>
        <v/>
      </c>
      <c r="I394" s="13" t="n">
        <v>375</v>
      </c>
      <c r="J394" s="14">
        <f>IF(AND(ISNUMBER(F394),ISNUMBER(I394),F394&gt;0),I394/F394-1,"")</f>
        <v/>
      </c>
      <c r="K394" s="13" t="n">
        <v>550</v>
      </c>
      <c r="L394" s="14">
        <f>IF(AND(ISNUMBER(F394),ISNUMBER(K394),F394&gt;0),K394/F394-1,"")</f>
        <v/>
      </c>
      <c r="M394" s="15" t="n">
        <v>18</v>
      </c>
      <c r="N394" s="16" t="n"/>
      <c r="O394" s="17">
        <f>IF(AND(ISNUMBER(F394),ISNUMBER(N394),F394&gt;0),N394/F394,"")</f>
        <v/>
      </c>
      <c r="P394" s="18" t="n"/>
      <c r="Q394" s="18" t="n">
        <v>46321</v>
      </c>
      <c r="R394" s="16" t="n">
        <v>9.630000000000001</v>
      </c>
      <c r="S394" s="19">
        <f>IF(AND(ISNUMBER(F394),ISNUMBER(R394),R394&gt;0),F394/R394,"")</f>
        <v/>
      </c>
      <c r="T394" s="18" t="n">
        <v>46323</v>
      </c>
    </row>
    <row r="395">
      <c r="A395" s="20" t="inlineStr">
        <is>
          <t>AXON</t>
        </is>
      </c>
      <c r="B395" s="20" t="inlineStr">
        <is>
          <t>Axon Enterprise, Inc.</t>
        </is>
      </c>
      <c r="C395" s="20" t="inlineStr">
        <is>
          <t>Aerospace &amp; Defense</t>
        </is>
      </c>
      <c r="D395" s="20" t="inlineStr">
        <is>
          <t>United States</t>
        </is>
      </c>
      <c r="E395" s="21" t="n">
        <v>34.6</v>
      </c>
      <c r="F395" s="22" t="n">
        <v>425.87</v>
      </c>
      <c r="G395" s="22" t="n">
        <v>680.3684</v>
      </c>
      <c r="H395" s="23">
        <f>IF(AND(ISNUMBER(F395),ISNUMBER(G395),F395&gt;0),G395/F395-1,"")</f>
        <v/>
      </c>
      <c r="I395" s="22" t="n">
        <v>440</v>
      </c>
      <c r="J395" s="23">
        <f>IF(AND(ISNUMBER(F395),ISNUMBER(I395),F395&gt;0),I395/F395-1,"")</f>
        <v/>
      </c>
      <c r="K395" s="22" t="n">
        <v>830</v>
      </c>
      <c r="L395" s="23">
        <f>IF(AND(ISNUMBER(F395),ISNUMBER(K395),F395&gt;0),K395/F395-1,"")</f>
        <v/>
      </c>
      <c r="M395" s="24" t="n">
        <v>19</v>
      </c>
      <c r="N395" s="25" t="n"/>
      <c r="O395" s="26">
        <f>IF(AND(ISNUMBER(F395),ISNUMBER(N395),F395&gt;0),N395/F395,"")</f>
        <v/>
      </c>
      <c r="P395" s="27" t="n"/>
      <c r="Q395" s="27" t="n">
        <v>46331</v>
      </c>
      <c r="R395" s="25" t="n">
        <v>2.41</v>
      </c>
      <c r="S395" s="28">
        <f>IF(AND(ISNUMBER(F395),ISNUMBER(R395),R395&gt;0),F395/R395,"")</f>
        <v/>
      </c>
      <c r="T395" s="27" t="n">
        <v>46323</v>
      </c>
    </row>
    <row r="396">
      <c r="A396" s="11" t="inlineStr">
        <is>
          <t>JD</t>
        </is>
      </c>
      <c r="B396" s="11" t="inlineStr">
        <is>
          <t>JD.com, Inc.</t>
        </is>
      </c>
      <c r="C396" s="11" t="inlineStr">
        <is>
          <t>Internet Retail</t>
        </is>
      </c>
      <c r="D396" s="11" t="inlineStr">
        <is>
          <t>China</t>
        </is>
      </c>
      <c r="E396" s="12" t="n">
        <v>34.53</v>
      </c>
      <c r="F396" s="13" t="n">
        <v>25.57</v>
      </c>
      <c r="G396" s="13" t="n">
        <v>39.04499</v>
      </c>
      <c r="H396" s="14">
        <f>IF(AND(ISNUMBER(F396),ISNUMBER(G396),F396&gt;0),G396/F396-1,"")</f>
        <v/>
      </c>
      <c r="I396" s="13" t="n">
        <v>25.10207</v>
      </c>
      <c r="J396" s="14">
        <f>IF(AND(ISNUMBER(F396),ISNUMBER(I396),F396&gt;0),I396/F396-1,"")</f>
        <v/>
      </c>
      <c r="K396" s="13" t="n">
        <v>58.263657</v>
      </c>
      <c r="L396" s="14">
        <f>IF(AND(ISNUMBER(F396),ISNUMBER(K396),F396&gt;0),K396/F396-1,"")</f>
        <v/>
      </c>
      <c r="M396" s="15" t="n">
        <v>35</v>
      </c>
      <c r="N396" s="16" t="n">
        <v>1</v>
      </c>
      <c r="O396" s="17">
        <f>IF(AND(ISNUMBER(F396),ISNUMBER(N396),F396&gt;0),N396/F396,"")</f>
        <v/>
      </c>
      <c r="P396" s="18" t="n">
        <v>46121</v>
      </c>
      <c r="Q396" s="18" t="n">
        <v>46338</v>
      </c>
      <c r="R396" s="16" t="n">
        <v>1.43</v>
      </c>
      <c r="S396" s="19">
        <f>IF(AND(ISNUMBER(F396),ISNUMBER(R396),R396&gt;0),F396/R396,"")</f>
        <v/>
      </c>
      <c r="T396" s="18" t="n">
        <v>46323</v>
      </c>
    </row>
    <row r="397">
      <c r="A397" s="20" t="inlineStr">
        <is>
          <t>VG</t>
        </is>
      </c>
      <c r="B397" s="20" t="inlineStr">
        <is>
          <t>Venture Global, Inc.</t>
        </is>
      </c>
      <c r="C397" s="20" t="inlineStr">
        <is>
          <t>Oil &amp; Gas Midstream</t>
        </is>
      </c>
      <c r="D397" s="20" t="inlineStr">
        <is>
          <t>United States</t>
        </is>
      </c>
      <c r="E397" s="21" t="n">
        <v>34.53</v>
      </c>
      <c r="F397" s="22" t="n">
        <v>13.81</v>
      </c>
      <c r="G397" s="22" t="n">
        <v>17.22222</v>
      </c>
      <c r="H397" s="23">
        <f>IF(AND(ISNUMBER(F397),ISNUMBER(G397),F397&gt;0),G397/F397-1,"")</f>
        <v/>
      </c>
      <c r="I397" s="22" t="n">
        <v>14</v>
      </c>
      <c r="J397" s="23">
        <f>IF(AND(ISNUMBER(F397),ISNUMBER(I397),F397&gt;0),I397/F397-1,"")</f>
        <v/>
      </c>
      <c r="K397" s="22" t="n">
        <v>22</v>
      </c>
      <c r="L397" s="23">
        <f>IF(AND(ISNUMBER(F397),ISNUMBER(K397),F397&gt;0),K397/F397-1,"")</f>
        <v/>
      </c>
      <c r="M397" s="24" t="n">
        <v>18</v>
      </c>
      <c r="N397" s="25" t="n">
        <v>0.16</v>
      </c>
      <c r="O397" s="26">
        <f>IF(AND(ISNUMBER(F397),ISNUMBER(N397),F397&gt;0),N397/F397,"")</f>
        <v/>
      </c>
      <c r="P397" s="27" t="n">
        <v>46280</v>
      </c>
      <c r="Q397" s="27" t="n">
        <v>46336</v>
      </c>
      <c r="R397" s="25" t="n">
        <v>1.27</v>
      </c>
      <c r="S397" s="28">
        <f>IF(AND(ISNUMBER(F397),ISNUMBER(R397),R397&gt;0),F397/R397,"")</f>
        <v/>
      </c>
      <c r="T397" s="27" t="n">
        <v>46323</v>
      </c>
    </row>
    <row r="398">
      <c r="A398" s="11" t="inlineStr">
        <is>
          <t>IRM</t>
        </is>
      </c>
      <c r="B398" s="11" t="inlineStr">
        <is>
          <t>Iron Mountain Incorporated (Del</t>
        </is>
      </c>
      <c r="C398" s="11" t="inlineStr">
        <is>
          <t>Reit - Specialty</t>
        </is>
      </c>
      <c r="D398" s="11" t="inlineStr">
        <is>
          <t>United States</t>
        </is>
      </c>
      <c r="E398" s="12" t="n">
        <v>34.34</v>
      </c>
      <c r="F398" s="13" t="n">
        <v>115.34</v>
      </c>
      <c r="G398" s="13" t="n">
        <v>144</v>
      </c>
      <c r="H398" s="14">
        <f>IF(AND(ISNUMBER(F398),ISNUMBER(G398),F398&gt;0),G398/F398-1,"")</f>
        <v/>
      </c>
      <c r="I398" s="13" t="n">
        <v>132</v>
      </c>
      <c r="J398" s="14">
        <f>IF(AND(ISNUMBER(F398),ISNUMBER(I398),F398&gt;0),I398/F398-1,"")</f>
        <v/>
      </c>
      <c r="K398" s="13" t="n">
        <v>155</v>
      </c>
      <c r="L398" s="14">
        <f>IF(AND(ISNUMBER(F398),ISNUMBER(K398),F398&gt;0),K398/F398-1,"")</f>
        <v/>
      </c>
      <c r="M398" s="15" t="n">
        <v>11</v>
      </c>
      <c r="N398" s="16" t="n">
        <v>3.46</v>
      </c>
      <c r="O398" s="17">
        <f>IF(AND(ISNUMBER(F398),ISNUMBER(N398),F398&gt;0),N398/F398,"")</f>
        <v/>
      </c>
      <c r="P398" s="18" t="n">
        <v>46280</v>
      </c>
      <c r="Q398" s="18" t="n">
        <v>46331</v>
      </c>
      <c r="R398" s="16" t="n">
        <v>1.4</v>
      </c>
      <c r="S398" s="19">
        <f>IF(AND(ISNUMBER(F398),ISNUMBER(R398),R398&gt;0),F398/R398,"")</f>
        <v/>
      </c>
      <c r="T398" s="18" t="n">
        <v>46323</v>
      </c>
    </row>
    <row r="399">
      <c r="A399" s="20" t="inlineStr">
        <is>
          <t>ACGL</t>
        </is>
      </c>
      <c r="B399" s="20" t="inlineStr">
        <is>
          <t>Arch Capital Group Ltd.</t>
        </is>
      </c>
      <c r="C399" s="20" t="inlineStr">
        <is>
          <t>Insurance - Diversified</t>
        </is>
      </c>
      <c r="D399" s="20" t="inlineStr">
        <is>
          <t>Bermuda</t>
        </is>
      </c>
      <c r="E399" s="21" t="n">
        <v>34.24</v>
      </c>
      <c r="F399" s="22" t="n">
        <v>100.34</v>
      </c>
      <c r="G399" s="22" t="n">
        <v>110.13158</v>
      </c>
      <c r="H399" s="23">
        <f>IF(AND(ISNUMBER(F399),ISNUMBER(G399),F399&gt;0),G399/F399-1,"")</f>
        <v/>
      </c>
      <c r="I399" s="22" t="n">
        <v>95</v>
      </c>
      <c r="J399" s="23">
        <f>IF(AND(ISNUMBER(F399),ISNUMBER(I399),F399&gt;0),I399/F399-1,"")</f>
        <v/>
      </c>
      <c r="K399" s="22" t="n">
        <v>131</v>
      </c>
      <c r="L399" s="23">
        <f>IF(AND(ISNUMBER(F399),ISNUMBER(K399),F399&gt;0),K399/F399-1,"")</f>
        <v/>
      </c>
      <c r="M399" s="24" t="n">
        <v>19</v>
      </c>
      <c r="N399" s="25" t="n"/>
      <c r="O399" s="26">
        <f>IF(AND(ISNUMBER(F399),ISNUMBER(N399),F399&gt;0),N399/F399,"")</f>
        <v/>
      </c>
      <c r="P399" s="27" t="n"/>
      <c r="Q399" s="27" t="n">
        <v>46322</v>
      </c>
      <c r="R399" s="25" t="n">
        <v>12.78</v>
      </c>
      <c r="S399" s="28">
        <f>IF(AND(ISNUMBER(F399),ISNUMBER(R399),R399&gt;0),F399/R399,"")</f>
        <v/>
      </c>
      <c r="T399" s="27" t="n">
        <v>46323</v>
      </c>
    </row>
    <row r="400">
      <c r="A400" s="11" t="inlineStr">
        <is>
          <t>UAL</t>
        </is>
      </c>
      <c r="B400" s="11" t="inlineStr">
        <is>
          <t>United Airlines Holdings, Inc.</t>
        </is>
      </c>
      <c r="C400" s="11" t="inlineStr">
        <is>
          <t>Airlines</t>
        </is>
      </c>
      <c r="D400" s="11" t="inlineStr">
        <is>
          <t>United States</t>
        </is>
      </c>
      <c r="E400" s="12" t="n">
        <v>34.02</v>
      </c>
      <c r="F400" s="13" t="n">
        <v>104.71</v>
      </c>
      <c r="G400" s="13" t="n">
        <v>150.08696</v>
      </c>
      <c r="H400" s="14">
        <f>IF(AND(ISNUMBER(F400),ISNUMBER(G400),F400&gt;0),G400/F400-1,"")</f>
        <v/>
      </c>
      <c r="I400" s="13" t="n">
        <v>98</v>
      </c>
      <c r="J400" s="14">
        <f>IF(AND(ISNUMBER(F400),ISNUMBER(I400),F400&gt;0),I400/F400-1,"")</f>
        <v/>
      </c>
      <c r="K400" s="13" t="n">
        <v>203</v>
      </c>
      <c r="L400" s="14">
        <f>IF(AND(ISNUMBER(F400),ISNUMBER(K400),F400&gt;0),K400/F400-1,"")</f>
        <v/>
      </c>
      <c r="M400" s="15" t="n">
        <v>23</v>
      </c>
      <c r="N400" s="16" t="n"/>
      <c r="O400" s="17">
        <f>IF(AND(ISNUMBER(F400),ISNUMBER(N400),F400&gt;0),N400/F400,"")</f>
        <v/>
      </c>
      <c r="P400" s="18" t="n"/>
      <c r="Q400" s="18" t="n">
        <v>46315</v>
      </c>
      <c r="R400" s="16" t="n">
        <v>10.92</v>
      </c>
      <c r="S400" s="19">
        <f>IF(AND(ISNUMBER(F400),ISNUMBER(R400),R400&gt;0),F400/R400,"")</f>
        <v/>
      </c>
      <c r="T400" s="18" t="n">
        <v>46323</v>
      </c>
    </row>
    <row r="401">
      <c r="A401" s="20" t="inlineStr">
        <is>
          <t>CNC</t>
        </is>
      </c>
      <c r="B401" s="20" t="inlineStr">
        <is>
          <t>Centene Corporation</t>
        </is>
      </c>
      <c r="C401" s="20" t="inlineStr">
        <is>
          <t>Healthcare Plans</t>
        </is>
      </c>
      <c r="D401" s="20" t="inlineStr">
        <is>
          <t>United States</t>
        </is>
      </c>
      <c r="E401" s="21" t="n">
        <v>33.94</v>
      </c>
      <c r="F401" s="22" t="n">
        <v>68.70999999999999</v>
      </c>
      <c r="G401" s="22" t="n">
        <v>71.77778000000001</v>
      </c>
      <c r="H401" s="23">
        <f>IF(AND(ISNUMBER(F401),ISNUMBER(G401),F401&gt;0),G401/F401-1,"")</f>
        <v/>
      </c>
      <c r="I401" s="22" t="n">
        <v>56</v>
      </c>
      <c r="J401" s="23">
        <f>IF(AND(ISNUMBER(F401),ISNUMBER(I401),F401&gt;0),I401/F401-1,"")</f>
        <v/>
      </c>
      <c r="K401" s="22" t="n">
        <v>85</v>
      </c>
      <c r="L401" s="23">
        <f>IF(AND(ISNUMBER(F401),ISNUMBER(K401),F401&gt;0),K401/F401-1,"")</f>
        <v/>
      </c>
      <c r="M401" s="24" t="n">
        <v>18</v>
      </c>
      <c r="N401" s="25" t="n"/>
      <c r="O401" s="26">
        <f>IF(AND(ISNUMBER(F401),ISNUMBER(N401),F401&gt;0),N401/F401,"")</f>
        <v/>
      </c>
      <c r="P401" s="27" t="n"/>
      <c r="Q401" s="27" t="n">
        <v>46322</v>
      </c>
      <c r="R401" s="25" t="n">
        <v>-10.44</v>
      </c>
      <c r="S401" s="28">
        <f>IF(AND(ISNUMBER(F401),ISNUMBER(R401),R401&gt;0),F401/R401,"")</f>
        <v/>
      </c>
      <c r="T401" s="27" t="n">
        <v>46323</v>
      </c>
    </row>
    <row r="402">
      <c r="A402" s="11" t="inlineStr">
        <is>
          <t>CBOE</t>
        </is>
      </c>
      <c r="B402" s="11" t="inlineStr">
        <is>
          <t>Cboe Global Markets, Inc.</t>
        </is>
      </c>
      <c r="C402" s="11" t="inlineStr">
        <is>
          <t>Financial Data &amp; Stock Exchanges</t>
        </is>
      </c>
      <c r="D402" s="11" t="inlineStr">
        <is>
          <t>United States</t>
        </is>
      </c>
      <c r="E402" s="12" t="n">
        <v>33.91</v>
      </c>
      <c r="F402" s="13" t="n">
        <v>324.68</v>
      </c>
      <c r="G402" s="13" t="n">
        <v>328.46667</v>
      </c>
      <c r="H402" s="14">
        <f>IF(AND(ISNUMBER(F402),ISNUMBER(G402),F402&gt;0),G402/F402-1,"")</f>
        <v/>
      </c>
      <c r="I402" s="13" t="n">
        <v>288</v>
      </c>
      <c r="J402" s="14">
        <f>IF(AND(ISNUMBER(F402),ISNUMBER(I402),F402&gt;0),I402/F402-1,"")</f>
        <v/>
      </c>
      <c r="K402" s="13" t="n">
        <v>450</v>
      </c>
      <c r="L402" s="14">
        <f>IF(AND(ISNUMBER(F402),ISNUMBER(K402),F402&gt;0),K402/F402-1,"")</f>
        <v/>
      </c>
      <c r="M402" s="15" t="n">
        <v>15</v>
      </c>
      <c r="N402" s="16" t="n">
        <v>3.44</v>
      </c>
      <c r="O402" s="17">
        <f>IF(AND(ISNUMBER(F402),ISNUMBER(N402),F402&gt;0),N402/F402,"")</f>
        <v/>
      </c>
      <c r="P402" s="18" t="n">
        <v>46356</v>
      </c>
      <c r="Q402" s="18" t="n">
        <v>46325</v>
      </c>
      <c r="R402" s="16" t="n">
        <v>12.83</v>
      </c>
      <c r="S402" s="19">
        <f>IF(AND(ISNUMBER(F402),ISNUMBER(R402),R402&gt;0),F402/R402,"")</f>
        <v/>
      </c>
      <c r="T402" s="18" t="n">
        <v>46323</v>
      </c>
    </row>
    <row r="403">
      <c r="A403" s="20" t="inlineStr">
        <is>
          <t>QSR</t>
        </is>
      </c>
      <c r="B403" s="20" t="inlineStr">
        <is>
          <t>Restaurant Brands International</t>
        </is>
      </c>
      <c r="C403" s="20" t="inlineStr">
        <is>
          <t>Restaurants</t>
        </is>
      </c>
      <c r="D403" s="20" t="inlineStr">
        <is>
          <t>United States</t>
        </is>
      </c>
      <c r="E403" s="21" t="n">
        <v>33.9</v>
      </c>
      <c r="F403" s="22" t="n">
        <v>73.98999999999999</v>
      </c>
      <c r="G403" s="22" t="n">
        <v>85.76000000000001</v>
      </c>
      <c r="H403" s="23">
        <f>IF(AND(ISNUMBER(F403),ISNUMBER(G403),F403&gt;0),G403/F403-1,"")</f>
        <v/>
      </c>
      <c r="I403" s="22" t="n">
        <v>76</v>
      </c>
      <c r="J403" s="23">
        <f>IF(AND(ISNUMBER(F403),ISNUMBER(I403),F403&gt;0),I403/F403-1,"")</f>
        <v/>
      </c>
      <c r="K403" s="22" t="n">
        <v>104</v>
      </c>
      <c r="L403" s="23">
        <f>IF(AND(ISNUMBER(F403),ISNUMBER(K403),F403&gt;0),K403/F403-1,"")</f>
        <v/>
      </c>
      <c r="M403" s="24" t="n">
        <v>25</v>
      </c>
      <c r="N403" s="25" t="n">
        <v>2.6</v>
      </c>
      <c r="O403" s="26">
        <f>IF(AND(ISNUMBER(F403),ISNUMBER(N403),F403&gt;0),N403/F403,"")</f>
        <v/>
      </c>
      <c r="P403" s="27" t="n">
        <v>46283</v>
      </c>
      <c r="Q403" s="27" t="n">
        <v>46324</v>
      </c>
      <c r="R403" s="25" t="n">
        <v>3.93</v>
      </c>
      <c r="S403" s="28">
        <f>IF(AND(ISNUMBER(F403),ISNUMBER(R403),R403&gt;0),F403/R403,"")</f>
        <v/>
      </c>
      <c r="T403" s="27" t="n">
        <v>46323</v>
      </c>
    </row>
    <row r="404">
      <c r="A404" s="11" t="inlineStr">
        <is>
          <t>MTD</t>
        </is>
      </c>
      <c r="B404" s="11" t="inlineStr">
        <is>
          <t>Mettler-Toledo International, I</t>
        </is>
      </c>
      <c r="C404" s="11" t="inlineStr">
        <is>
          <t>Diagnostics &amp; Research</t>
        </is>
      </c>
      <c r="D404" s="11" t="inlineStr">
        <is>
          <t>Switzerland</t>
        </is>
      </c>
      <c r="E404" s="12" t="n">
        <v>33.77</v>
      </c>
      <c r="F404" s="13" t="n">
        <v>1685.32</v>
      </c>
      <c r="G404" s="13" t="n">
        <v>1525.6666</v>
      </c>
      <c r="H404" s="14">
        <f>IF(AND(ISNUMBER(F404),ISNUMBER(G404),F404&gt;0),G404/F404-1,"")</f>
        <v/>
      </c>
      <c r="I404" s="13" t="n">
        <v>1200</v>
      </c>
      <c r="J404" s="14">
        <f>IF(AND(ISNUMBER(F404),ISNUMBER(I404),F404&gt;0),I404/F404-1,"")</f>
        <v/>
      </c>
      <c r="K404" s="13" t="n">
        <v>1700</v>
      </c>
      <c r="L404" s="14">
        <f>IF(AND(ISNUMBER(F404),ISNUMBER(K404),F404&gt;0),K404/F404-1,"")</f>
        <v/>
      </c>
      <c r="M404" s="15" t="n">
        <v>12</v>
      </c>
      <c r="N404" s="16" t="n"/>
      <c r="O404" s="17">
        <f>IF(AND(ISNUMBER(F404),ISNUMBER(N404),F404&gt;0),N404/F404,"")</f>
        <v/>
      </c>
      <c r="P404" s="18" t="n"/>
      <c r="Q404" s="18" t="n">
        <v>46331</v>
      </c>
      <c r="R404" s="16" t="n">
        <v>44.37</v>
      </c>
      <c r="S404" s="19">
        <f>IF(AND(ISNUMBER(F404),ISNUMBER(R404),R404&gt;0),F404/R404,"")</f>
        <v/>
      </c>
      <c r="T404" s="18" t="n">
        <v>46323</v>
      </c>
    </row>
    <row r="405">
      <c r="A405" s="20" t="inlineStr">
        <is>
          <t>EXPGY</t>
        </is>
      </c>
      <c r="B405" s="20" t="inlineStr">
        <is>
          <t>Experian plc</t>
        </is>
      </c>
      <c r="C405" s="20" t="inlineStr">
        <is>
          <t>Consulting Services</t>
        </is>
      </c>
      <c r="D405" s="20" t="inlineStr">
        <is>
          <t>Ireland</t>
        </is>
      </c>
      <c r="E405" s="21" t="n">
        <v>33.67</v>
      </c>
      <c r="F405" s="22" t="n">
        <v>38.44</v>
      </c>
      <c r="G405" s="22" t="n">
        <v>43</v>
      </c>
      <c r="H405" s="23">
        <f>IF(AND(ISNUMBER(F405),ISNUMBER(G405),F405&gt;0),G405/F405-1,"")</f>
        <v/>
      </c>
      <c r="I405" s="22" t="n">
        <v>42</v>
      </c>
      <c r="J405" s="23">
        <f>IF(AND(ISNUMBER(F405),ISNUMBER(I405),F405&gt;0),I405/F405-1,"")</f>
        <v/>
      </c>
      <c r="K405" s="22" t="n">
        <v>44</v>
      </c>
      <c r="L405" s="23">
        <f>IF(AND(ISNUMBER(F405),ISNUMBER(K405),F405&gt;0),K405/F405-1,"")</f>
        <v/>
      </c>
      <c r="M405" s="24" t="n">
        <v>3</v>
      </c>
      <c r="N405" s="25" t="n">
        <v>0.6899999999999999</v>
      </c>
      <c r="O405" s="26">
        <f>IF(AND(ISNUMBER(F405),ISNUMBER(N405),F405&gt;0),N405/F405,"")</f>
        <v/>
      </c>
      <c r="P405" s="27" t="n">
        <v>46199</v>
      </c>
      <c r="Q405" s="27" t="n">
        <v>45791</v>
      </c>
      <c r="R405" s="25" t="n">
        <v>1.63</v>
      </c>
      <c r="S405" s="28">
        <f>IF(AND(ISNUMBER(F405),ISNUMBER(R405),R405&gt;0),F405/R405,"")</f>
        <v/>
      </c>
      <c r="T405" s="27" t="n">
        <v>46323</v>
      </c>
    </row>
    <row r="406">
      <c r="A406" s="11" t="inlineStr">
        <is>
          <t>ALC</t>
        </is>
      </c>
      <c r="B406" s="11" t="inlineStr">
        <is>
          <t>Alcon Inc.</t>
        </is>
      </c>
      <c r="C406" s="11" t="inlineStr">
        <is>
          <t>Medical Instruments &amp; Supplies</t>
        </is>
      </c>
      <c r="D406" s="11" t="inlineStr">
        <is>
          <t>Switzerland</t>
        </is>
      </c>
      <c r="E406" s="12" t="n">
        <v>33.56</v>
      </c>
      <c r="F406" s="13" t="n">
        <v>69.42</v>
      </c>
      <c r="G406" s="13" t="n">
        <v>82.48438</v>
      </c>
      <c r="H406" s="14">
        <f>IF(AND(ISNUMBER(F406),ISNUMBER(G406),F406&gt;0),G406/F406-1,"")</f>
        <v/>
      </c>
      <c r="I406" s="13" t="n">
        <v>62</v>
      </c>
      <c r="J406" s="14">
        <f>IF(AND(ISNUMBER(F406),ISNUMBER(I406),F406&gt;0),I406/F406-1,"")</f>
        <v/>
      </c>
      <c r="K406" s="13" t="n">
        <v>103</v>
      </c>
      <c r="L406" s="14">
        <f>IF(AND(ISNUMBER(F406),ISNUMBER(K406),F406&gt;0),K406/F406-1,"")</f>
        <v/>
      </c>
      <c r="M406" s="15" t="n">
        <v>16</v>
      </c>
      <c r="N406" s="16" t="n">
        <v>0.36</v>
      </c>
      <c r="O406" s="17">
        <f>IF(AND(ISNUMBER(F406),ISNUMBER(N406),F406&gt;0),N406/F406,"")</f>
        <v/>
      </c>
      <c r="P406" s="18" t="n">
        <v>46148</v>
      </c>
      <c r="Q406" s="18" t="n">
        <v>46336</v>
      </c>
      <c r="R406" s="16" t="n">
        <v>1.32</v>
      </c>
      <c r="S406" s="19">
        <f>IF(AND(ISNUMBER(F406),ISNUMBER(R406),R406&gt;0),F406/R406,"")</f>
        <v/>
      </c>
      <c r="T406" s="18" t="n">
        <v>46323</v>
      </c>
    </row>
    <row r="407">
      <c r="A407" s="20" t="inlineStr">
        <is>
          <t>RKT</t>
        </is>
      </c>
      <c r="B407" s="20" t="inlineStr">
        <is>
          <t>Rocket Companies, Inc.</t>
        </is>
      </c>
      <c r="C407" s="20" t="inlineStr">
        <is>
          <t>Mortgage Finance</t>
        </is>
      </c>
      <c r="D407" s="20" t="inlineStr">
        <is>
          <t>United States</t>
        </is>
      </c>
      <c r="E407" s="21" t="n">
        <v>33.53</v>
      </c>
      <c r="F407" s="22" t="n">
        <v>11.84</v>
      </c>
      <c r="G407" s="22" t="n">
        <v>15.77143</v>
      </c>
      <c r="H407" s="23">
        <f>IF(AND(ISNUMBER(F407),ISNUMBER(G407),F407&gt;0),G407/F407-1,"")</f>
        <v/>
      </c>
      <c r="I407" s="22" t="n">
        <v>12.5</v>
      </c>
      <c r="J407" s="23">
        <f>IF(AND(ISNUMBER(F407),ISNUMBER(I407),F407&gt;0),I407/F407-1,"")</f>
        <v/>
      </c>
      <c r="K407" s="22" t="n">
        <v>20</v>
      </c>
      <c r="L407" s="23">
        <f>IF(AND(ISNUMBER(F407),ISNUMBER(K407),F407&gt;0),K407/F407-1,"")</f>
        <v/>
      </c>
      <c r="M407" s="24" t="n">
        <v>14</v>
      </c>
      <c r="N407" s="25" t="n"/>
      <c r="O407" s="26">
        <f>IF(AND(ISNUMBER(F407),ISNUMBER(N407),F407&gt;0),N407/F407,"")</f>
        <v/>
      </c>
      <c r="P407" s="27" t="n"/>
      <c r="Q407" s="27" t="n">
        <v>46324</v>
      </c>
      <c r="R407" s="25" t="n"/>
      <c r="S407" s="28">
        <f>IF(AND(ISNUMBER(F407),ISNUMBER(R407),R407&gt;0),F407/R407,"")</f>
        <v/>
      </c>
      <c r="T407" s="27" t="n">
        <v>46323</v>
      </c>
    </row>
    <row r="408">
      <c r="A408" s="11" t="inlineStr">
        <is>
          <t>EXPE</t>
        </is>
      </c>
      <c r="B408" s="11" t="inlineStr">
        <is>
          <t>Expedia Group, Inc.</t>
        </is>
      </c>
      <c r="C408" s="11" t="inlineStr">
        <is>
          <t>Travel Services</t>
        </is>
      </c>
      <c r="D408" s="11" t="inlineStr">
        <is>
          <t>United States</t>
        </is>
      </c>
      <c r="E408" s="12" t="n">
        <v>33.38</v>
      </c>
      <c r="F408" s="13" t="n">
        <v>278.08</v>
      </c>
      <c r="G408" s="13" t="n">
        <v>337.79413</v>
      </c>
      <c r="H408" s="14">
        <f>IF(AND(ISNUMBER(F408),ISNUMBER(G408),F408&gt;0),G408/F408-1,"")</f>
        <v/>
      </c>
      <c r="I408" s="13" t="n">
        <v>235</v>
      </c>
      <c r="J408" s="14">
        <f>IF(AND(ISNUMBER(F408),ISNUMBER(I408),F408&gt;0),I408/F408-1,"")</f>
        <v/>
      </c>
      <c r="K408" s="13" t="n">
        <v>430</v>
      </c>
      <c r="L408" s="14">
        <f>IF(AND(ISNUMBER(F408),ISNUMBER(K408),F408&gt;0),K408/F408-1,"")</f>
        <v/>
      </c>
      <c r="M408" s="15" t="n">
        <v>34</v>
      </c>
      <c r="N408" s="16" t="n">
        <v>1.92</v>
      </c>
      <c r="O408" s="17">
        <f>IF(AND(ISNUMBER(F408),ISNUMBER(N408),F408&gt;0),N408/F408,"")</f>
        <v/>
      </c>
      <c r="P408" s="18" t="n">
        <v>46261</v>
      </c>
      <c r="Q408" s="18" t="n">
        <v>46330</v>
      </c>
      <c r="R408" s="16" t="n">
        <v>16.01</v>
      </c>
      <c r="S408" s="19">
        <f>IF(AND(ISNUMBER(F408),ISNUMBER(R408),R408&gt;0),F408/R408,"")</f>
        <v/>
      </c>
      <c r="T408" s="18" t="n">
        <v>46323</v>
      </c>
    </row>
    <row r="409">
      <c r="A409" s="20" t="inlineStr">
        <is>
          <t>NTR</t>
        </is>
      </c>
      <c r="B409" s="20" t="inlineStr">
        <is>
          <t>Nutrien Ltd.</t>
        </is>
      </c>
      <c r="C409" s="20" t="inlineStr">
        <is>
          <t>Agricultural Inputs</t>
        </is>
      </c>
      <c r="D409" s="20" t="inlineStr">
        <is>
          <t>Canada</t>
        </is>
      </c>
      <c r="E409" s="21" t="n">
        <v>33.1</v>
      </c>
      <c r="F409" s="22" t="n">
        <v>69.37</v>
      </c>
      <c r="G409" s="22" t="n">
        <v>77.30817999999999</v>
      </c>
      <c r="H409" s="23">
        <f>IF(AND(ISNUMBER(F409),ISNUMBER(G409),F409&gt;0),G409/F409-1,"")</f>
        <v/>
      </c>
      <c r="I409" s="22" t="n">
        <v>59</v>
      </c>
      <c r="J409" s="23">
        <f>IF(AND(ISNUMBER(F409),ISNUMBER(I409),F409&gt;0),I409/F409-1,"")</f>
        <v/>
      </c>
      <c r="K409" s="22" t="n">
        <v>90</v>
      </c>
      <c r="L409" s="23">
        <f>IF(AND(ISNUMBER(F409),ISNUMBER(K409),F409&gt;0),K409/F409-1,"")</f>
        <v/>
      </c>
      <c r="M409" s="24" t="n">
        <v>22</v>
      </c>
      <c r="N409" s="25" t="n">
        <v>2.2</v>
      </c>
      <c r="O409" s="26">
        <f>IF(AND(ISNUMBER(F409),ISNUMBER(N409),F409&gt;0),N409/F409,"")</f>
        <v/>
      </c>
      <c r="P409" s="27" t="n">
        <v>46294</v>
      </c>
      <c r="Q409" s="27" t="n">
        <v>46330</v>
      </c>
      <c r="R409" s="25" t="n">
        <v>4.94</v>
      </c>
      <c r="S409" s="28">
        <f>IF(AND(ISNUMBER(F409),ISNUMBER(R409),R409&gt;0),F409/R409,"")</f>
        <v/>
      </c>
      <c r="T409" s="27" t="n">
        <v>46323</v>
      </c>
    </row>
    <row r="410">
      <c r="A410" s="11" t="inlineStr">
        <is>
          <t>HSY</t>
        </is>
      </c>
      <c r="B410" s="11" t="inlineStr">
        <is>
          <t>The Hershey Company</t>
        </is>
      </c>
      <c r="C410" s="11" t="inlineStr">
        <is>
          <t>Confectioners</t>
        </is>
      </c>
      <c r="D410" s="11" t="inlineStr">
        <is>
          <t>United States</t>
        </is>
      </c>
      <c r="E410" s="12" t="n">
        <v>33.05</v>
      </c>
      <c r="F410" s="13" t="n">
        <v>164.51</v>
      </c>
      <c r="G410" s="13" t="n">
        <v>193.4762</v>
      </c>
      <c r="H410" s="14">
        <f>IF(AND(ISNUMBER(F410),ISNUMBER(G410),F410&gt;0),G410/F410-1,"")</f>
        <v/>
      </c>
      <c r="I410" s="13" t="n">
        <v>170</v>
      </c>
      <c r="J410" s="14">
        <f>IF(AND(ISNUMBER(F410),ISNUMBER(I410),F410&gt;0),I410/F410-1,"")</f>
        <v/>
      </c>
      <c r="K410" s="13" t="n">
        <v>238</v>
      </c>
      <c r="L410" s="14">
        <f>IF(AND(ISNUMBER(F410),ISNUMBER(K410),F410&gt;0),K410/F410-1,"")</f>
        <v/>
      </c>
      <c r="M410" s="15" t="n">
        <v>21</v>
      </c>
      <c r="N410" s="16" t="n">
        <v>5.81</v>
      </c>
      <c r="O410" s="17">
        <f>IF(AND(ISNUMBER(F410),ISNUMBER(N410),F410&gt;0),N410/F410,"")</f>
        <v/>
      </c>
      <c r="P410" s="18" t="n">
        <v>46248</v>
      </c>
      <c r="Q410" s="18" t="n">
        <v>46324</v>
      </c>
      <c r="R410" s="16" t="n">
        <v>7.32</v>
      </c>
      <c r="S410" s="19">
        <f>IF(AND(ISNUMBER(F410),ISNUMBER(R410),R410&gt;0),F410/R410,"")</f>
        <v/>
      </c>
      <c r="T410" s="18" t="n">
        <v>46323</v>
      </c>
    </row>
    <row r="411">
      <c r="A411" s="20" t="inlineStr">
        <is>
          <t>CRWV</t>
        </is>
      </c>
      <c r="B411" s="20" t="inlineStr">
        <is>
          <t>CoreWeave, Inc.</t>
        </is>
      </c>
      <c r="C411" s="20" t="inlineStr">
        <is>
          <t>Software - Infrastructure</t>
        </is>
      </c>
      <c r="D411" s="20" t="inlineStr">
        <is>
          <t>United States</t>
        </is>
      </c>
      <c r="E411" s="21" t="n">
        <v>32.86</v>
      </c>
      <c r="F411" s="22" t="n">
        <v>59.57</v>
      </c>
      <c r="G411" s="22" t="n">
        <v>134.57895</v>
      </c>
      <c r="H411" s="23">
        <f>IF(AND(ISNUMBER(F411),ISNUMBER(G411),F411&gt;0),G411/F411-1,"")</f>
        <v/>
      </c>
      <c r="I411" s="22" t="n">
        <v>39</v>
      </c>
      <c r="J411" s="23">
        <f>IF(AND(ISNUMBER(F411),ISNUMBER(I411),F411&gt;0),I411/F411-1,"")</f>
        <v/>
      </c>
      <c r="K411" s="22" t="n">
        <v>278</v>
      </c>
      <c r="L411" s="23">
        <f>IF(AND(ISNUMBER(F411),ISNUMBER(K411),F411&gt;0),K411/F411-1,"")</f>
        <v/>
      </c>
      <c r="M411" s="24" t="n">
        <v>38</v>
      </c>
      <c r="N411" s="25" t="n"/>
      <c r="O411" s="26">
        <f>IF(AND(ISNUMBER(F411),ISNUMBER(N411),F411&gt;0),N411/F411,"")</f>
        <v/>
      </c>
      <c r="P411" s="27" t="n"/>
      <c r="Q411" s="27" t="n">
        <v>46336</v>
      </c>
      <c r="R411" s="25" t="n">
        <v>-3.69</v>
      </c>
      <c r="S411" s="28">
        <f>IF(AND(ISNUMBER(F411),ISNUMBER(R411),R411&gt;0),F411/R411,"")</f>
        <v/>
      </c>
      <c r="T411" s="27" t="n">
        <v>46323</v>
      </c>
    </row>
    <row r="412">
      <c r="A412" s="11" t="inlineStr">
        <is>
          <t>TKO</t>
        </is>
      </c>
      <c r="B412" s="11" t="inlineStr">
        <is>
          <t>TKO Group Holdings, Inc.</t>
        </is>
      </c>
      <c r="C412" s="11" t="inlineStr">
        <is>
          <t>Entertainment</t>
        </is>
      </c>
      <c r="D412" s="11" t="inlineStr">
        <is>
          <t>United States</t>
        </is>
      </c>
      <c r="E412" s="12" t="n">
        <v>32.59</v>
      </c>
      <c r="F412" s="13" t="n">
        <v>172.18</v>
      </c>
      <c r="G412" s="13" t="n">
        <v>231.63158</v>
      </c>
      <c r="H412" s="14">
        <f>IF(AND(ISNUMBER(F412),ISNUMBER(G412),F412&gt;0),G412/F412-1,"")</f>
        <v/>
      </c>
      <c r="I412" s="13" t="n">
        <v>208</v>
      </c>
      <c r="J412" s="14">
        <f>IF(AND(ISNUMBER(F412),ISNUMBER(I412),F412&gt;0),I412/F412-1,"")</f>
        <v/>
      </c>
      <c r="K412" s="13" t="n">
        <v>250</v>
      </c>
      <c r="L412" s="14">
        <f>IF(AND(ISNUMBER(F412),ISNUMBER(K412),F412&gt;0),K412/F412-1,"")</f>
        <v/>
      </c>
      <c r="M412" s="15" t="n">
        <v>19</v>
      </c>
      <c r="N412" s="16" t="n">
        <v>3.16</v>
      </c>
      <c r="O412" s="17">
        <f>IF(AND(ISNUMBER(F412),ISNUMBER(N412),F412&gt;0),N412/F412,"")</f>
        <v/>
      </c>
      <c r="P412" s="18" t="n">
        <v>46280</v>
      </c>
      <c r="Q412" s="18" t="n">
        <v>46330</v>
      </c>
      <c r="R412" s="16" t="n">
        <v>2.86</v>
      </c>
      <c r="S412" s="19">
        <f>IF(AND(ISNUMBER(F412),ISNUMBER(R412),R412&gt;0),F412/R412,"")</f>
        <v/>
      </c>
      <c r="T412" s="18" t="n">
        <v>46323</v>
      </c>
    </row>
    <row r="413">
      <c r="A413" s="20" t="inlineStr">
        <is>
          <t>GEHC</t>
        </is>
      </c>
      <c r="B413" s="20" t="inlineStr">
        <is>
          <t>GE HealthCare Technologies Inc.</t>
        </is>
      </c>
      <c r="C413" s="20" t="inlineStr">
        <is>
          <t>Medical Devices</t>
        </is>
      </c>
      <c r="D413" s="20" t="inlineStr">
        <is>
          <t>United States</t>
        </is>
      </c>
      <c r="E413" s="21" t="n">
        <v>32.12</v>
      </c>
      <c r="F413" s="22" t="n">
        <v>71.11</v>
      </c>
      <c r="G413" s="22" t="n">
        <v>82.7</v>
      </c>
      <c r="H413" s="23">
        <f>IF(AND(ISNUMBER(F413),ISNUMBER(G413),F413&gt;0),G413/F413-1,"")</f>
        <v/>
      </c>
      <c r="I413" s="22" t="n">
        <v>70</v>
      </c>
      <c r="J413" s="23">
        <f>IF(AND(ISNUMBER(F413),ISNUMBER(I413),F413&gt;0),I413/F413-1,"")</f>
        <v/>
      </c>
      <c r="K413" s="22" t="n">
        <v>96</v>
      </c>
      <c r="L413" s="23">
        <f>IF(AND(ISNUMBER(F413),ISNUMBER(K413),F413&gt;0),K413/F413-1,"")</f>
        <v/>
      </c>
      <c r="M413" s="24" t="n">
        <v>20</v>
      </c>
      <c r="N413" s="25" t="n">
        <v>0.16</v>
      </c>
      <c r="O413" s="26">
        <f>IF(AND(ISNUMBER(F413),ISNUMBER(N413),F413&gt;0),N413/F413,"")</f>
        <v/>
      </c>
      <c r="P413" s="27" t="n">
        <v>46318</v>
      </c>
      <c r="Q413" s="27" t="n">
        <v>46323</v>
      </c>
      <c r="R413" s="25" t="n">
        <v>4.35</v>
      </c>
      <c r="S413" s="28">
        <f>IF(AND(ISNUMBER(F413),ISNUMBER(R413),R413&gt;0),F413/R413,"")</f>
        <v/>
      </c>
      <c r="T413" s="27" t="n">
        <v>46323</v>
      </c>
    </row>
    <row r="414">
      <c r="A414" s="11" t="inlineStr">
        <is>
          <t>ADRNY</t>
        </is>
      </c>
      <c r="B414" s="11" t="inlineStr">
        <is>
          <t>Koninklijke Ahold Delhaize N.V.</t>
        </is>
      </c>
      <c r="C414" s="11" t="inlineStr">
        <is>
          <t>Grocery Stores</t>
        </is>
      </c>
      <c r="D414" s="11" t="inlineStr">
        <is>
          <t>Netherlands</t>
        </is>
      </c>
      <c r="E414" s="12" t="n">
        <v>32.11</v>
      </c>
      <c r="F414" s="13" t="n">
        <v>36.78</v>
      </c>
      <c r="G414" s="13" t="n">
        <v>48.4</v>
      </c>
      <c r="H414" s="14">
        <f>IF(AND(ISNUMBER(F414),ISNUMBER(G414),F414&gt;0),G414/F414-1,"")</f>
        <v/>
      </c>
      <c r="I414" s="13" t="n">
        <v>45.1</v>
      </c>
      <c r="J414" s="14">
        <f>IF(AND(ISNUMBER(F414),ISNUMBER(I414),F414&gt;0),I414/F414-1,"")</f>
        <v/>
      </c>
      <c r="K414" s="13" t="n">
        <v>51.7</v>
      </c>
      <c r="L414" s="14">
        <f>IF(AND(ISNUMBER(F414),ISNUMBER(K414),F414&gt;0),K414/F414-1,"")</f>
        <v/>
      </c>
      <c r="M414" s="15" t="n">
        <v>2</v>
      </c>
      <c r="N414" s="16" t="n">
        <v>1.46</v>
      </c>
      <c r="O414" s="17">
        <f>IF(AND(ISNUMBER(F414),ISNUMBER(N414),F414&gt;0),N414/F414,"")</f>
        <v/>
      </c>
      <c r="P414" s="18" t="n">
        <v>46251</v>
      </c>
      <c r="Q414" s="18" t="n">
        <v>46330</v>
      </c>
      <c r="R414" s="16" t="n">
        <v>2.94</v>
      </c>
      <c r="S414" s="19">
        <f>IF(AND(ISNUMBER(F414),ISNUMBER(R414),R414&gt;0),F414/R414,"")</f>
        <v/>
      </c>
      <c r="T414" s="18" t="n">
        <v>46323</v>
      </c>
    </row>
    <row r="415">
      <c r="A415" s="20" t="inlineStr">
        <is>
          <t>EXR</t>
        </is>
      </c>
      <c r="B415" s="20" t="inlineStr">
        <is>
          <t>Extra Space Storage Inc</t>
        </is>
      </c>
      <c r="C415" s="20" t="inlineStr">
        <is>
          <t>Reit - Industrial</t>
        </is>
      </c>
      <c r="D415" s="20" t="inlineStr">
        <is>
          <t>United States</t>
        </is>
      </c>
      <c r="E415" s="21" t="n">
        <v>31.9</v>
      </c>
      <c r="F415" s="22" t="n">
        <v>144.55</v>
      </c>
      <c r="G415" s="22" t="n">
        <v>156.5</v>
      </c>
      <c r="H415" s="23">
        <f>IF(AND(ISNUMBER(F415),ISNUMBER(G415),F415&gt;0),G415/F415-1,"")</f>
        <v/>
      </c>
      <c r="I415" s="22" t="n">
        <v>140</v>
      </c>
      <c r="J415" s="23">
        <f>IF(AND(ISNUMBER(F415),ISNUMBER(I415),F415&gt;0),I415/F415-1,"")</f>
        <v/>
      </c>
      <c r="K415" s="22" t="n">
        <v>178</v>
      </c>
      <c r="L415" s="23">
        <f>IF(AND(ISNUMBER(F415),ISNUMBER(K415),F415&gt;0),K415/F415-1,"")</f>
        <v/>
      </c>
      <c r="M415" s="24" t="n">
        <v>20</v>
      </c>
      <c r="N415" s="25" t="n">
        <v>6.48</v>
      </c>
      <c r="O415" s="26">
        <f>IF(AND(ISNUMBER(F415),ISNUMBER(N415),F415&gt;0),N415/F415,"")</f>
        <v/>
      </c>
      <c r="P415" s="27" t="n">
        <v>46280</v>
      </c>
      <c r="Q415" s="27" t="n">
        <v>46322</v>
      </c>
      <c r="R415" s="25" t="n">
        <v>4.53</v>
      </c>
      <c r="S415" s="28">
        <f>IF(AND(ISNUMBER(F415),ISNUMBER(R415),R415&gt;0),F415/R415,"")</f>
        <v/>
      </c>
      <c r="T415" s="27" t="n">
        <v>46323</v>
      </c>
    </row>
    <row r="416">
      <c r="A416" s="11" t="inlineStr">
        <is>
          <t>GFI</t>
        </is>
      </c>
      <c r="B416" s="11" t="inlineStr">
        <is>
          <t>Gold Fields Limited</t>
        </is>
      </c>
      <c r="C416" s="11" t="inlineStr">
        <is>
          <t>Gold</t>
        </is>
      </c>
      <c r="D416" s="11" t="inlineStr">
        <is>
          <t>South Africa</t>
        </is>
      </c>
      <c r="E416" s="12" t="n">
        <v>31.83</v>
      </c>
      <c r="F416" s="13" t="n">
        <v>35.73</v>
      </c>
      <c r="G416" s="13" t="n">
        <v>47.3375</v>
      </c>
      <c r="H416" s="14">
        <f>IF(AND(ISNUMBER(F416),ISNUMBER(G416),F416&gt;0),G416/F416-1,"")</f>
        <v/>
      </c>
      <c r="I416" s="13" t="n">
        <v>38</v>
      </c>
      <c r="J416" s="14">
        <f>IF(AND(ISNUMBER(F416),ISNUMBER(I416),F416&gt;0),I416/F416-1,"")</f>
        <v/>
      </c>
      <c r="K416" s="13" t="n">
        <v>57</v>
      </c>
      <c r="L416" s="14">
        <f>IF(AND(ISNUMBER(F416),ISNUMBER(K416),F416&gt;0),K416/F416-1,"")</f>
        <v/>
      </c>
      <c r="M416" s="15" t="n">
        <v>8</v>
      </c>
      <c r="N416" s="16" t="n">
        <v>2.15</v>
      </c>
      <c r="O416" s="17">
        <f>IF(AND(ISNUMBER(F416),ISNUMBER(N416),F416&gt;0),N416/F416,"")</f>
        <v/>
      </c>
      <c r="P416" s="18" t="n">
        <v>46276</v>
      </c>
      <c r="Q416" s="18" t="n">
        <v>46259</v>
      </c>
      <c r="R416" s="16" t="n">
        <v>4.88</v>
      </c>
      <c r="S416" s="19">
        <f>IF(AND(ISNUMBER(F416),ISNUMBER(R416),R416&gt;0),F416/R416,"")</f>
        <v/>
      </c>
      <c r="T416" s="18" t="n">
        <v>46323</v>
      </c>
    </row>
    <row r="417">
      <c r="A417" s="20" t="inlineStr">
        <is>
          <t>CQP</t>
        </is>
      </c>
      <c r="B417" s="20" t="inlineStr">
        <is>
          <t>Cheniere Energy Partners, LP</t>
        </is>
      </c>
      <c r="C417" s="20" t="inlineStr">
        <is>
          <t>Oil &amp; Gas Midstream</t>
        </is>
      </c>
      <c r="D417" s="20" t="inlineStr">
        <is>
          <t>United States</t>
        </is>
      </c>
      <c r="E417" s="21" t="n">
        <v>31.83</v>
      </c>
      <c r="F417" s="22" t="n">
        <v>65.76000000000001</v>
      </c>
      <c r="G417" s="22" t="n">
        <v>60</v>
      </c>
      <c r="H417" s="23">
        <f>IF(AND(ISNUMBER(F417),ISNUMBER(G417),F417&gt;0),G417/F417-1,"")</f>
        <v/>
      </c>
      <c r="I417" s="22" t="n">
        <v>51</v>
      </c>
      <c r="J417" s="23">
        <f>IF(AND(ISNUMBER(F417),ISNUMBER(I417),F417&gt;0),I417/F417-1,"")</f>
        <v/>
      </c>
      <c r="K417" s="22" t="n">
        <v>67</v>
      </c>
      <c r="L417" s="23">
        <f>IF(AND(ISNUMBER(F417),ISNUMBER(K417),F417&gt;0),K417/F417-1,"")</f>
        <v/>
      </c>
      <c r="M417" s="24" t="n">
        <v>13</v>
      </c>
      <c r="N417" s="25" t="n">
        <v>3.27</v>
      </c>
      <c r="O417" s="26">
        <f>IF(AND(ISNUMBER(F417),ISNUMBER(N417),F417&gt;0),N417/F417,"")</f>
        <v/>
      </c>
      <c r="P417" s="27" t="n">
        <v>46329</v>
      </c>
      <c r="Q417" s="27" t="n">
        <v>46324</v>
      </c>
      <c r="R417" s="25" t="n">
        <v>5.52</v>
      </c>
      <c r="S417" s="28">
        <f>IF(AND(ISNUMBER(F417),ISNUMBER(R417),R417&gt;0),F417/R417,"")</f>
        <v/>
      </c>
      <c r="T417" s="27" t="n">
        <v>46323</v>
      </c>
    </row>
    <row r="418">
      <c r="A418" s="11" t="inlineStr">
        <is>
          <t>HBAN</t>
        </is>
      </c>
      <c r="B418" s="11" t="inlineStr">
        <is>
          <t>Huntington Bancshares Incorpora</t>
        </is>
      </c>
      <c r="C418" s="11" t="inlineStr">
        <is>
          <t>Banks - Regional</t>
        </is>
      </c>
      <c r="D418" s="11" t="inlineStr">
        <is>
          <t>United States</t>
        </is>
      </c>
      <c r="E418" s="12" t="n">
        <v>31.74</v>
      </c>
      <c r="F418" s="13" t="n">
        <v>15.71</v>
      </c>
      <c r="G418" s="13" t="n">
        <v>18.80526</v>
      </c>
      <c r="H418" s="14">
        <f>IF(AND(ISNUMBER(F418),ISNUMBER(G418),F418&gt;0),G418/F418-1,"")</f>
        <v/>
      </c>
      <c r="I418" s="13" t="n">
        <v>17</v>
      </c>
      <c r="J418" s="14">
        <f>IF(AND(ISNUMBER(F418),ISNUMBER(I418),F418&gt;0),I418/F418-1,"")</f>
        <v/>
      </c>
      <c r="K418" s="13" t="n">
        <v>22.5</v>
      </c>
      <c r="L418" s="14">
        <f>IF(AND(ISNUMBER(F418),ISNUMBER(K418),F418&gt;0),K418/F418-1,"")</f>
        <v/>
      </c>
      <c r="M418" s="15" t="n">
        <v>19</v>
      </c>
      <c r="N418" s="16" t="n">
        <v>0.62</v>
      </c>
      <c r="O418" s="17">
        <f>IF(AND(ISNUMBER(F418),ISNUMBER(N418),F418&gt;0),N418/F418,"")</f>
        <v/>
      </c>
      <c r="P418" s="18" t="n">
        <v>46374</v>
      </c>
      <c r="Q418" s="18" t="n">
        <v>46408</v>
      </c>
      <c r="R418" s="16" t="n">
        <v>1.22</v>
      </c>
      <c r="S418" s="19">
        <f>IF(AND(ISNUMBER(F418),ISNUMBER(R418),R418&gt;0),F418/R418,"")</f>
        <v/>
      </c>
      <c r="T418" s="18" t="n">
        <v>46323</v>
      </c>
    </row>
    <row r="419">
      <c r="A419" s="20" t="inlineStr">
        <is>
          <t>CRDO</t>
        </is>
      </c>
      <c r="B419" s="20" t="inlineStr">
        <is>
          <t xml:space="preserve">Credo Technology Group Holding </t>
        </is>
      </c>
      <c r="C419" s="20" t="inlineStr">
        <is>
          <t>Semiconductors</t>
        </is>
      </c>
      <c r="D419" s="20" t="inlineStr">
        <is>
          <t>Cayman Islands</t>
        </is>
      </c>
      <c r="E419" s="21" t="n">
        <v>31.47</v>
      </c>
      <c r="F419" s="22" t="n">
        <v>167.43</v>
      </c>
      <c r="G419" s="22" t="n">
        <v>284.04538</v>
      </c>
      <c r="H419" s="23">
        <f>IF(AND(ISNUMBER(F419),ISNUMBER(G419),F419&gt;0),G419/F419-1,"")</f>
        <v/>
      </c>
      <c r="I419" s="22" t="n">
        <v>235</v>
      </c>
      <c r="J419" s="23">
        <f>IF(AND(ISNUMBER(F419),ISNUMBER(I419),F419&gt;0),I419/F419-1,"")</f>
        <v/>
      </c>
      <c r="K419" s="22" t="n">
        <v>315</v>
      </c>
      <c r="L419" s="23">
        <f>IF(AND(ISNUMBER(F419),ISNUMBER(K419),F419&gt;0),K419/F419-1,"")</f>
        <v/>
      </c>
      <c r="M419" s="24" t="n">
        <v>19</v>
      </c>
      <c r="N419" s="25" t="n"/>
      <c r="O419" s="26">
        <f>IF(AND(ISNUMBER(F419),ISNUMBER(N419),F419&gt;0),N419/F419,"")</f>
        <v/>
      </c>
      <c r="P419" s="27" t="n"/>
      <c r="Q419" s="27" t="n">
        <v>46356</v>
      </c>
      <c r="R419" s="25" t="n">
        <v>2.82</v>
      </c>
      <c r="S419" s="28">
        <f>IF(AND(ISNUMBER(F419),ISNUMBER(R419),R419&gt;0),F419/R419,"")</f>
        <v/>
      </c>
      <c r="T419" s="27" t="n">
        <v>46323</v>
      </c>
    </row>
    <row r="420">
      <c r="A420" s="11" t="inlineStr">
        <is>
          <t>MDB</t>
        </is>
      </c>
      <c r="B420" s="11" t="inlineStr">
        <is>
          <t>MongoDB, Inc.</t>
        </is>
      </c>
      <c r="C420" s="11" t="inlineStr">
        <is>
          <t>Software - Infrastructure</t>
        </is>
      </c>
      <c r="D420" s="11" t="inlineStr">
        <is>
          <t>United States</t>
        </is>
      </c>
      <c r="E420" s="12" t="n">
        <v>31.36</v>
      </c>
      <c r="F420" s="13" t="n">
        <v>389.84</v>
      </c>
      <c r="G420" s="13" t="n">
        <v>452.50278</v>
      </c>
      <c r="H420" s="14">
        <f>IF(AND(ISNUMBER(F420),ISNUMBER(G420),F420&gt;0),G420/F420-1,"")</f>
        <v/>
      </c>
      <c r="I420" s="13" t="n">
        <v>335</v>
      </c>
      <c r="J420" s="14">
        <f>IF(AND(ISNUMBER(F420),ISNUMBER(I420),F420&gt;0),I420/F420-1,"")</f>
        <v/>
      </c>
      <c r="K420" s="13" t="n">
        <v>565</v>
      </c>
      <c r="L420" s="14">
        <f>IF(AND(ISNUMBER(F420),ISNUMBER(K420),F420&gt;0),K420/F420-1,"")</f>
        <v/>
      </c>
      <c r="M420" s="15" t="n">
        <v>36</v>
      </c>
      <c r="N420" s="16" t="n"/>
      <c r="O420" s="17">
        <f>IF(AND(ISNUMBER(F420),ISNUMBER(N420),F420&gt;0),N420/F420,"")</f>
        <v/>
      </c>
      <c r="P420" s="18" t="n"/>
      <c r="Q420" s="18" t="n">
        <v>46357</v>
      </c>
      <c r="R420" s="16" t="n">
        <v>0.72</v>
      </c>
      <c r="S420" s="19">
        <f>IF(AND(ISNUMBER(F420),ISNUMBER(R420),R420&gt;0),F420/R420,"")</f>
        <v/>
      </c>
      <c r="T420" s="18" t="n">
        <v>46323</v>
      </c>
    </row>
    <row r="421">
      <c r="A421" s="20" t="inlineStr">
        <is>
          <t>FLEX</t>
        </is>
      </c>
      <c r="B421" s="20" t="inlineStr">
        <is>
          <t>Flex Ltd.</t>
        </is>
      </c>
      <c r="C421" s="20" t="inlineStr">
        <is>
          <t>Electronic Components</t>
        </is>
      </c>
      <c r="D421" s="20" t="inlineStr">
        <is>
          <t>United States</t>
        </is>
      </c>
      <c r="E421" s="21" t="n">
        <v>30.79</v>
      </c>
      <c r="F421" s="22" t="n">
        <v>83.34999999999999</v>
      </c>
      <c r="G421" s="22" t="n">
        <v>155.9</v>
      </c>
      <c r="H421" s="23">
        <f>IF(AND(ISNUMBER(F421),ISNUMBER(G421),F421&gt;0),G421/F421-1,"")</f>
        <v/>
      </c>
      <c r="I421" s="22" t="n">
        <v>135</v>
      </c>
      <c r="J421" s="23">
        <f>IF(AND(ISNUMBER(F421),ISNUMBER(I421),F421&gt;0),I421/F421-1,"")</f>
        <v/>
      </c>
      <c r="K421" s="22" t="n">
        <v>180</v>
      </c>
      <c r="L421" s="23">
        <f>IF(AND(ISNUMBER(F421),ISNUMBER(K421),F421&gt;0),K421/F421-1,"")</f>
        <v/>
      </c>
      <c r="M421" s="24" t="n">
        <v>10</v>
      </c>
      <c r="N421" s="25" t="n"/>
      <c r="O421" s="26">
        <f>IF(AND(ISNUMBER(F421),ISNUMBER(N421),F421&gt;0),N421/F421,"")</f>
        <v/>
      </c>
      <c r="P421" s="27" t="n"/>
      <c r="Q421" s="27" t="n">
        <v>46323</v>
      </c>
      <c r="R421" s="25" t="n">
        <v>2.59</v>
      </c>
      <c r="S421" s="28">
        <f>IF(AND(ISNUMBER(F421),ISNUMBER(R421),R421&gt;0),F421/R421,"")</f>
        <v/>
      </c>
      <c r="T421" s="27" t="n">
        <v>46323</v>
      </c>
    </row>
    <row r="422">
      <c r="A422" s="11" t="inlineStr">
        <is>
          <t>ON</t>
        </is>
      </c>
      <c r="B422" s="11" t="inlineStr">
        <is>
          <t>ON Semiconductor Corporation</t>
        </is>
      </c>
      <c r="C422" s="11" t="inlineStr">
        <is>
          <t>Semiconductors</t>
        </is>
      </c>
      <c r="D422" s="11" t="inlineStr">
        <is>
          <t>United States</t>
        </is>
      </c>
      <c r="E422" s="12" t="n">
        <v>30.63</v>
      </c>
      <c r="F422" s="13" t="n">
        <v>78.67</v>
      </c>
      <c r="G422" s="13" t="n">
        <v>101.62963</v>
      </c>
      <c r="H422" s="14">
        <f>IF(AND(ISNUMBER(F422),ISNUMBER(G422),F422&gt;0),G422/F422-1,"")</f>
        <v/>
      </c>
      <c r="I422" s="13" t="n">
        <v>75</v>
      </c>
      <c r="J422" s="14">
        <f>IF(AND(ISNUMBER(F422),ISNUMBER(I422),F422&gt;0),I422/F422-1,"")</f>
        <v/>
      </c>
      <c r="K422" s="13" t="n">
        <v>137</v>
      </c>
      <c r="L422" s="14">
        <f>IF(AND(ISNUMBER(F422),ISNUMBER(K422),F422&gt;0),K422/F422-1,"")</f>
        <v/>
      </c>
      <c r="M422" s="15" t="n">
        <v>27</v>
      </c>
      <c r="N422" s="16" t="n"/>
      <c r="O422" s="17">
        <f>IF(AND(ISNUMBER(F422),ISNUMBER(N422),F422&gt;0),N422/F422,"")</f>
        <v/>
      </c>
      <c r="P422" s="18" t="n"/>
      <c r="Q422" s="18" t="n">
        <v>46328</v>
      </c>
      <c r="R422" s="16" t="n">
        <v>1.55</v>
      </c>
      <c r="S422" s="19">
        <f>IF(AND(ISNUMBER(F422),ISNUMBER(R422),R422&gt;0),F422/R422,"")</f>
        <v/>
      </c>
      <c r="T422" s="18" t="n">
        <v>46323</v>
      </c>
    </row>
    <row r="423">
      <c r="A423" s="20" t="inlineStr">
        <is>
          <t>TECK</t>
        </is>
      </c>
      <c r="B423" s="20" t="inlineStr">
        <is>
          <t>Teck Resources Ltd</t>
        </is>
      </c>
      <c r="C423" s="20" t="inlineStr">
        <is>
          <t>Copper</t>
        </is>
      </c>
      <c r="D423" s="20" t="inlineStr">
        <is>
          <t>Canada</t>
        </is>
      </c>
      <c r="E423" s="21" t="n">
        <v>30.55</v>
      </c>
      <c r="F423" s="22" t="n">
        <v>62.28</v>
      </c>
      <c r="G423" s="22" t="n">
        <v>58.886642</v>
      </c>
      <c r="H423" s="23">
        <f>IF(AND(ISNUMBER(F423),ISNUMBER(G423),F423&gt;0),G423/F423-1,"")</f>
        <v/>
      </c>
      <c r="I423" s="22" t="n">
        <v>40.434917</v>
      </c>
      <c r="J423" s="23">
        <f>IF(AND(ISNUMBER(F423),ISNUMBER(I423),F423&gt;0),I423/F423-1,"")</f>
        <v/>
      </c>
      <c r="K423" s="22" t="n">
        <v>77.88859600000001</v>
      </c>
      <c r="L423" s="23">
        <f>IF(AND(ISNUMBER(F423),ISNUMBER(K423),F423&gt;0),K423/F423-1,"")</f>
        <v/>
      </c>
      <c r="M423" s="24" t="n">
        <v>4</v>
      </c>
      <c r="N423" s="25" t="n">
        <v>0.35</v>
      </c>
      <c r="O423" s="26">
        <f>IF(AND(ISNUMBER(F423),ISNUMBER(N423),F423&gt;0),N423/F423,"")</f>
        <v/>
      </c>
      <c r="P423" s="27" t="n">
        <v>46280</v>
      </c>
      <c r="Q423" s="27" t="n">
        <v>46324</v>
      </c>
      <c r="R423" s="25" t="n">
        <v>3.68</v>
      </c>
      <c r="S423" s="28">
        <f>IF(AND(ISNUMBER(F423),ISNUMBER(R423),R423&gt;0),F423/R423,"")</f>
        <v/>
      </c>
      <c r="T423" s="27" t="n">
        <v>46323</v>
      </c>
    </row>
    <row r="424">
      <c r="A424" s="11" t="inlineStr">
        <is>
          <t>TS</t>
        </is>
      </c>
      <c r="B424" s="11" t="inlineStr">
        <is>
          <t>Tenaris S.A.</t>
        </is>
      </c>
      <c r="C424" s="11" t="inlineStr">
        <is>
          <t>Oil &amp; Gas Equipment &amp; Services</t>
        </is>
      </c>
      <c r="D424" s="11" t="inlineStr">
        <is>
          <t>Luxembourg</t>
        </is>
      </c>
      <c r="E424" s="12" t="n">
        <v>30.45</v>
      </c>
      <c r="F424" s="13" t="n">
        <v>60.32</v>
      </c>
      <c r="G424" s="13" t="n">
        <v>64.95833</v>
      </c>
      <c r="H424" s="14">
        <f>IF(AND(ISNUMBER(F424),ISNUMBER(G424),F424&gt;0),G424/F424-1,"")</f>
        <v/>
      </c>
      <c r="I424" s="13" t="n">
        <v>42</v>
      </c>
      <c r="J424" s="14">
        <f>IF(AND(ISNUMBER(F424),ISNUMBER(I424),F424&gt;0),I424/F424-1,"")</f>
        <v/>
      </c>
      <c r="K424" s="13" t="n">
        <v>80</v>
      </c>
      <c r="L424" s="14">
        <f>IF(AND(ISNUMBER(F424),ISNUMBER(K424),F424&gt;0),K424/F424-1,"")</f>
        <v/>
      </c>
      <c r="M424" s="15" t="n">
        <v>12</v>
      </c>
      <c r="N424" s="16" t="n">
        <v>1.78</v>
      </c>
      <c r="O424" s="17">
        <f>IF(AND(ISNUMBER(F424),ISNUMBER(N424),F424&gt;0),N424/F424,"")</f>
        <v/>
      </c>
      <c r="P424" s="18" t="n">
        <v>46350</v>
      </c>
      <c r="Q424" s="18" t="n">
        <v>46330</v>
      </c>
      <c r="R424" s="16" t="n">
        <v>3.75</v>
      </c>
      <c r="S424" s="19">
        <f>IF(AND(ISNUMBER(F424),ISNUMBER(R424),R424&gt;0),F424/R424,"")</f>
        <v/>
      </c>
      <c r="T424" s="18" t="n">
        <v>46323</v>
      </c>
    </row>
    <row r="425">
      <c r="A425" s="20" t="inlineStr">
        <is>
          <t>TDY</t>
        </is>
      </c>
      <c r="B425" s="20" t="inlineStr">
        <is>
          <t>Teledyne Technologies Incorpora</t>
        </is>
      </c>
      <c r="C425" s="20" t="inlineStr">
        <is>
          <t>Scientific &amp; Technical Instruments</t>
        </is>
      </c>
      <c r="D425" s="20" t="inlineStr">
        <is>
          <t>United States</t>
        </is>
      </c>
      <c r="E425" s="21" t="n">
        <v>30.36</v>
      </c>
      <c r="F425" s="22" t="n">
        <v>654.99</v>
      </c>
      <c r="G425" s="22" t="n">
        <v>769.25</v>
      </c>
      <c r="H425" s="23">
        <f>IF(AND(ISNUMBER(F425),ISNUMBER(G425),F425&gt;0),G425/F425-1,"")</f>
        <v/>
      </c>
      <c r="I425" s="22" t="n">
        <v>646</v>
      </c>
      <c r="J425" s="23">
        <f>IF(AND(ISNUMBER(F425),ISNUMBER(I425),F425&gt;0),I425/F425-1,"")</f>
        <v/>
      </c>
      <c r="K425" s="22" t="n">
        <v>915</v>
      </c>
      <c r="L425" s="23">
        <f>IF(AND(ISNUMBER(F425),ISNUMBER(K425),F425&gt;0),K425/F425-1,"")</f>
        <v/>
      </c>
      <c r="M425" s="24" t="n">
        <v>12</v>
      </c>
      <c r="N425" s="25" t="n"/>
      <c r="O425" s="26">
        <f>IF(AND(ISNUMBER(F425),ISNUMBER(N425),F425&gt;0),N425/F425,"")</f>
        <v/>
      </c>
      <c r="P425" s="27" t="n"/>
      <c r="Q425" s="27" t="n">
        <v>46407</v>
      </c>
      <c r="R425" s="25" t="n">
        <v>21.84</v>
      </c>
      <c r="S425" s="28">
        <f>IF(AND(ISNUMBER(F425),ISNUMBER(R425),R425&gt;0),F425/R425,"")</f>
        <v/>
      </c>
      <c r="T425" s="27" t="n">
        <v>46323</v>
      </c>
    </row>
    <row r="426">
      <c r="A426" s="11" t="inlineStr">
        <is>
          <t>ALNY</t>
        </is>
      </c>
      <c r="B426" s="11" t="inlineStr">
        <is>
          <t>Alnylam Pharmaceuticals, Inc.</t>
        </is>
      </c>
      <c r="C426" s="11" t="inlineStr">
        <is>
          <t>Biotechnology</t>
        </is>
      </c>
      <c r="D426" s="11" t="inlineStr">
        <is>
          <t>United States</t>
        </is>
      </c>
      <c r="E426" s="12" t="n">
        <v>30.35</v>
      </c>
      <c r="F426" s="13" t="n">
        <v>226.79</v>
      </c>
      <c r="G426" s="13" t="n">
        <v>367.77777</v>
      </c>
      <c r="H426" s="14">
        <f>IF(AND(ISNUMBER(F426),ISNUMBER(G426),F426&gt;0),G426/F426-1,"")</f>
        <v/>
      </c>
      <c r="I426" s="13" t="n">
        <v>250</v>
      </c>
      <c r="J426" s="14">
        <f>IF(AND(ISNUMBER(F426),ISNUMBER(I426),F426&gt;0),I426/F426-1,"")</f>
        <v/>
      </c>
      <c r="K426" s="13" t="n">
        <v>536</v>
      </c>
      <c r="L426" s="14">
        <f>IF(AND(ISNUMBER(F426),ISNUMBER(K426),F426&gt;0),K426/F426-1,"")</f>
        <v/>
      </c>
      <c r="M426" s="15" t="n">
        <v>27</v>
      </c>
      <c r="N426" s="16" t="n"/>
      <c r="O426" s="17">
        <f>IF(AND(ISNUMBER(F426),ISNUMBER(N426),F426&gt;0),N426/F426,"")</f>
        <v/>
      </c>
      <c r="P426" s="18" t="n"/>
      <c r="Q426" s="18" t="n">
        <v>46324</v>
      </c>
      <c r="R426" s="16" t="n">
        <v>5.93</v>
      </c>
      <c r="S426" s="19">
        <f>IF(AND(ISNUMBER(F426),ISNUMBER(R426),R426&gt;0),F426/R426,"")</f>
        <v/>
      </c>
      <c r="T426" s="18" t="n">
        <v>46323</v>
      </c>
    </row>
    <row r="427">
      <c r="A427" s="20" t="inlineStr">
        <is>
          <t>HPQ</t>
        </is>
      </c>
      <c r="B427" s="20" t="inlineStr">
        <is>
          <t>HP Inc.</t>
        </is>
      </c>
      <c r="C427" s="20" t="inlineStr">
        <is>
          <t>Computer Hardware</t>
        </is>
      </c>
      <c r="D427" s="20" t="inlineStr">
        <is>
          <t>United States</t>
        </is>
      </c>
      <c r="E427" s="21" t="n">
        <v>30.28</v>
      </c>
      <c r="F427" s="22" t="n">
        <v>33.58</v>
      </c>
      <c r="G427" s="22" t="n">
        <v>27.51765</v>
      </c>
      <c r="H427" s="23">
        <f>IF(AND(ISNUMBER(F427),ISNUMBER(G427),F427&gt;0),G427/F427-1,"")</f>
        <v/>
      </c>
      <c r="I427" s="22" t="n">
        <v>19</v>
      </c>
      <c r="J427" s="23">
        <f>IF(AND(ISNUMBER(F427),ISNUMBER(I427),F427&gt;0),I427/F427-1,"")</f>
        <v/>
      </c>
      <c r="K427" s="22" t="n">
        <v>33.8</v>
      </c>
      <c r="L427" s="23">
        <f>IF(AND(ISNUMBER(F427),ISNUMBER(K427),F427&gt;0),K427/F427-1,"")</f>
        <v/>
      </c>
      <c r="M427" s="24" t="n">
        <v>17</v>
      </c>
      <c r="N427" s="25" t="n">
        <v>1.2</v>
      </c>
      <c r="O427" s="26">
        <f>IF(AND(ISNUMBER(F427),ISNUMBER(N427),F427&gt;0),N427/F427,"")</f>
        <v/>
      </c>
      <c r="P427" s="27" t="n">
        <v>46274</v>
      </c>
      <c r="Q427" s="27" t="n">
        <v>46350</v>
      </c>
      <c r="R427" s="25" t="n">
        <v>2.62</v>
      </c>
      <c r="S427" s="28">
        <f>IF(AND(ISNUMBER(F427),ISNUMBER(R427),R427&gt;0),F427/R427,"")</f>
        <v/>
      </c>
      <c r="T427" s="27" t="n">
        <v>46323</v>
      </c>
    </row>
    <row r="428">
      <c r="A428" s="11" t="inlineStr">
        <is>
          <t>AEE</t>
        </is>
      </c>
      <c r="B428" s="11" t="inlineStr">
        <is>
          <t>Ameren Corporation</t>
        </is>
      </c>
      <c r="C428" s="11" t="inlineStr">
        <is>
          <t>Utilities - Regulated Electric</t>
        </is>
      </c>
      <c r="D428" s="11" t="inlineStr">
        <is>
          <t>United States</t>
        </is>
      </c>
      <c r="E428" s="12" t="n">
        <v>30.1</v>
      </c>
      <c r="F428" s="13" t="n">
        <v>108.74</v>
      </c>
      <c r="G428" s="13" t="n">
        <v>115.06111</v>
      </c>
      <c r="H428" s="14">
        <f>IF(AND(ISNUMBER(F428),ISNUMBER(G428),F428&gt;0),G428/F428-1,"")</f>
        <v/>
      </c>
      <c r="I428" s="13" t="n">
        <v>104</v>
      </c>
      <c r="J428" s="14">
        <f>IF(AND(ISNUMBER(F428),ISNUMBER(I428),F428&gt;0),I428/F428-1,"")</f>
        <v/>
      </c>
      <c r="K428" s="13" t="n">
        <v>126</v>
      </c>
      <c r="L428" s="14">
        <f>IF(AND(ISNUMBER(F428),ISNUMBER(K428),F428&gt;0),K428/F428-1,"")</f>
        <v/>
      </c>
      <c r="M428" s="15" t="n">
        <v>18</v>
      </c>
      <c r="N428" s="16" t="n">
        <v>3</v>
      </c>
      <c r="O428" s="17">
        <f>IF(AND(ISNUMBER(F428),ISNUMBER(N428),F428&gt;0),N428/F428,"")</f>
        <v/>
      </c>
      <c r="P428" s="18" t="n">
        <v>46364</v>
      </c>
      <c r="Q428" s="18" t="n">
        <v>46331</v>
      </c>
      <c r="R428" s="16" t="n">
        <v>5.68</v>
      </c>
      <c r="S428" s="19">
        <f>IF(AND(ISNUMBER(F428),ISNUMBER(R428),R428&gt;0),F428/R428,"")</f>
        <v/>
      </c>
      <c r="T428" s="18" t="n">
        <v>46323</v>
      </c>
    </row>
    <row r="429">
      <c r="A429" s="20" t="inlineStr">
        <is>
          <t>CTSH</t>
        </is>
      </c>
      <c r="B429" s="20" t="inlineStr">
        <is>
          <t xml:space="preserve">Cognizant Technology Solutions </t>
        </is>
      </c>
      <c r="C429" s="20" t="inlineStr">
        <is>
          <t>Information Technology Services</t>
        </is>
      </c>
      <c r="D429" s="20" t="inlineStr">
        <is>
          <t>United States</t>
        </is>
      </c>
      <c r="E429" s="21" t="n">
        <v>29.83</v>
      </c>
      <c r="F429" s="22" t="n">
        <v>66.22</v>
      </c>
      <c r="G429" s="22" t="n">
        <v>68.864</v>
      </c>
      <c r="H429" s="23">
        <f>IF(AND(ISNUMBER(F429),ISNUMBER(G429),F429&gt;0),G429/F429-1,"")</f>
        <v/>
      </c>
      <c r="I429" s="22" t="n">
        <v>47</v>
      </c>
      <c r="J429" s="23">
        <f>IF(AND(ISNUMBER(F429),ISNUMBER(I429),F429&gt;0),I429/F429-1,"")</f>
        <v/>
      </c>
      <c r="K429" s="22" t="n">
        <v>93</v>
      </c>
      <c r="L429" s="23">
        <f>IF(AND(ISNUMBER(F429),ISNUMBER(K429),F429&gt;0),K429/F429-1,"")</f>
        <v/>
      </c>
      <c r="M429" s="24" t="n">
        <v>25</v>
      </c>
      <c r="N429" s="25" t="n">
        <v>1.32</v>
      </c>
      <c r="O429" s="26">
        <f>IF(AND(ISNUMBER(F429),ISNUMBER(N429),F429&gt;0),N429/F429,"")</f>
        <v/>
      </c>
      <c r="P429" s="27" t="n">
        <v>46252</v>
      </c>
      <c r="Q429" s="27" t="n">
        <v>46324</v>
      </c>
      <c r="R429" s="25" t="n">
        <v>4.65</v>
      </c>
      <c r="S429" s="28">
        <f>IF(AND(ISNUMBER(F429),ISNUMBER(R429),R429&gt;0),F429/R429,"")</f>
        <v/>
      </c>
      <c r="T429" s="27" t="n">
        <v>46323</v>
      </c>
    </row>
    <row r="430">
      <c r="A430" s="11" t="inlineStr">
        <is>
          <t>WTW</t>
        </is>
      </c>
      <c r="B430" s="11" t="inlineStr">
        <is>
          <t>Willis Towers Watson Public Lim</t>
        </is>
      </c>
      <c r="C430" s="11" t="inlineStr">
        <is>
          <t>Insurance Brokers</t>
        </is>
      </c>
      <c r="D430" s="11" t="inlineStr">
        <is>
          <t>United Kingdom</t>
        </is>
      </c>
      <c r="E430" s="12" t="n">
        <v>29.69</v>
      </c>
      <c r="F430" s="13" t="n">
        <v>319.66</v>
      </c>
      <c r="G430" s="13" t="n">
        <v>370.6316</v>
      </c>
      <c r="H430" s="14">
        <f>IF(AND(ISNUMBER(F430),ISNUMBER(G430),F430&gt;0),G430/F430-1,"")</f>
        <v/>
      </c>
      <c r="I430" s="13" t="n">
        <v>310</v>
      </c>
      <c r="J430" s="14">
        <f>IF(AND(ISNUMBER(F430),ISNUMBER(I430),F430&gt;0),I430/F430-1,"")</f>
        <v/>
      </c>
      <c r="K430" s="13" t="n">
        <v>455</v>
      </c>
      <c r="L430" s="14">
        <f>IF(AND(ISNUMBER(F430),ISNUMBER(K430),F430&gt;0),K430/F430-1,"")</f>
        <v/>
      </c>
      <c r="M430" s="15" t="n">
        <v>19</v>
      </c>
      <c r="N430" s="16" t="n">
        <v>3.84</v>
      </c>
      <c r="O430" s="17">
        <f>IF(AND(ISNUMBER(F430),ISNUMBER(N430),F430&gt;0),N430/F430,"")</f>
        <v/>
      </c>
      <c r="P430" s="18" t="n">
        <v>46295</v>
      </c>
      <c r="Q430" s="18" t="n">
        <v>46324</v>
      </c>
      <c r="R430" s="16" t="n">
        <v>16.16</v>
      </c>
      <c r="S430" s="19">
        <f>IF(AND(ISNUMBER(F430),ISNUMBER(R430),R430&gt;0),F430/R430,"")</f>
        <v/>
      </c>
      <c r="T430" s="18" t="n">
        <v>46323</v>
      </c>
    </row>
    <row r="431">
      <c r="A431" s="20" t="inlineStr">
        <is>
          <t>ADDYY</t>
        </is>
      </c>
      <c r="B431" s="20" t="inlineStr">
        <is>
          <t>adidas AG</t>
        </is>
      </c>
      <c r="C431" s="20" t="inlineStr">
        <is>
          <t>Footwear &amp; Accessories</t>
        </is>
      </c>
      <c r="D431" s="20" t="inlineStr">
        <is>
          <t>Germany</t>
        </is>
      </c>
      <c r="E431" s="21" t="n">
        <v>29.66</v>
      </c>
      <c r="F431" s="22" t="n">
        <v>87.73</v>
      </c>
      <c r="G431" s="22" t="n">
        <v>114.8</v>
      </c>
      <c r="H431" s="23">
        <f>IF(AND(ISNUMBER(F431),ISNUMBER(G431),F431&gt;0),G431/F431-1,"")</f>
        <v/>
      </c>
      <c r="I431" s="22" t="n">
        <v>94</v>
      </c>
      <c r="J431" s="23">
        <f>IF(AND(ISNUMBER(F431),ISNUMBER(I431),F431&gt;0),I431/F431-1,"")</f>
        <v/>
      </c>
      <c r="K431" s="22" t="n">
        <v>146</v>
      </c>
      <c r="L431" s="23">
        <f>IF(AND(ISNUMBER(F431),ISNUMBER(K431),F431&gt;0),K431/F431-1,"")</f>
        <v/>
      </c>
      <c r="M431" s="24" t="n">
        <v>5</v>
      </c>
      <c r="N431" s="25" t="n">
        <v>1.64</v>
      </c>
      <c r="O431" s="26">
        <f>IF(AND(ISNUMBER(F431),ISNUMBER(N431),F431&gt;0),N431/F431,"")</f>
        <v/>
      </c>
      <c r="P431" s="27" t="n">
        <v>46153</v>
      </c>
      <c r="Q431" s="27" t="n">
        <v>46324</v>
      </c>
      <c r="R431" s="25" t="n">
        <v>4.55</v>
      </c>
      <c r="S431" s="28">
        <f>IF(AND(ISNUMBER(F431),ISNUMBER(R431),R431&gt;0),F431/R431,"")</f>
        <v/>
      </c>
      <c r="T431" s="27" t="n">
        <v>46323</v>
      </c>
    </row>
    <row r="432">
      <c r="A432" s="11" t="inlineStr">
        <is>
          <t>DXCM</t>
        </is>
      </c>
      <c r="B432" s="11" t="inlineStr">
        <is>
          <t>DexCom, Inc.</t>
        </is>
      </c>
      <c r="C432" s="11" t="inlineStr">
        <is>
          <t>Medical Devices</t>
        </is>
      </c>
      <c r="D432" s="11" t="inlineStr">
        <is>
          <t>United States</t>
        </is>
      </c>
      <c r="E432" s="12" t="n">
        <v>29.65</v>
      </c>
      <c r="F432" s="13" t="n">
        <v>78.56</v>
      </c>
      <c r="G432" s="13" t="n">
        <v>96.19231000000001</v>
      </c>
      <c r="H432" s="14">
        <f>IF(AND(ISNUMBER(F432),ISNUMBER(G432),F432&gt;0),G432/F432-1,"")</f>
        <v/>
      </c>
      <c r="I432" s="13" t="n">
        <v>79</v>
      </c>
      <c r="J432" s="14">
        <f>IF(AND(ISNUMBER(F432),ISNUMBER(I432),F432&gt;0),I432/F432-1,"")</f>
        <v/>
      </c>
      <c r="K432" s="13" t="n">
        <v>115</v>
      </c>
      <c r="L432" s="14">
        <f>IF(AND(ISNUMBER(F432),ISNUMBER(K432),F432&gt;0),K432/F432-1,"")</f>
        <v/>
      </c>
      <c r="M432" s="15" t="n">
        <v>26</v>
      </c>
      <c r="N432" s="16" t="n"/>
      <c r="O432" s="17">
        <f>IF(AND(ISNUMBER(F432),ISNUMBER(N432),F432&gt;0),N432/F432,"")</f>
        <v/>
      </c>
      <c r="P432" s="18" t="n"/>
      <c r="Q432" s="18" t="n">
        <v>46324</v>
      </c>
      <c r="R432" s="16" t="n">
        <v>2.52</v>
      </c>
      <c r="S432" s="19">
        <f>IF(AND(ISNUMBER(F432),ISNUMBER(R432),R432&gt;0),F432/R432,"")</f>
        <v/>
      </c>
      <c r="T432" s="18" t="n">
        <v>46323</v>
      </c>
    </row>
    <row r="433">
      <c r="A433" s="20" t="inlineStr">
        <is>
          <t>FTS</t>
        </is>
      </c>
      <c r="B433" s="20" t="inlineStr">
        <is>
          <t>Fortis Inc.</t>
        </is>
      </c>
      <c r="C433" s="20" t="inlineStr">
        <is>
          <t>Utilities - Regulated Electric</t>
        </is>
      </c>
      <c r="D433" s="20" t="inlineStr">
        <is>
          <t>Canada</t>
        </is>
      </c>
      <c r="E433" s="21" t="n">
        <v>29.51</v>
      </c>
      <c r="F433" s="22" t="n">
        <v>57.76</v>
      </c>
      <c r="G433" s="22" t="n">
        <v>53</v>
      </c>
      <c r="H433" s="23">
        <f>IF(AND(ISNUMBER(F433),ISNUMBER(G433),F433&gt;0),G433/F433-1,"")</f>
        <v/>
      </c>
      <c r="I433" s="22" t="n">
        <v>50</v>
      </c>
      <c r="J433" s="23">
        <f>IF(AND(ISNUMBER(F433),ISNUMBER(I433),F433&gt;0),I433/F433-1,"")</f>
        <v/>
      </c>
      <c r="K433" s="22" t="n">
        <v>56</v>
      </c>
      <c r="L433" s="23">
        <f>IF(AND(ISNUMBER(F433),ISNUMBER(K433),F433&gt;0),K433/F433-1,"")</f>
        <v/>
      </c>
      <c r="M433" s="24" t="n">
        <v>2</v>
      </c>
      <c r="N433" s="25" t="n">
        <v>1.85</v>
      </c>
      <c r="O433" s="26">
        <f>IF(AND(ISNUMBER(F433),ISNUMBER(N433),F433&gt;0),N433/F433,"")</f>
        <v/>
      </c>
      <c r="P433" s="27" t="n">
        <v>46253</v>
      </c>
      <c r="Q433" s="27" t="n">
        <v>46329</v>
      </c>
      <c r="R433" s="25" t="n">
        <v>2.46</v>
      </c>
      <c r="S433" s="28">
        <f>IF(AND(ISNUMBER(F433),ISNUMBER(R433),R433&gt;0),F433/R433,"")</f>
        <v/>
      </c>
      <c r="T433" s="27" t="n">
        <v>46323</v>
      </c>
    </row>
    <row r="434">
      <c r="A434" s="11" t="inlineStr">
        <is>
          <t>WSM</t>
        </is>
      </c>
      <c r="B434" s="11" t="inlineStr">
        <is>
          <t>Williams-Sonoma, Inc.</t>
        </is>
      </c>
      <c r="C434" s="11" t="inlineStr">
        <is>
          <t>Specialty Retail</t>
        </is>
      </c>
      <c r="D434" s="11" t="inlineStr">
        <is>
          <t>United States</t>
        </is>
      </c>
      <c r="E434" s="12" t="n">
        <v>29.5</v>
      </c>
      <c r="F434" s="13" t="n">
        <v>250.45</v>
      </c>
      <c r="G434" s="13" t="n">
        <v>248.45</v>
      </c>
      <c r="H434" s="14">
        <f>IF(AND(ISNUMBER(F434),ISNUMBER(G434),F434&gt;0),G434/F434-1,"")</f>
        <v/>
      </c>
      <c r="I434" s="13" t="n">
        <v>151</v>
      </c>
      <c r="J434" s="14">
        <f>IF(AND(ISNUMBER(F434),ISNUMBER(I434),F434&gt;0),I434/F434-1,"")</f>
        <v/>
      </c>
      <c r="K434" s="13" t="n">
        <v>286</v>
      </c>
      <c r="L434" s="14">
        <f>IF(AND(ISNUMBER(F434),ISNUMBER(K434),F434&gt;0),K434/F434-1,"")</f>
        <v/>
      </c>
      <c r="M434" s="15" t="n">
        <v>20</v>
      </c>
      <c r="N434" s="16" t="n">
        <v>3.04</v>
      </c>
      <c r="O434" s="17">
        <f>IF(AND(ISNUMBER(F434),ISNUMBER(N434),F434&gt;0),N434/F434,"")</f>
        <v/>
      </c>
      <c r="P434" s="18" t="n">
        <v>46311</v>
      </c>
      <c r="Q434" s="18" t="n">
        <v>46344</v>
      </c>
      <c r="R434" s="16" t="n">
        <v>9.75</v>
      </c>
      <c r="S434" s="19">
        <f>IF(AND(ISNUMBER(F434),ISNUMBER(R434),R434&gt;0),F434/R434,"")</f>
        <v/>
      </c>
      <c r="T434" s="18" t="n">
        <v>46323</v>
      </c>
    </row>
    <row r="435">
      <c r="A435" s="20" t="inlineStr">
        <is>
          <t>HAL</t>
        </is>
      </c>
      <c r="B435" s="20" t="inlineStr">
        <is>
          <t>Halliburton Company</t>
        </is>
      </c>
      <c r="C435" s="20" t="inlineStr">
        <is>
          <t>Oil &amp; Gas Equipment &amp; Services</t>
        </is>
      </c>
      <c r="D435" s="20" t="inlineStr">
        <is>
          <t>United States</t>
        </is>
      </c>
      <c r="E435" s="21" t="n">
        <v>29.46</v>
      </c>
      <c r="F435" s="22" t="n">
        <v>35.62</v>
      </c>
      <c r="G435" s="22" t="n">
        <v>43.68</v>
      </c>
      <c r="H435" s="23">
        <f>IF(AND(ISNUMBER(F435),ISNUMBER(G435),F435&gt;0),G435/F435-1,"")</f>
        <v/>
      </c>
      <c r="I435" s="22" t="n">
        <v>29</v>
      </c>
      <c r="J435" s="23">
        <f>IF(AND(ISNUMBER(F435),ISNUMBER(I435),F435&gt;0),I435/F435-1,"")</f>
        <v/>
      </c>
      <c r="K435" s="22" t="n">
        <v>51</v>
      </c>
      <c r="L435" s="23">
        <f>IF(AND(ISNUMBER(F435),ISNUMBER(K435),F435&gt;0),K435/F435-1,"")</f>
        <v/>
      </c>
      <c r="M435" s="24" t="n">
        <v>25</v>
      </c>
      <c r="N435" s="25" t="n">
        <v>0.68</v>
      </c>
      <c r="O435" s="26">
        <f>IF(AND(ISNUMBER(F435),ISNUMBER(N435),F435&gt;0),N435/F435,"")</f>
        <v/>
      </c>
      <c r="P435" s="27" t="n">
        <v>46267</v>
      </c>
      <c r="Q435" s="27" t="n">
        <v>46407</v>
      </c>
      <c r="R435" s="25" t="n">
        <v>1.33</v>
      </c>
      <c r="S435" s="28">
        <f>IF(AND(ISNUMBER(F435),ISNUMBER(R435),R435&gt;0),F435/R435,"")</f>
        <v/>
      </c>
      <c r="T435" s="27" t="n">
        <v>46323</v>
      </c>
    </row>
    <row r="436">
      <c r="A436" s="11" t="inlineStr">
        <is>
          <t>EME</t>
        </is>
      </c>
      <c r="B436" s="11" t="inlineStr">
        <is>
          <t>EMCOR Group, Inc.</t>
        </is>
      </c>
      <c r="C436" s="11" t="inlineStr">
        <is>
          <t>Engineering &amp; Construction</t>
        </is>
      </c>
      <c r="D436" s="11" t="inlineStr">
        <is>
          <t>United States</t>
        </is>
      </c>
      <c r="E436" s="12" t="n">
        <v>29.39</v>
      </c>
      <c r="F436" s="13" t="n">
        <v>666.36</v>
      </c>
      <c r="G436" s="13" t="n">
        <v>979.125</v>
      </c>
      <c r="H436" s="14">
        <f>IF(AND(ISNUMBER(F436),ISNUMBER(G436),F436&gt;0),G436/F436-1,"")</f>
        <v/>
      </c>
      <c r="I436" s="13" t="n">
        <v>690</v>
      </c>
      <c r="J436" s="14">
        <f>IF(AND(ISNUMBER(F436),ISNUMBER(I436),F436&gt;0),I436/F436-1,"")</f>
        <v/>
      </c>
      <c r="K436" s="13" t="n">
        <v>1200</v>
      </c>
      <c r="L436" s="14">
        <f>IF(AND(ISNUMBER(F436),ISNUMBER(K436),F436&gt;0),K436/F436-1,"")</f>
        <v/>
      </c>
      <c r="M436" s="15" t="n">
        <v>8</v>
      </c>
      <c r="N436" s="16" t="n">
        <v>1.6</v>
      </c>
      <c r="O436" s="17">
        <f>IF(AND(ISNUMBER(F436),ISNUMBER(N436),F436&gt;0),N436/F436,"")</f>
        <v/>
      </c>
      <c r="P436" s="18" t="n">
        <v>46310</v>
      </c>
      <c r="Q436" s="18" t="n">
        <v>46324</v>
      </c>
      <c r="R436" s="16" t="n">
        <v>32.12</v>
      </c>
      <c r="S436" s="19">
        <f>IF(AND(ISNUMBER(F436),ISNUMBER(R436),R436&gt;0),F436/R436,"")</f>
        <v/>
      </c>
      <c r="T436" s="18" t="n">
        <v>46323</v>
      </c>
    </row>
    <row r="437">
      <c r="A437" s="20" t="inlineStr">
        <is>
          <t>JBL</t>
        </is>
      </c>
      <c r="B437" s="20" t="inlineStr">
        <is>
          <t>Jabil Inc.</t>
        </is>
      </c>
      <c r="C437" s="20" t="inlineStr">
        <is>
          <t>Electronic Components</t>
        </is>
      </c>
      <c r="D437" s="20" t="inlineStr">
        <is>
          <t>United States</t>
        </is>
      </c>
      <c r="E437" s="21" t="n">
        <v>29.17</v>
      </c>
      <c r="F437" s="22" t="n">
        <v>283.29</v>
      </c>
      <c r="G437" s="22" t="n">
        <v>425</v>
      </c>
      <c r="H437" s="23">
        <f>IF(AND(ISNUMBER(F437),ISNUMBER(G437),F437&gt;0),G437/F437-1,"")</f>
        <v/>
      </c>
      <c r="I437" s="22" t="n">
        <v>365</v>
      </c>
      <c r="J437" s="23">
        <f>IF(AND(ISNUMBER(F437),ISNUMBER(I437),F437&gt;0),I437/F437-1,"")</f>
        <v/>
      </c>
      <c r="K437" s="22" t="n">
        <v>475</v>
      </c>
      <c r="L437" s="23">
        <f>IF(AND(ISNUMBER(F437),ISNUMBER(K437),F437&gt;0),K437/F437-1,"")</f>
        <v/>
      </c>
      <c r="M437" s="24" t="n">
        <v>9</v>
      </c>
      <c r="N437" s="25" t="n">
        <v>0.32</v>
      </c>
      <c r="O437" s="26">
        <f>IF(AND(ISNUMBER(F437),ISNUMBER(N437),F437&gt;0),N437/F437,"")</f>
        <v/>
      </c>
      <c r="P437" s="27" t="n">
        <v>46342</v>
      </c>
      <c r="Q437" s="27" t="n">
        <v>46372</v>
      </c>
      <c r="R437" s="25" t="n">
        <v>9.75</v>
      </c>
      <c r="S437" s="28">
        <f>IF(AND(ISNUMBER(F437),ISNUMBER(R437),R437&gt;0),F437/R437,"")</f>
        <v/>
      </c>
      <c r="T437" s="27" t="n">
        <v>46323</v>
      </c>
    </row>
    <row r="438">
      <c r="A438" s="11" t="inlineStr">
        <is>
          <t>PBA</t>
        </is>
      </c>
      <c r="B438" s="11" t="inlineStr">
        <is>
          <t>Pembina Pipeline Corp.</t>
        </is>
      </c>
      <c r="C438" s="11" t="inlineStr">
        <is>
          <t>Oil &amp; Gas Midstream</t>
        </is>
      </c>
      <c r="D438" s="11" t="inlineStr">
        <is>
          <t>Canada</t>
        </is>
      </c>
      <c r="E438" s="12" t="n">
        <v>29.05</v>
      </c>
      <c r="F438" s="13" t="n">
        <v>49.95</v>
      </c>
      <c r="G438" s="13" t="n">
        <v>47.36509</v>
      </c>
      <c r="H438" s="14">
        <f>IF(AND(ISNUMBER(F438),ISNUMBER(G438),F438&gt;0),G438/F438-1,"")</f>
        <v/>
      </c>
      <c r="I438" s="13" t="n">
        <v>47.36509</v>
      </c>
      <c r="J438" s="14">
        <f>IF(AND(ISNUMBER(F438),ISNUMBER(I438),F438&gt;0),I438/F438-1,"")</f>
        <v/>
      </c>
      <c r="K438" s="13" t="n">
        <v>47.36509</v>
      </c>
      <c r="L438" s="14">
        <f>IF(AND(ISNUMBER(F438),ISNUMBER(K438),F438&gt;0),K438/F438-1,"")</f>
        <v/>
      </c>
      <c r="M438" s="15" t="n">
        <v>1</v>
      </c>
      <c r="N438" s="16" t="n">
        <v>2.07</v>
      </c>
      <c r="O438" s="17">
        <f>IF(AND(ISNUMBER(F438),ISNUMBER(N438),F438&gt;0),N438/F438,"")</f>
        <v/>
      </c>
      <c r="P438" s="18" t="n">
        <v>46280</v>
      </c>
      <c r="Q438" s="18" t="n">
        <v>46331</v>
      </c>
      <c r="R438" s="16" t="n">
        <v>2</v>
      </c>
      <c r="S438" s="19">
        <f>IF(AND(ISNUMBER(F438),ISNUMBER(R438),R438&gt;0),F438/R438,"")</f>
        <v/>
      </c>
      <c r="T438" s="18" t="n">
        <v>46323</v>
      </c>
    </row>
    <row r="439">
      <c r="A439" s="20" t="inlineStr">
        <is>
          <t>BAP</t>
        </is>
      </c>
      <c r="B439" s="20" t="inlineStr">
        <is>
          <t>Credicorp Ltd.</t>
        </is>
      </c>
      <c r="C439" s="20" t="inlineStr">
        <is>
          <t>Banks - Regional</t>
        </is>
      </c>
      <c r="D439" s="20" t="inlineStr">
        <is>
          <t>Peru</t>
        </is>
      </c>
      <c r="E439" s="21" t="n">
        <v>29.01</v>
      </c>
      <c r="F439" s="22" t="n">
        <v>365.28</v>
      </c>
      <c r="G439" s="22" t="n">
        <v>427.47806</v>
      </c>
      <c r="H439" s="23">
        <f>IF(AND(ISNUMBER(F439),ISNUMBER(G439),F439&gt;0),G439/F439-1,"")</f>
        <v/>
      </c>
      <c r="I439" s="22" t="n">
        <v>219</v>
      </c>
      <c r="J439" s="23">
        <f>IF(AND(ISNUMBER(F439),ISNUMBER(I439),F439&gt;0),I439/F439-1,"")</f>
        <v/>
      </c>
      <c r="K439" s="22" t="n">
        <v>482</v>
      </c>
      <c r="L439" s="23">
        <f>IF(AND(ISNUMBER(F439),ISNUMBER(K439),F439&gt;0),K439/F439-1,"")</f>
        <v/>
      </c>
      <c r="M439" s="24" t="n">
        <v>14</v>
      </c>
      <c r="N439" s="25" t="n">
        <v>14.41</v>
      </c>
      <c r="O439" s="26">
        <f>IF(AND(ISNUMBER(F439),ISNUMBER(N439),F439&gt;0),N439/F439,"")</f>
        <v/>
      </c>
      <c r="P439" s="27" t="n">
        <v>46160</v>
      </c>
      <c r="Q439" s="27" t="n">
        <v>46335</v>
      </c>
      <c r="R439" s="25" t="n">
        <v>26.55</v>
      </c>
      <c r="S439" s="28">
        <f>IF(AND(ISNUMBER(F439),ISNUMBER(R439),R439&gt;0),F439/R439,"")</f>
        <v/>
      </c>
      <c r="T439" s="27" t="n">
        <v>46323</v>
      </c>
    </row>
    <row r="440">
      <c r="A440" s="11" t="inlineStr">
        <is>
          <t>ATO</t>
        </is>
      </c>
      <c r="B440" s="11" t="inlineStr">
        <is>
          <t>Atmos Energy Corporation</t>
        </is>
      </c>
      <c r="C440" s="11" t="inlineStr">
        <is>
          <t>Utilities - Regulated Gas</t>
        </is>
      </c>
      <c r="D440" s="11" t="inlineStr">
        <is>
          <t>United States</t>
        </is>
      </c>
      <c r="E440" s="12" t="n">
        <v>28.96</v>
      </c>
      <c r="F440" s="13" t="n">
        <v>171.37</v>
      </c>
      <c r="G440" s="13" t="n">
        <v>182.45454</v>
      </c>
      <c r="H440" s="14">
        <f>IF(AND(ISNUMBER(F440),ISNUMBER(G440),F440&gt;0),G440/F440-1,"")</f>
        <v/>
      </c>
      <c r="I440" s="13" t="n">
        <v>167</v>
      </c>
      <c r="J440" s="14">
        <f>IF(AND(ISNUMBER(F440),ISNUMBER(I440),F440&gt;0),I440/F440-1,"")</f>
        <v/>
      </c>
      <c r="K440" s="13" t="n">
        <v>200</v>
      </c>
      <c r="L440" s="14">
        <f>IF(AND(ISNUMBER(F440),ISNUMBER(K440),F440&gt;0),K440/F440-1,"")</f>
        <v/>
      </c>
      <c r="M440" s="15" t="n">
        <v>11</v>
      </c>
      <c r="N440" s="16" t="n">
        <v>4</v>
      </c>
      <c r="O440" s="17">
        <f>IF(AND(ISNUMBER(F440),ISNUMBER(N440),F440&gt;0),N440/F440,"")</f>
        <v/>
      </c>
      <c r="P440" s="18" t="n">
        <v>46258</v>
      </c>
      <c r="Q440" s="18" t="n">
        <v>46330</v>
      </c>
      <c r="R440" s="16" t="n">
        <v>8.390000000000001</v>
      </c>
      <c r="S440" s="19">
        <f>IF(AND(ISNUMBER(F440),ISNUMBER(R440),R440&gt;0),F440/R440,"")</f>
        <v/>
      </c>
      <c r="T440" s="18" t="n">
        <v>46323</v>
      </c>
    </row>
    <row r="441">
      <c r="A441" s="20" t="inlineStr">
        <is>
          <t>IMBBY</t>
        </is>
      </c>
      <c r="B441" s="20" t="inlineStr">
        <is>
          <t>Imperial Brands PLC</t>
        </is>
      </c>
      <c r="C441" s="20" t="inlineStr">
        <is>
          <t>Tobacco</t>
        </is>
      </c>
      <c r="D441" s="20" t="inlineStr">
        <is>
          <t>United Kingdom</t>
        </is>
      </c>
      <c r="E441" s="21" t="n">
        <v>28.61</v>
      </c>
      <c r="F441" s="22" t="n">
        <v>38.19</v>
      </c>
      <c r="G441" s="22" t="n">
        <v>44</v>
      </c>
      <c r="H441" s="23">
        <f>IF(AND(ISNUMBER(F441),ISNUMBER(G441),F441&gt;0),G441/F441-1,"")</f>
        <v/>
      </c>
      <c r="I441" s="22" t="n">
        <v>43</v>
      </c>
      <c r="J441" s="23">
        <f>IF(AND(ISNUMBER(F441),ISNUMBER(I441),F441&gt;0),I441/F441-1,"")</f>
        <v/>
      </c>
      <c r="K441" s="22" t="n">
        <v>45</v>
      </c>
      <c r="L441" s="23">
        <f>IF(AND(ISNUMBER(F441),ISNUMBER(K441),F441&gt;0),K441/F441-1,"")</f>
        <v/>
      </c>
      <c r="M441" s="24" t="n">
        <v>2</v>
      </c>
      <c r="N441" s="25" t="n">
        <v>2.17</v>
      </c>
      <c r="O441" s="26">
        <f>IF(AND(ISNUMBER(F441),ISNUMBER(N441),F441&gt;0),N441/F441,"")</f>
        <v/>
      </c>
      <c r="P441" s="27" t="n">
        <v>46255</v>
      </c>
      <c r="Q441" s="27" t="n">
        <v>45791</v>
      </c>
      <c r="R441" s="25" t="n">
        <v>2.85</v>
      </c>
      <c r="S441" s="28">
        <f>IF(AND(ISNUMBER(F441),ISNUMBER(R441),R441&gt;0),F441/R441,"")</f>
        <v/>
      </c>
      <c r="T441" s="27" t="n">
        <v>46323</v>
      </c>
    </row>
    <row r="442">
      <c r="A442" s="11" t="inlineStr">
        <is>
          <t>KHC</t>
        </is>
      </c>
      <c r="B442" s="11" t="inlineStr">
        <is>
          <t>The Kraft Heinz Company</t>
        </is>
      </c>
      <c r="C442" s="11" t="inlineStr">
        <is>
          <t>Packaged Foods</t>
        </is>
      </c>
      <c r="D442" s="11" t="inlineStr">
        <is>
          <t>United States</t>
        </is>
      </c>
      <c r="E442" s="12" t="n">
        <v>28.53</v>
      </c>
      <c r="F442" s="13" t="n">
        <v>24.06</v>
      </c>
      <c r="G442" s="13" t="n">
        <v>24.69444</v>
      </c>
      <c r="H442" s="14">
        <f>IF(AND(ISNUMBER(F442),ISNUMBER(G442),F442&gt;0),G442/F442-1,"")</f>
        <v/>
      </c>
      <c r="I442" s="13" t="n">
        <v>19</v>
      </c>
      <c r="J442" s="14">
        <f>IF(AND(ISNUMBER(F442),ISNUMBER(I442),F442&gt;0),I442/F442-1,"")</f>
        <v/>
      </c>
      <c r="K442" s="13" t="n">
        <v>41</v>
      </c>
      <c r="L442" s="14">
        <f>IF(AND(ISNUMBER(F442),ISNUMBER(K442),F442&gt;0),K442/F442-1,"")</f>
        <v/>
      </c>
      <c r="M442" s="15" t="n">
        <v>18</v>
      </c>
      <c r="N442" s="16" t="n">
        <v>1.6</v>
      </c>
      <c r="O442" s="17">
        <f>IF(AND(ISNUMBER(F442),ISNUMBER(N442),F442&gt;0),N442/F442,"")</f>
        <v/>
      </c>
      <c r="P442" s="18" t="n">
        <v>46269</v>
      </c>
      <c r="Q442" s="18" t="n">
        <v>46330</v>
      </c>
      <c r="R442" s="16" t="n">
        <v>-2.86</v>
      </c>
      <c r="S442" s="19">
        <f>IF(AND(ISNUMBER(F442),ISNUMBER(R442),R442&gt;0),F442/R442,"")</f>
        <v/>
      </c>
      <c r="T442" s="18" t="n">
        <v>46323</v>
      </c>
    </row>
    <row r="443">
      <c r="A443" s="20" t="inlineStr">
        <is>
          <t>ZM</t>
        </is>
      </c>
      <c r="B443" s="20" t="inlineStr">
        <is>
          <t>Zoom Communications, Inc.</t>
        </is>
      </c>
      <c r="C443" s="20" t="inlineStr">
        <is>
          <t>Software - Application</t>
        </is>
      </c>
      <c r="D443" s="20" t="inlineStr">
        <is>
          <t>United States</t>
        </is>
      </c>
      <c r="E443" s="21" t="n">
        <v>28.42</v>
      </c>
      <c r="F443" s="22" t="n">
        <v>97.40000000000001</v>
      </c>
      <c r="G443" s="22" t="n">
        <v>118.57692</v>
      </c>
      <c r="H443" s="23">
        <f>IF(AND(ISNUMBER(F443),ISNUMBER(G443),F443&gt;0),G443/F443-1,"")</f>
        <v/>
      </c>
      <c r="I443" s="22" t="n">
        <v>79</v>
      </c>
      <c r="J443" s="23">
        <f>IF(AND(ISNUMBER(F443),ISNUMBER(I443),F443&gt;0),I443/F443-1,"")</f>
        <v/>
      </c>
      <c r="K443" s="22" t="n">
        <v>135</v>
      </c>
      <c r="L443" s="23">
        <f>IF(AND(ISNUMBER(F443),ISNUMBER(K443),F443&gt;0),K443/F443-1,"")</f>
        <v/>
      </c>
      <c r="M443" s="24" t="n">
        <v>26</v>
      </c>
      <c r="N443" s="25" t="n"/>
      <c r="O443" s="26">
        <f>IF(AND(ISNUMBER(F443),ISNUMBER(N443),F443&gt;0),N443/F443,"")</f>
        <v/>
      </c>
      <c r="P443" s="27" t="n"/>
      <c r="Q443" s="27" t="n">
        <v>46350</v>
      </c>
      <c r="R443" s="25" t="n">
        <v>10.78</v>
      </c>
      <c r="S443" s="28">
        <f>IF(AND(ISNUMBER(F443),ISNUMBER(R443),R443&gt;0),F443/R443,"")</f>
        <v/>
      </c>
      <c r="T443" s="27" t="n">
        <v>46323</v>
      </c>
    </row>
    <row r="444">
      <c r="A444" s="11" t="inlineStr">
        <is>
          <t>CBRS</t>
        </is>
      </c>
      <c r="B444" s="11" t="inlineStr">
        <is>
          <t>Cerebras Systems Inc.</t>
        </is>
      </c>
      <c r="C444" s="11" t="inlineStr">
        <is>
          <t>Semiconductors</t>
        </is>
      </c>
      <c r="D444" s="11" t="inlineStr">
        <is>
          <t>United States</t>
        </is>
      </c>
      <c r="E444" s="12" t="n">
        <v>28.34</v>
      </c>
      <c r="F444" s="13" t="n">
        <v>119.31</v>
      </c>
      <c r="G444" s="13" t="n">
        <v>282.54544</v>
      </c>
      <c r="H444" s="14">
        <f>IF(AND(ISNUMBER(F444),ISNUMBER(G444),F444&gt;0),G444/F444-1,"")</f>
        <v/>
      </c>
      <c r="I444" s="13" t="n">
        <v>175</v>
      </c>
      <c r="J444" s="14">
        <f>IF(AND(ISNUMBER(F444),ISNUMBER(I444),F444&gt;0),I444/F444-1,"")</f>
        <v/>
      </c>
      <c r="K444" s="13" t="n">
        <v>330</v>
      </c>
      <c r="L444" s="14">
        <f>IF(AND(ISNUMBER(F444),ISNUMBER(K444),F444&gt;0),K444/F444-1,"")</f>
        <v/>
      </c>
      <c r="M444" s="15" t="n">
        <v>11</v>
      </c>
      <c r="N444" s="16" t="n"/>
      <c r="O444" s="17">
        <f>IF(AND(ISNUMBER(F444),ISNUMBER(N444),F444&gt;0),N444/F444,"")</f>
        <v/>
      </c>
      <c r="P444" s="18" t="n"/>
      <c r="Q444" s="18" t="n">
        <v>46338</v>
      </c>
      <c r="R444" s="16" t="n">
        <v>-5.14</v>
      </c>
      <c r="S444" s="19">
        <f>IF(AND(ISNUMBER(F444),ISNUMBER(R444),R444&gt;0),F444/R444,"")</f>
        <v/>
      </c>
      <c r="T444" s="18" t="n">
        <v>46323</v>
      </c>
    </row>
    <row r="445">
      <c r="A445" s="20" t="inlineStr">
        <is>
          <t>AWK</t>
        </is>
      </c>
      <c r="B445" s="20" t="inlineStr">
        <is>
          <t>American Water Works Company, I</t>
        </is>
      </c>
      <c r="C445" s="20" t="inlineStr">
        <is>
          <t>Utilities - Regulated Water</t>
        </is>
      </c>
      <c r="D445" s="20" t="inlineStr">
        <is>
          <t>United States</t>
        </is>
      </c>
      <c r="E445" s="21" t="n">
        <v>28.04</v>
      </c>
      <c r="F445" s="22" t="n">
        <v>141.1</v>
      </c>
      <c r="G445" s="22" t="n">
        <v>140.27274</v>
      </c>
      <c r="H445" s="23">
        <f>IF(AND(ISNUMBER(F445),ISNUMBER(G445),F445&gt;0),G445/F445-1,"")</f>
        <v/>
      </c>
      <c r="I445" s="22" t="n">
        <v>125</v>
      </c>
      <c r="J445" s="23">
        <f>IF(AND(ISNUMBER(F445),ISNUMBER(I445),F445&gt;0),I445/F445-1,"")</f>
        <v/>
      </c>
      <c r="K445" s="22" t="n">
        <v>155</v>
      </c>
      <c r="L445" s="23">
        <f>IF(AND(ISNUMBER(F445),ISNUMBER(K445),F445&gt;0),K445/F445-1,"")</f>
        <v/>
      </c>
      <c r="M445" s="24" t="n">
        <v>11</v>
      </c>
      <c r="N445" s="25" t="n">
        <v>3.58</v>
      </c>
      <c r="O445" s="26">
        <f>IF(AND(ISNUMBER(F445),ISNUMBER(N445),F445&gt;0),N445/F445,"")</f>
        <v/>
      </c>
      <c r="P445" s="27" t="n">
        <v>46245</v>
      </c>
      <c r="Q445" s="27" t="n">
        <v>46323</v>
      </c>
      <c r="R445" s="25" t="n">
        <v>5.77</v>
      </c>
      <c r="S445" s="28">
        <f>IF(AND(ISNUMBER(F445),ISNUMBER(R445),R445&gt;0),F445/R445,"")</f>
        <v/>
      </c>
      <c r="T445" s="27" t="n">
        <v>46323</v>
      </c>
    </row>
    <row r="446">
      <c r="A446" s="11" t="inlineStr">
        <is>
          <t>WST</t>
        </is>
      </c>
      <c r="B446" s="11" t="inlineStr">
        <is>
          <t>West Pharmaceutical Services, I</t>
        </is>
      </c>
      <c r="C446" s="11" t="inlineStr">
        <is>
          <t>Medical Instruments &amp; Supplies</t>
        </is>
      </c>
      <c r="D446" s="11" t="inlineStr">
        <is>
          <t>United States</t>
        </is>
      </c>
      <c r="E446" s="12" t="n">
        <v>28.03</v>
      </c>
      <c r="F446" s="13" t="n">
        <v>398.29</v>
      </c>
      <c r="G446" s="13" t="n">
        <v>416.4</v>
      </c>
      <c r="H446" s="14">
        <f>IF(AND(ISNUMBER(F446),ISNUMBER(G446),F446&gt;0),G446/F446-1,"")</f>
        <v/>
      </c>
      <c r="I446" s="13" t="n">
        <v>340</v>
      </c>
      <c r="J446" s="14">
        <f>IF(AND(ISNUMBER(F446),ISNUMBER(I446),F446&gt;0),I446/F446-1,"")</f>
        <v/>
      </c>
      <c r="K446" s="13" t="n">
        <v>459</v>
      </c>
      <c r="L446" s="14">
        <f>IF(AND(ISNUMBER(F446),ISNUMBER(K446),F446&gt;0),K446/F446-1,"")</f>
        <v/>
      </c>
      <c r="M446" s="15" t="n">
        <v>15</v>
      </c>
      <c r="N446" s="16" t="n">
        <v>1.04</v>
      </c>
      <c r="O446" s="17">
        <f>IF(AND(ISNUMBER(F446),ISNUMBER(N446),F446&gt;0),N446/F446,"")</f>
        <v/>
      </c>
      <c r="P446" s="18" t="n">
        <v>46336</v>
      </c>
      <c r="Q446" s="18" t="n">
        <v>46324</v>
      </c>
      <c r="R446" s="16" t="n">
        <v>7.81</v>
      </c>
      <c r="S446" s="19">
        <f>IF(AND(ISNUMBER(F446),ISNUMBER(R446),R446&gt;0),F446/R446,"")</f>
        <v/>
      </c>
      <c r="T446" s="18" t="n">
        <v>46323</v>
      </c>
    </row>
    <row r="447">
      <c r="A447" s="20" t="inlineStr">
        <is>
          <t>FTI</t>
        </is>
      </c>
      <c r="B447" s="20" t="inlineStr">
        <is>
          <t>TechnipFMC plc</t>
        </is>
      </c>
      <c r="C447" s="20" t="inlineStr">
        <is>
          <t>Oil &amp; Gas Equipment &amp; Services</t>
        </is>
      </c>
      <c r="D447" s="20" t="inlineStr">
        <is>
          <t>United Kingdom</t>
        </is>
      </c>
      <c r="E447" s="21" t="n">
        <v>27.99</v>
      </c>
      <c r="F447" s="22" t="n">
        <v>71.38</v>
      </c>
      <c r="G447" s="22" t="n">
        <v>76.40909000000001</v>
      </c>
      <c r="H447" s="23">
        <f>IF(AND(ISNUMBER(F447),ISNUMBER(G447),F447&gt;0),G447/F447-1,"")</f>
        <v/>
      </c>
      <c r="I447" s="22" t="n">
        <v>45</v>
      </c>
      <c r="J447" s="23">
        <f>IF(AND(ISNUMBER(F447),ISNUMBER(I447),F447&gt;0),I447/F447-1,"")</f>
        <v/>
      </c>
      <c r="K447" s="22" t="n">
        <v>89</v>
      </c>
      <c r="L447" s="23">
        <f>IF(AND(ISNUMBER(F447),ISNUMBER(K447),F447&gt;0),K447/F447-1,"")</f>
        <v/>
      </c>
      <c r="M447" s="24" t="n">
        <v>22</v>
      </c>
      <c r="N447" s="25" t="n">
        <v>0.2</v>
      </c>
      <c r="O447" s="26">
        <f>IF(AND(ISNUMBER(F447),ISNUMBER(N447),F447&gt;0),N447/F447,"")</f>
        <v/>
      </c>
      <c r="P447" s="27" t="n">
        <v>46252</v>
      </c>
      <c r="Q447" s="27" t="n">
        <v>46324</v>
      </c>
      <c r="R447" s="25" t="n">
        <v>2.87</v>
      </c>
      <c r="S447" s="28">
        <f>IF(AND(ISNUMBER(F447),ISNUMBER(R447),R447&gt;0),F447/R447,"")</f>
        <v/>
      </c>
      <c r="T447" s="27" t="n">
        <v>46323</v>
      </c>
    </row>
    <row r="448">
      <c r="A448" s="11" t="inlineStr">
        <is>
          <t>DG</t>
        </is>
      </c>
      <c r="B448" s="11" t="inlineStr">
        <is>
          <t>Dollar General Corporation</t>
        </is>
      </c>
      <c r="C448" s="11" t="inlineStr">
        <is>
          <t>Discount Stores</t>
        </is>
      </c>
      <c r="D448" s="11" t="inlineStr">
        <is>
          <t>United States</t>
        </is>
      </c>
      <c r="E448" s="12" t="n">
        <v>27.99</v>
      </c>
      <c r="F448" s="13" t="n">
        <v>126.86</v>
      </c>
      <c r="G448" s="13" t="n">
        <v>142.89655</v>
      </c>
      <c r="H448" s="14">
        <f>IF(AND(ISNUMBER(F448),ISNUMBER(G448),F448&gt;0),G448/F448-1,"")</f>
        <v/>
      </c>
      <c r="I448" s="13" t="n">
        <v>90</v>
      </c>
      <c r="J448" s="14">
        <f>IF(AND(ISNUMBER(F448),ISNUMBER(I448),F448&gt;0),I448/F448-1,"")</f>
        <v/>
      </c>
      <c r="K448" s="13" t="n">
        <v>180</v>
      </c>
      <c r="L448" s="14">
        <f>IF(AND(ISNUMBER(F448),ISNUMBER(K448),F448&gt;0),K448/F448-1,"")</f>
        <v/>
      </c>
      <c r="M448" s="15" t="n">
        <v>29</v>
      </c>
      <c r="N448" s="16" t="n">
        <v>2.36</v>
      </c>
      <c r="O448" s="17">
        <f>IF(AND(ISNUMBER(F448),ISNUMBER(N448),F448&gt;0),N448/F448,"")</f>
        <v/>
      </c>
      <c r="P448" s="18" t="n">
        <v>46301</v>
      </c>
      <c r="Q448" s="18" t="n">
        <v>46261</v>
      </c>
      <c r="R448" s="16" t="n">
        <v>7.7</v>
      </c>
      <c r="S448" s="19">
        <f>IF(AND(ISNUMBER(F448),ISNUMBER(R448),R448&gt;0),F448/R448,"")</f>
        <v/>
      </c>
      <c r="T448" s="18" t="n">
        <v>46323</v>
      </c>
    </row>
    <row r="449">
      <c r="A449" s="20" t="inlineStr">
        <is>
          <t>SN</t>
        </is>
      </c>
      <c r="B449" s="20" t="inlineStr">
        <is>
          <t>SharkNinja, Inc.</t>
        </is>
      </c>
      <c r="C449" s="20" t="inlineStr">
        <is>
          <t>Furnishings, Fixtures &amp; Appliances</t>
        </is>
      </c>
      <c r="D449" s="20" t="inlineStr">
        <is>
          <t>United States</t>
        </is>
      </c>
      <c r="E449" s="21" t="n">
        <v>27.95</v>
      </c>
      <c r="F449" s="22" t="n">
        <v>197.53</v>
      </c>
      <c r="G449" s="22" t="n">
        <v>212.98083</v>
      </c>
      <c r="H449" s="23">
        <f>IF(AND(ISNUMBER(F449),ISNUMBER(G449),F449&gt;0),G449/F449-1,"")</f>
        <v/>
      </c>
      <c r="I449" s="22" t="n">
        <v>195.67</v>
      </c>
      <c r="J449" s="23">
        <f>IF(AND(ISNUMBER(F449),ISNUMBER(I449),F449&gt;0),I449/F449-1,"")</f>
        <v/>
      </c>
      <c r="K449" s="22" t="n">
        <v>240</v>
      </c>
      <c r="L449" s="23">
        <f>IF(AND(ISNUMBER(F449),ISNUMBER(K449),F449&gt;0),K449/F449-1,"")</f>
        <v/>
      </c>
      <c r="M449" s="24" t="n">
        <v>12</v>
      </c>
      <c r="N449" s="25" t="n"/>
      <c r="O449" s="26">
        <f>IF(AND(ISNUMBER(F449),ISNUMBER(N449),F449&gt;0),N449/F449,"")</f>
        <v/>
      </c>
      <c r="P449" s="27" t="n"/>
      <c r="Q449" s="27" t="n">
        <v>46330</v>
      </c>
      <c r="R449" s="25" t="n">
        <v>4.9</v>
      </c>
      <c r="S449" s="28">
        <f>IF(AND(ISNUMBER(F449),ISNUMBER(R449),R449&gt;0),F449/R449,"")</f>
        <v/>
      </c>
      <c r="T449" s="27" t="n">
        <v>46323</v>
      </c>
    </row>
    <row r="450">
      <c r="A450" s="11" t="inlineStr">
        <is>
          <t>RBRK</t>
        </is>
      </c>
      <c r="B450" s="11" t="inlineStr">
        <is>
          <t>Rubrik, Inc.</t>
        </is>
      </c>
      <c r="C450" s="11" t="inlineStr">
        <is>
          <t>Software - Infrastructure</t>
        </is>
      </c>
      <c r="D450" s="11" t="inlineStr">
        <is>
          <t>United States</t>
        </is>
      </c>
      <c r="E450" s="12" t="n">
        <v>27.94</v>
      </c>
      <c r="F450" s="13" t="n">
        <v>135.74</v>
      </c>
      <c r="G450" s="13" t="n">
        <v>121.25926</v>
      </c>
      <c r="H450" s="14">
        <f>IF(AND(ISNUMBER(F450),ISNUMBER(G450),F450&gt;0),G450/F450-1,"")</f>
        <v/>
      </c>
      <c r="I450" s="13" t="n">
        <v>110</v>
      </c>
      <c r="J450" s="14">
        <f>IF(AND(ISNUMBER(F450),ISNUMBER(I450),F450&gt;0),I450/F450-1,"")</f>
        <v/>
      </c>
      <c r="K450" s="13" t="n">
        <v>150</v>
      </c>
      <c r="L450" s="14">
        <f>IF(AND(ISNUMBER(F450),ISNUMBER(K450),F450&gt;0),K450/F450-1,"")</f>
        <v/>
      </c>
      <c r="M450" s="15" t="n">
        <v>27</v>
      </c>
      <c r="N450" s="16" t="n"/>
      <c r="O450" s="17">
        <f>IF(AND(ISNUMBER(F450),ISNUMBER(N450),F450&gt;0),N450/F450,"")</f>
        <v/>
      </c>
      <c r="P450" s="18" t="n"/>
      <c r="Q450" s="18" t="n">
        <v>46261</v>
      </c>
      <c r="R450" s="16" t="n">
        <v>-1.27</v>
      </c>
      <c r="S450" s="19">
        <f>IF(AND(ISNUMBER(F450),ISNUMBER(R450),R450&gt;0),F450/R450,"")</f>
        <v/>
      </c>
      <c r="T450" s="18" t="n">
        <v>46323</v>
      </c>
    </row>
    <row r="451">
      <c r="A451" s="20" t="inlineStr">
        <is>
          <t>CINF</t>
        </is>
      </c>
      <c r="B451" s="20" t="inlineStr">
        <is>
          <t>Cincinnati Financial Corporatio</t>
        </is>
      </c>
      <c r="C451" s="20" t="inlineStr">
        <is>
          <t>Insurance - Property &amp; Casualty</t>
        </is>
      </c>
      <c r="D451" s="20" t="inlineStr">
        <is>
          <t>United States</t>
        </is>
      </c>
      <c r="E451" s="21" t="n">
        <v>27.84</v>
      </c>
      <c r="F451" s="22" t="n">
        <v>181.41</v>
      </c>
      <c r="G451" s="22" t="n">
        <v>186.5</v>
      </c>
      <c r="H451" s="23">
        <f>IF(AND(ISNUMBER(F451),ISNUMBER(G451),F451&gt;0),G451/F451-1,"")</f>
        <v/>
      </c>
      <c r="I451" s="22" t="n">
        <v>171</v>
      </c>
      <c r="J451" s="23">
        <f>IF(AND(ISNUMBER(F451),ISNUMBER(I451),F451&gt;0),I451/F451-1,"")</f>
        <v/>
      </c>
      <c r="K451" s="22" t="n">
        <v>200</v>
      </c>
      <c r="L451" s="23">
        <f>IF(AND(ISNUMBER(F451),ISNUMBER(K451),F451&gt;0),K451/F451-1,"")</f>
        <v/>
      </c>
      <c r="M451" s="24" t="n">
        <v>6</v>
      </c>
      <c r="N451" s="25" t="n">
        <v>3.76</v>
      </c>
      <c r="O451" s="26">
        <f>IF(AND(ISNUMBER(F451),ISNUMBER(N451),F451&gt;0),N451/F451,"")</f>
        <v/>
      </c>
      <c r="P451" s="27" t="n">
        <v>46288</v>
      </c>
      <c r="Q451" s="27" t="n">
        <v>46321</v>
      </c>
      <c r="R451" s="25" t="n">
        <v>21.18</v>
      </c>
      <c r="S451" s="28">
        <f>IF(AND(ISNUMBER(F451),ISNUMBER(R451),R451&gt;0),F451/R451,"")</f>
        <v/>
      </c>
      <c r="T451" s="27" t="n">
        <v>46323</v>
      </c>
    </row>
    <row r="452">
      <c r="A452" s="11" t="inlineStr">
        <is>
          <t>CNP</t>
        </is>
      </c>
      <c r="B452" s="11" t="inlineStr">
        <is>
          <t>CenterPoint Energy, Inc (Holdin</t>
        </is>
      </c>
      <c r="C452" s="11" t="inlineStr">
        <is>
          <t>Utilities - Regulated Electric</t>
        </is>
      </c>
      <c r="D452" s="11" t="inlineStr">
        <is>
          <t>United States</t>
        </is>
      </c>
      <c r="E452" s="12" t="n">
        <v>27.65</v>
      </c>
      <c r="F452" s="13" t="n">
        <v>41.97</v>
      </c>
      <c r="G452" s="13" t="n">
        <v>44.15789</v>
      </c>
      <c r="H452" s="14">
        <f>IF(AND(ISNUMBER(F452),ISNUMBER(G452),F452&gt;0),G452/F452-1,"")</f>
        <v/>
      </c>
      <c r="I452" s="13" t="n">
        <v>39</v>
      </c>
      <c r="J452" s="14">
        <f>IF(AND(ISNUMBER(F452),ISNUMBER(I452),F452&gt;0),I452/F452-1,"")</f>
        <v/>
      </c>
      <c r="K452" s="13" t="n">
        <v>49</v>
      </c>
      <c r="L452" s="14">
        <f>IF(AND(ISNUMBER(F452),ISNUMBER(K452),F452&gt;0),K452/F452-1,"")</f>
        <v/>
      </c>
      <c r="M452" s="15" t="n">
        <v>19</v>
      </c>
      <c r="N452" s="16" t="n">
        <v>0.96</v>
      </c>
      <c r="O452" s="17">
        <f>IF(AND(ISNUMBER(F452),ISNUMBER(N452),F452&gt;0),N452/F452,"")</f>
        <v/>
      </c>
      <c r="P452" s="18" t="n">
        <v>46345</v>
      </c>
      <c r="Q452" s="18" t="n">
        <v>46322</v>
      </c>
      <c r="R452" s="16" t="n">
        <v>1.69</v>
      </c>
      <c r="S452" s="19">
        <f>IF(AND(ISNUMBER(F452),ISNUMBER(R452),R452&gt;0),F452/R452,"")</f>
        <v/>
      </c>
      <c r="T452" s="18" t="n">
        <v>46323</v>
      </c>
    </row>
    <row r="453">
      <c r="A453" s="20" t="inlineStr">
        <is>
          <t>DTE</t>
        </is>
      </c>
      <c r="B453" s="20" t="inlineStr">
        <is>
          <t>DTE Energy Company</t>
        </is>
      </c>
      <c r="C453" s="20" t="inlineStr">
        <is>
          <t>Utilities - Regulated Electric</t>
        </is>
      </c>
      <c r="D453" s="20" t="inlineStr">
        <is>
          <t>United States</t>
        </is>
      </c>
      <c r="E453" s="21" t="n">
        <v>27.61</v>
      </c>
      <c r="F453" s="22" t="n">
        <v>132.67</v>
      </c>
      <c r="G453" s="22" t="n">
        <v>148.03333</v>
      </c>
      <c r="H453" s="23">
        <f>IF(AND(ISNUMBER(F453),ISNUMBER(G453),F453&gt;0),G453/F453-1,"")</f>
        <v/>
      </c>
      <c r="I453" s="22" t="n">
        <v>135</v>
      </c>
      <c r="J453" s="23">
        <f>IF(AND(ISNUMBER(F453),ISNUMBER(I453),F453&gt;0),I453/F453-1,"")</f>
        <v/>
      </c>
      <c r="K453" s="22" t="n">
        <v>168</v>
      </c>
      <c r="L453" s="23">
        <f>IF(AND(ISNUMBER(F453),ISNUMBER(K453),F453&gt;0),K453/F453-1,"")</f>
        <v/>
      </c>
      <c r="M453" s="24" t="n">
        <v>15</v>
      </c>
      <c r="N453" s="25" t="n">
        <v>4.66</v>
      </c>
      <c r="O453" s="26">
        <f>IF(AND(ISNUMBER(F453),ISNUMBER(N453),F453&gt;0),N453/F453,"")</f>
        <v/>
      </c>
      <c r="P453" s="27" t="n">
        <v>46286</v>
      </c>
      <c r="Q453" s="27" t="n">
        <v>46331</v>
      </c>
      <c r="R453" s="25" t="n">
        <v>6.31</v>
      </c>
      <c r="S453" s="28">
        <f>IF(AND(ISNUMBER(F453),ISNUMBER(R453),R453&gt;0),F453/R453,"")</f>
        <v/>
      </c>
      <c r="T453" s="27" t="n">
        <v>46323</v>
      </c>
    </row>
    <row r="454">
      <c r="A454" s="11" t="inlineStr">
        <is>
          <t>RYAAY</t>
        </is>
      </c>
      <c r="B454" s="11" t="inlineStr">
        <is>
          <t>Ryanair Holdings plc</t>
        </is>
      </c>
      <c r="C454" s="11" t="inlineStr">
        <is>
          <t>Airlines</t>
        </is>
      </c>
      <c r="D454" s="11" t="inlineStr">
        <is>
          <t>Ireland</t>
        </is>
      </c>
      <c r="E454" s="12" t="n">
        <v>27.6</v>
      </c>
      <c r="F454" s="13" t="n">
        <v>53.29</v>
      </c>
      <c r="G454" s="13" t="n">
        <v>67.51667</v>
      </c>
      <c r="H454" s="14">
        <f>IF(AND(ISNUMBER(F454),ISNUMBER(G454),F454&gt;0),G454/F454-1,"")</f>
        <v/>
      </c>
      <c r="I454" s="13" t="n">
        <v>58.4</v>
      </c>
      <c r="J454" s="14">
        <f>IF(AND(ISNUMBER(F454),ISNUMBER(I454),F454&gt;0),I454/F454-1,"")</f>
        <v/>
      </c>
      <c r="K454" s="13" t="n">
        <v>75</v>
      </c>
      <c r="L454" s="14">
        <f>IF(AND(ISNUMBER(F454),ISNUMBER(K454),F454&gt;0),K454/F454-1,"")</f>
        <v/>
      </c>
      <c r="M454" s="15" t="n">
        <v>6</v>
      </c>
      <c r="N454" s="16" t="n">
        <v>0.9</v>
      </c>
      <c r="O454" s="17">
        <f>IF(AND(ISNUMBER(F454),ISNUMBER(N454),F454&gt;0),N454/F454,"")</f>
        <v/>
      </c>
      <c r="P454" s="18" t="n">
        <v>46241</v>
      </c>
      <c r="Q454" s="18" t="n">
        <v>46328</v>
      </c>
      <c r="R454" s="16" t="n">
        <v>4.16</v>
      </c>
      <c r="S454" s="19">
        <f>IF(AND(ISNUMBER(F454),ISNUMBER(R454),R454&gt;0),F454/R454,"")</f>
        <v/>
      </c>
      <c r="T454" s="18" t="n">
        <v>46323</v>
      </c>
    </row>
    <row r="455">
      <c r="A455" s="20" t="inlineStr">
        <is>
          <t>CFG</t>
        </is>
      </c>
      <c r="B455" s="20" t="inlineStr">
        <is>
          <t>Citizens Financial Group, Inc.</t>
        </is>
      </c>
      <c r="C455" s="20" t="inlineStr">
        <is>
          <t>Banks - Regional</t>
        </is>
      </c>
      <c r="D455" s="20" t="inlineStr">
        <is>
          <t>United States</t>
        </is>
      </c>
      <c r="E455" s="21" t="n">
        <v>27.51</v>
      </c>
      <c r="F455" s="22" t="n">
        <v>65.31</v>
      </c>
      <c r="G455" s="22" t="n">
        <v>76.39474</v>
      </c>
      <c r="H455" s="23">
        <f>IF(AND(ISNUMBER(F455),ISNUMBER(G455),F455&gt;0),G455/F455-1,"")</f>
        <v/>
      </c>
      <c r="I455" s="22" t="n">
        <v>65</v>
      </c>
      <c r="J455" s="23">
        <f>IF(AND(ISNUMBER(F455),ISNUMBER(I455),F455&gt;0),I455/F455-1,"")</f>
        <v/>
      </c>
      <c r="K455" s="22" t="n">
        <v>87</v>
      </c>
      <c r="L455" s="23">
        <f>IF(AND(ISNUMBER(F455),ISNUMBER(K455),F455&gt;0),K455/F455-1,"")</f>
        <v/>
      </c>
      <c r="M455" s="24" t="n">
        <v>19</v>
      </c>
      <c r="N455" s="25" t="n">
        <v>2.08</v>
      </c>
      <c r="O455" s="26">
        <f>IF(AND(ISNUMBER(F455),ISNUMBER(N455),F455&gt;0),N455/F455,"")</f>
        <v/>
      </c>
      <c r="P455" s="27" t="n">
        <v>46325</v>
      </c>
      <c r="Q455" s="27" t="n">
        <v>46402</v>
      </c>
      <c r="R455" s="25" t="n">
        <v>4.59</v>
      </c>
      <c r="S455" s="28">
        <f>IF(AND(ISNUMBER(F455),ISNUMBER(R455),R455&gt;0),F455/R455,"")</f>
        <v/>
      </c>
      <c r="T455" s="27" t="n">
        <v>46323</v>
      </c>
    </row>
    <row r="456">
      <c r="A456" s="11" t="inlineStr">
        <is>
          <t>GMAB</t>
        </is>
      </c>
      <c r="B456" s="11" t="inlineStr">
        <is>
          <t>Genmab A/S</t>
        </is>
      </c>
      <c r="C456" s="11" t="inlineStr">
        <is>
          <t>Biotechnology</t>
        </is>
      </c>
      <c r="D456" s="11" t="inlineStr">
        <is>
          <t>Denmark</t>
        </is>
      </c>
      <c r="E456" s="12" t="n">
        <v>27.47</v>
      </c>
      <c r="F456" s="13" t="n">
        <v>44.67</v>
      </c>
      <c r="G456" s="13" t="n">
        <v>48.27273</v>
      </c>
      <c r="H456" s="14">
        <f>IF(AND(ISNUMBER(F456),ISNUMBER(G456),F456&gt;0),G456/F456-1,"")</f>
        <v/>
      </c>
      <c r="I456" s="13" t="n">
        <v>33.5</v>
      </c>
      <c r="J456" s="14">
        <f>IF(AND(ISNUMBER(F456),ISNUMBER(I456),F456&gt;0),I456/F456-1,"")</f>
        <v/>
      </c>
      <c r="K456" s="13" t="n">
        <v>60</v>
      </c>
      <c r="L456" s="14">
        <f>IF(AND(ISNUMBER(F456),ISNUMBER(K456),F456&gt;0),K456/F456-1,"")</f>
        <v/>
      </c>
      <c r="M456" s="15" t="n">
        <v>11</v>
      </c>
      <c r="N456" s="16" t="n"/>
      <c r="O456" s="17">
        <f>IF(AND(ISNUMBER(F456),ISNUMBER(N456),F456&gt;0),N456/F456,"")</f>
        <v/>
      </c>
      <c r="P456" s="18" t="n"/>
      <c r="Q456" s="18" t="n">
        <v>46331</v>
      </c>
      <c r="R456" s="16" t="n">
        <v>1.29</v>
      </c>
      <c r="S456" s="19">
        <f>IF(AND(ISNUMBER(F456),ISNUMBER(R456),R456&gt;0),F456/R456,"")</f>
        <v/>
      </c>
      <c r="T456" s="18" t="n">
        <v>46323</v>
      </c>
    </row>
    <row r="457">
      <c r="A457" s="20" t="inlineStr">
        <is>
          <t>DOV</t>
        </is>
      </c>
      <c r="B457" s="20" t="inlineStr">
        <is>
          <t>Dover Corporation</t>
        </is>
      </c>
      <c r="C457" s="20" t="inlineStr">
        <is>
          <t>Specialty Industrial Machinery</t>
        </is>
      </c>
      <c r="D457" s="20" t="inlineStr">
        <is>
          <t>United States</t>
        </is>
      </c>
      <c r="E457" s="21" t="n">
        <v>27.42</v>
      </c>
      <c r="F457" s="22" t="n">
        <v>206.18</v>
      </c>
      <c r="G457" s="22" t="n">
        <v>238.78947</v>
      </c>
      <c r="H457" s="23">
        <f>IF(AND(ISNUMBER(F457),ISNUMBER(G457),F457&gt;0),G457/F457-1,"")</f>
        <v/>
      </c>
      <c r="I457" s="22" t="n">
        <v>178</v>
      </c>
      <c r="J457" s="23">
        <f>IF(AND(ISNUMBER(F457),ISNUMBER(I457),F457&gt;0),I457/F457-1,"")</f>
        <v/>
      </c>
      <c r="K457" s="22" t="n">
        <v>284</v>
      </c>
      <c r="L457" s="23">
        <f>IF(AND(ISNUMBER(F457),ISNUMBER(K457),F457&gt;0),K457/F457-1,"")</f>
        <v/>
      </c>
      <c r="M457" s="24" t="n">
        <v>19</v>
      </c>
      <c r="N457" s="25" t="n">
        <v>2.1</v>
      </c>
      <c r="O457" s="26">
        <f>IF(AND(ISNUMBER(F457),ISNUMBER(N457),F457&gt;0),N457/F457,"")</f>
        <v/>
      </c>
      <c r="P457" s="27" t="n">
        <v>46265</v>
      </c>
      <c r="Q457" s="27" t="n">
        <v>46317</v>
      </c>
      <c r="R457" s="25" t="n">
        <v>8.710000000000001</v>
      </c>
      <c r="S457" s="28">
        <f>IF(AND(ISNUMBER(F457),ISNUMBER(R457),R457&gt;0),F457/R457,"")</f>
        <v/>
      </c>
      <c r="T457" s="27" t="n">
        <v>46323</v>
      </c>
    </row>
    <row r="458">
      <c r="A458" s="11" t="inlineStr">
        <is>
          <t>KGC</t>
        </is>
      </c>
      <c r="B458" s="11" t="inlineStr">
        <is>
          <t>Kinross Gold Corporation</t>
        </is>
      </c>
      <c r="C458" s="11" t="inlineStr">
        <is>
          <t>Gold</t>
        </is>
      </c>
      <c r="D458" s="11" t="inlineStr">
        <is>
          <t>Canada</t>
        </is>
      </c>
      <c r="E458" s="12" t="n">
        <v>27.28</v>
      </c>
      <c r="F458" s="13" t="n">
        <v>23</v>
      </c>
      <c r="G458" s="13" t="n">
        <v>31.005</v>
      </c>
      <c r="H458" s="14">
        <f>IF(AND(ISNUMBER(F458),ISNUMBER(G458),F458&gt;0),G458/F458-1,"")</f>
        <v/>
      </c>
      <c r="I458" s="13" t="n">
        <v>9.300000000000001</v>
      </c>
      <c r="J458" s="14">
        <f>IF(AND(ISNUMBER(F458),ISNUMBER(I458),F458&gt;0),I458/F458-1,"")</f>
        <v/>
      </c>
      <c r="K458" s="13" t="n">
        <v>39</v>
      </c>
      <c r="L458" s="14">
        <f>IF(AND(ISNUMBER(F458),ISNUMBER(K458),F458&gt;0),K458/F458-1,"")</f>
        <v/>
      </c>
      <c r="M458" s="15" t="n">
        <v>10</v>
      </c>
      <c r="N458" s="16" t="n">
        <v>0.16</v>
      </c>
      <c r="O458" s="17">
        <f>IF(AND(ISNUMBER(F458),ISNUMBER(N458),F458&gt;0),N458/F458,"")</f>
        <v/>
      </c>
      <c r="P458" s="18" t="n">
        <v>46254</v>
      </c>
      <c r="Q458" s="18" t="n">
        <v>46323</v>
      </c>
      <c r="R458" s="16" t="n">
        <v>2.63</v>
      </c>
      <c r="S458" s="19">
        <f>IF(AND(ISNUMBER(F458),ISNUMBER(R458),R458&gt;0),F458/R458,"")</f>
        <v/>
      </c>
      <c r="T458" s="18" t="n">
        <v>46323</v>
      </c>
    </row>
    <row r="459">
      <c r="A459" s="20" t="inlineStr">
        <is>
          <t>VRSN</t>
        </is>
      </c>
      <c r="B459" s="20" t="inlineStr">
        <is>
          <t>VeriSign, Inc.</t>
        </is>
      </c>
      <c r="C459" s="20" t="inlineStr">
        <is>
          <t>Software - Infrastructure</t>
        </is>
      </c>
      <c r="D459" s="20" t="inlineStr">
        <is>
          <t>United States</t>
        </is>
      </c>
      <c r="E459" s="21" t="n">
        <v>27.27</v>
      </c>
      <c r="F459" s="22" t="n">
        <v>304.04</v>
      </c>
      <c r="G459" s="22" t="n">
        <v>339.6</v>
      </c>
      <c r="H459" s="23">
        <f>IF(AND(ISNUMBER(F459),ISNUMBER(G459),F459&gt;0),G459/F459-1,"")</f>
        <v/>
      </c>
      <c r="I459" s="22" t="n">
        <v>290</v>
      </c>
      <c r="J459" s="23">
        <f>IF(AND(ISNUMBER(F459),ISNUMBER(I459),F459&gt;0),I459/F459-1,"")</f>
        <v/>
      </c>
      <c r="K459" s="22" t="n">
        <v>380</v>
      </c>
      <c r="L459" s="23">
        <f>IF(AND(ISNUMBER(F459),ISNUMBER(K459),F459&gt;0),K459/F459-1,"")</f>
        <v/>
      </c>
      <c r="M459" s="24" t="n">
        <v>5</v>
      </c>
      <c r="N459" s="25" t="n">
        <v>3.24</v>
      </c>
      <c r="O459" s="26">
        <f>IF(AND(ISNUMBER(F459),ISNUMBER(N459),F459&gt;0),N459/F459,"")</f>
        <v/>
      </c>
      <c r="P459" s="27" t="n">
        <v>46343</v>
      </c>
      <c r="Q459" s="27" t="n">
        <v>46317</v>
      </c>
      <c r="R459" s="25" t="n">
        <v>9.130000000000001</v>
      </c>
      <c r="S459" s="28">
        <f>IF(AND(ISNUMBER(F459),ISNUMBER(R459),R459&gt;0),F459/R459,"")</f>
        <v/>
      </c>
      <c r="T459" s="27" t="n">
        <v>46323</v>
      </c>
    </row>
    <row r="460">
      <c r="A460" s="11" t="inlineStr">
        <is>
          <t>FOXA</t>
        </is>
      </c>
      <c r="B460" s="11" t="inlineStr">
        <is>
          <t>Fox Corporation</t>
        </is>
      </c>
      <c r="C460" s="11" t="inlineStr">
        <is>
          <t>Entertainment</t>
        </is>
      </c>
      <c r="D460" s="11" t="inlineStr">
        <is>
          <t>United States</t>
        </is>
      </c>
      <c r="E460" s="12" t="n">
        <v>27.21</v>
      </c>
      <c r="F460" s="13" t="n">
        <v>64.53</v>
      </c>
      <c r="G460" s="13" t="n">
        <v>79.62833000000001</v>
      </c>
      <c r="H460" s="14">
        <f>IF(AND(ISNUMBER(F460),ISNUMBER(G460),F460&gt;0),G460/F460-1,"")</f>
        <v/>
      </c>
      <c r="I460" s="13" t="n">
        <v>60</v>
      </c>
      <c r="J460" s="14">
        <f>IF(AND(ISNUMBER(F460),ISNUMBER(I460),F460&gt;0),I460/F460-1,"")</f>
        <v/>
      </c>
      <c r="K460" s="13" t="n">
        <v>125</v>
      </c>
      <c r="L460" s="14">
        <f>IF(AND(ISNUMBER(F460),ISNUMBER(K460),F460&gt;0),K460/F460-1,"")</f>
        <v/>
      </c>
      <c r="M460" s="15" t="n">
        <v>18</v>
      </c>
      <c r="N460" s="16" t="n">
        <v>0.58</v>
      </c>
      <c r="O460" s="17">
        <f>IF(AND(ISNUMBER(F460),ISNUMBER(N460),F460&gt;0),N460/F460,"")</f>
        <v/>
      </c>
      <c r="P460" s="18" t="n">
        <v>46267</v>
      </c>
      <c r="Q460" s="18" t="n">
        <v>46328</v>
      </c>
      <c r="R460" s="16" t="n">
        <v>3.84</v>
      </c>
      <c r="S460" s="19">
        <f>IF(AND(ISNUMBER(F460),ISNUMBER(R460),R460&gt;0),F460/R460,"")</f>
        <v/>
      </c>
      <c r="T460" s="18" t="n">
        <v>46323</v>
      </c>
    </row>
    <row r="461">
      <c r="A461" s="20" t="inlineStr">
        <is>
          <t>WRB</t>
        </is>
      </c>
      <c r="B461" s="20" t="inlineStr">
        <is>
          <t>W.R. Berkley Corporation</t>
        </is>
      </c>
      <c r="C461" s="20" t="inlineStr">
        <is>
          <t>Insurance - Property &amp; Casualty</t>
        </is>
      </c>
      <c r="D461" s="20" t="inlineStr">
        <is>
          <t>United States</t>
        </is>
      </c>
      <c r="E461" s="21" t="n">
        <v>26.87</v>
      </c>
      <c r="F461" s="22" t="n">
        <v>72.38</v>
      </c>
      <c r="G461" s="22" t="n">
        <v>69.17646999999999</v>
      </c>
      <c r="H461" s="23">
        <f>IF(AND(ISNUMBER(F461),ISNUMBER(G461),F461&gt;0),G461/F461-1,"")</f>
        <v/>
      </c>
      <c r="I461" s="22" t="n">
        <v>51</v>
      </c>
      <c r="J461" s="23">
        <f>IF(AND(ISNUMBER(F461),ISNUMBER(I461),F461&gt;0),I461/F461-1,"")</f>
        <v/>
      </c>
      <c r="K461" s="22" t="n">
        <v>83</v>
      </c>
      <c r="L461" s="23">
        <f>IF(AND(ISNUMBER(F461),ISNUMBER(K461),F461&gt;0),K461/F461-1,"")</f>
        <v/>
      </c>
      <c r="M461" s="24" t="n">
        <v>17</v>
      </c>
      <c r="N461" s="25" t="n">
        <v>0.4</v>
      </c>
      <c r="O461" s="26">
        <f>IF(AND(ISNUMBER(F461),ISNUMBER(N461),F461&gt;0),N461/F461,"")</f>
        <v/>
      </c>
      <c r="P461" s="27" t="n">
        <v>46286</v>
      </c>
      <c r="Q461" s="27" t="n">
        <v>46314</v>
      </c>
      <c r="R461" s="25" t="n">
        <v>4.73</v>
      </c>
      <c r="S461" s="28">
        <f>IF(AND(ISNUMBER(F461),ISNUMBER(R461),R461&gt;0),F461/R461,"")</f>
        <v/>
      </c>
      <c r="T461" s="27" t="n">
        <v>46323</v>
      </c>
    </row>
    <row r="462">
      <c r="A462" s="11" t="inlineStr">
        <is>
          <t>LH</t>
        </is>
      </c>
      <c r="B462" s="11" t="inlineStr">
        <is>
          <t>Labcorp Holdings Inc.</t>
        </is>
      </c>
      <c r="C462" s="11" t="inlineStr">
        <is>
          <t>Diagnostics &amp; Research</t>
        </is>
      </c>
      <c r="D462" s="11" t="inlineStr">
        <is>
          <t>United States</t>
        </is>
      </c>
      <c r="E462" s="12" t="n">
        <v>26.86</v>
      </c>
      <c r="F462" s="13" t="n">
        <v>331.17</v>
      </c>
      <c r="G462" s="13" t="n">
        <v>345.125</v>
      </c>
      <c r="H462" s="14">
        <f>IF(AND(ISNUMBER(F462),ISNUMBER(G462),F462&gt;0),G462/F462-1,"")</f>
        <v/>
      </c>
      <c r="I462" s="13" t="n">
        <v>293</v>
      </c>
      <c r="J462" s="14">
        <f>IF(AND(ISNUMBER(F462),ISNUMBER(I462),F462&gt;0),I462/F462-1,"")</f>
        <v/>
      </c>
      <c r="K462" s="13" t="n">
        <v>385</v>
      </c>
      <c r="L462" s="14">
        <f>IF(AND(ISNUMBER(F462),ISNUMBER(K462),F462&gt;0),K462/F462-1,"")</f>
        <v/>
      </c>
      <c r="M462" s="15" t="n">
        <v>16</v>
      </c>
      <c r="N462" s="16" t="n">
        <v>2.88</v>
      </c>
      <c r="O462" s="17">
        <f>IF(AND(ISNUMBER(F462),ISNUMBER(N462),F462&gt;0),N462/F462,"")</f>
        <v/>
      </c>
      <c r="P462" s="18" t="n">
        <v>46350</v>
      </c>
      <c r="Q462" s="18" t="n">
        <v>46323</v>
      </c>
      <c r="R462" s="16" t="n">
        <v>12.12</v>
      </c>
      <c r="S462" s="19">
        <f>IF(AND(ISNUMBER(F462),ISNUMBER(R462),R462&gt;0),F462/R462,"")</f>
        <v/>
      </c>
      <c r="T462" s="18" t="n">
        <v>46323</v>
      </c>
    </row>
    <row r="463">
      <c r="A463" s="20" t="inlineStr">
        <is>
          <t>ULTA</t>
        </is>
      </c>
      <c r="B463" s="20" t="inlineStr">
        <is>
          <t>Ulta Beauty, Inc.</t>
        </is>
      </c>
      <c r="C463" s="20" t="inlineStr">
        <is>
          <t>Specialty Retail</t>
        </is>
      </c>
      <c r="D463" s="20" t="inlineStr">
        <is>
          <t>United States</t>
        </is>
      </c>
      <c r="E463" s="21" t="n">
        <v>26.8</v>
      </c>
      <c r="F463" s="22" t="n">
        <v>626.88</v>
      </c>
      <c r="G463" s="22" t="n">
        <v>635.84</v>
      </c>
      <c r="H463" s="23">
        <f>IF(AND(ISNUMBER(F463),ISNUMBER(G463),F463&gt;0),G463/F463-1,"")</f>
        <v/>
      </c>
      <c r="I463" s="22" t="n">
        <v>500</v>
      </c>
      <c r="J463" s="23">
        <f>IF(AND(ISNUMBER(F463),ISNUMBER(I463),F463&gt;0),I463/F463-1,"")</f>
        <v/>
      </c>
      <c r="K463" s="22" t="n">
        <v>731</v>
      </c>
      <c r="L463" s="23">
        <f>IF(AND(ISNUMBER(F463),ISNUMBER(K463),F463&gt;0),K463/F463-1,"")</f>
        <v/>
      </c>
      <c r="M463" s="24" t="n">
        <v>25</v>
      </c>
      <c r="N463" s="25" t="n"/>
      <c r="O463" s="26">
        <f>IF(AND(ISNUMBER(F463),ISNUMBER(N463),F463&gt;0),N463/F463,"")</f>
        <v/>
      </c>
      <c r="P463" s="27" t="n"/>
      <c r="Q463" s="27" t="n">
        <v>46359</v>
      </c>
      <c r="R463" s="25" t="n">
        <v>27.44</v>
      </c>
      <c r="S463" s="28">
        <f>IF(AND(ISNUMBER(F463),ISNUMBER(R463),R463&gt;0),F463/R463,"")</f>
        <v/>
      </c>
      <c r="T463" s="27" t="n">
        <v>46323</v>
      </c>
    </row>
    <row r="464">
      <c r="A464" s="11" t="inlineStr">
        <is>
          <t>CPRT</t>
        </is>
      </c>
      <c r="B464" s="11" t="inlineStr">
        <is>
          <t>Copart, Inc.</t>
        </is>
      </c>
      <c r="C464" s="11" t="inlineStr">
        <is>
          <t>Specialty Business Services</t>
        </is>
      </c>
      <c r="D464" s="11" t="inlineStr">
        <is>
          <t>United States</t>
        </is>
      </c>
      <c r="E464" s="12" t="n">
        <v>26.79</v>
      </c>
      <c r="F464" s="13" t="n">
        <v>28.92</v>
      </c>
      <c r="G464" s="13" t="n">
        <v>39</v>
      </c>
      <c r="H464" s="14">
        <f>IF(AND(ISNUMBER(F464),ISNUMBER(G464),F464&gt;0),G464/F464-1,"")</f>
        <v/>
      </c>
      <c r="I464" s="13" t="n">
        <v>25</v>
      </c>
      <c r="J464" s="14">
        <f>IF(AND(ISNUMBER(F464),ISNUMBER(I464),F464&gt;0),I464/F464-1,"")</f>
        <v/>
      </c>
      <c r="K464" s="13" t="n">
        <v>55</v>
      </c>
      <c r="L464" s="14">
        <f>IF(AND(ISNUMBER(F464),ISNUMBER(K464),F464&gt;0),K464/F464-1,"")</f>
        <v/>
      </c>
      <c r="M464" s="15" t="n">
        <v>10</v>
      </c>
      <c r="N464" s="16" t="n"/>
      <c r="O464" s="17">
        <f>IF(AND(ISNUMBER(F464),ISNUMBER(N464),F464&gt;0),N464/F464,"")</f>
        <v/>
      </c>
      <c r="P464" s="18" t="n"/>
      <c r="Q464" s="18" t="n">
        <v>46345</v>
      </c>
      <c r="R464" s="16" t="n">
        <v>1.55</v>
      </c>
      <c r="S464" s="19">
        <f>IF(AND(ISNUMBER(F464),ISNUMBER(R464),R464&gt;0),F464/R464,"")</f>
        <v/>
      </c>
      <c r="T464" s="18" t="n">
        <v>46323</v>
      </c>
    </row>
    <row r="465">
      <c r="A465" s="20" t="inlineStr">
        <is>
          <t>DGX</t>
        </is>
      </c>
      <c r="B465" s="20" t="inlineStr">
        <is>
          <t>Quest Diagnostics Incorporated</t>
        </is>
      </c>
      <c r="C465" s="20" t="inlineStr">
        <is>
          <t>Diagnostics &amp; Research</t>
        </is>
      </c>
      <c r="D465" s="20" t="inlineStr">
        <is>
          <t>United States</t>
        </is>
      </c>
      <c r="E465" s="21" t="n">
        <v>26.77</v>
      </c>
      <c r="F465" s="22" t="n">
        <v>242.56</v>
      </c>
      <c r="G465" s="22" t="n">
        <v>256.6</v>
      </c>
      <c r="H465" s="23">
        <f>IF(AND(ISNUMBER(F465),ISNUMBER(G465),F465&gt;0),G465/F465-1,"")</f>
        <v/>
      </c>
      <c r="I465" s="22" t="n">
        <v>235</v>
      </c>
      <c r="J465" s="23">
        <f>IF(AND(ISNUMBER(F465),ISNUMBER(I465),F465&gt;0),I465/F465-1,"")</f>
        <v/>
      </c>
      <c r="K465" s="22" t="n">
        <v>279</v>
      </c>
      <c r="L465" s="23">
        <f>IF(AND(ISNUMBER(F465),ISNUMBER(K465),F465&gt;0),K465/F465-1,"")</f>
        <v/>
      </c>
      <c r="M465" s="24" t="n">
        <v>15</v>
      </c>
      <c r="N465" s="25" t="n">
        <v>3.44</v>
      </c>
      <c r="O465" s="26">
        <f>IF(AND(ISNUMBER(F465),ISNUMBER(N465),F465&gt;0),N465/F465,"")</f>
        <v/>
      </c>
      <c r="P465" s="27" t="n">
        <v>46301</v>
      </c>
      <c r="Q465" s="27" t="n">
        <v>46317</v>
      </c>
      <c r="R465" s="25" t="n">
        <v>10.08</v>
      </c>
      <c r="S465" s="28">
        <f>IF(AND(ISNUMBER(F465),ISNUMBER(R465),R465&gt;0),F465/R465,"")</f>
        <v/>
      </c>
      <c r="T465" s="27" t="n">
        <v>46323</v>
      </c>
    </row>
    <row r="466">
      <c r="A466" s="11" t="inlineStr">
        <is>
          <t>BIDU</t>
        </is>
      </c>
      <c r="B466" s="11" t="inlineStr">
        <is>
          <t>Baidu, Inc.</t>
        </is>
      </c>
      <c r="C466" s="11" t="inlineStr">
        <is>
          <t>Internet Content &amp; Information</t>
        </is>
      </c>
      <c r="D466" s="11" t="inlineStr">
        <is>
          <t>China</t>
        </is>
      </c>
      <c r="E466" s="12" t="n">
        <v>26.65</v>
      </c>
      <c r="F466" s="13" t="n">
        <v>78.27</v>
      </c>
      <c r="G466" s="13" t="n">
        <v>136.23714</v>
      </c>
      <c r="H466" s="14">
        <f>IF(AND(ISNUMBER(F466),ISNUMBER(G466),F466&gt;0),G466/F466-1,"")</f>
        <v/>
      </c>
      <c r="I466" s="13" t="n">
        <v>70.10393999999999</v>
      </c>
      <c r="J466" s="14">
        <f>IF(AND(ISNUMBER(F466),ISNUMBER(I466),F466&gt;0),I466/F466-1,"")</f>
        <v/>
      </c>
      <c r="K466" s="13" t="n">
        <v>207.96417</v>
      </c>
      <c r="L466" s="14">
        <f>IF(AND(ISNUMBER(F466),ISNUMBER(K466),F466&gt;0),K466/F466-1,"")</f>
        <v/>
      </c>
      <c r="M466" s="15" t="n">
        <v>30</v>
      </c>
      <c r="N466" s="16" t="n"/>
      <c r="O466" s="17">
        <f>IF(AND(ISNUMBER(F466),ISNUMBER(N466),F466&gt;0),N466/F466,"")</f>
        <v/>
      </c>
      <c r="P466" s="18" t="n"/>
      <c r="Q466" s="18" t="n">
        <v>46342</v>
      </c>
      <c r="R466" s="16" t="n">
        <v>-2.24</v>
      </c>
      <c r="S466" s="19">
        <f>IF(AND(ISNUMBER(F466),ISNUMBER(R466),R466&gt;0),F466/R466,"")</f>
        <v/>
      </c>
      <c r="T466" s="18" t="n">
        <v>46323</v>
      </c>
    </row>
    <row r="467">
      <c r="A467" s="20" t="inlineStr">
        <is>
          <t>ROIV</t>
        </is>
      </c>
      <c r="B467" s="20" t="inlineStr">
        <is>
          <t>Roivant Sciences Ltd.</t>
        </is>
      </c>
      <c r="C467" s="20" t="inlineStr">
        <is>
          <t>Biotechnology</t>
        </is>
      </c>
      <c r="D467" s="20" t="inlineStr">
        <is>
          <t>United Kingdom</t>
        </is>
      </c>
      <c r="E467" s="21" t="n">
        <v>26.39</v>
      </c>
      <c r="F467" s="22" t="n">
        <v>36.54</v>
      </c>
      <c r="G467" s="22" t="n">
        <v>48.90909</v>
      </c>
      <c r="H467" s="23">
        <f>IF(AND(ISNUMBER(F467),ISNUMBER(G467),F467&gt;0),G467/F467-1,"")</f>
        <v/>
      </c>
      <c r="I467" s="22" t="n">
        <v>41</v>
      </c>
      <c r="J467" s="23">
        <f>IF(AND(ISNUMBER(F467),ISNUMBER(I467),F467&gt;0),I467/F467-1,"")</f>
        <v/>
      </c>
      <c r="K467" s="22" t="n">
        <v>62</v>
      </c>
      <c r="L467" s="23">
        <f>IF(AND(ISNUMBER(F467),ISNUMBER(K467),F467&gt;0),K467/F467-1,"")</f>
        <v/>
      </c>
      <c r="M467" s="24" t="n">
        <v>11</v>
      </c>
      <c r="N467" s="25" t="n"/>
      <c r="O467" s="26">
        <f>IF(AND(ISNUMBER(F467),ISNUMBER(N467),F467&gt;0),N467/F467,"")</f>
        <v/>
      </c>
      <c r="P467" s="27" t="n"/>
      <c r="Q467" s="27" t="n">
        <v>46335</v>
      </c>
      <c r="R467" s="25" t="n">
        <v>-0.53</v>
      </c>
      <c r="S467" s="28">
        <f>IF(AND(ISNUMBER(F467),ISNUMBER(R467),R467&gt;0),F467/R467,"")</f>
        <v/>
      </c>
      <c r="T467" s="27" t="n">
        <v>46323</v>
      </c>
    </row>
    <row r="468">
      <c r="A468" s="11" t="inlineStr">
        <is>
          <t>AVB</t>
        </is>
      </c>
      <c r="B468" s="11" t="inlineStr">
        <is>
          <t>AvalonBay Communities, Inc.</t>
        </is>
      </c>
      <c r="C468" s="11" t="inlineStr">
        <is>
          <t>Reit - Residential</t>
        </is>
      </c>
      <c r="D468" s="11" t="inlineStr">
        <is>
          <t>United States</t>
        </is>
      </c>
      <c r="E468" s="12" t="n">
        <v>26.28</v>
      </c>
      <c r="F468" s="13" t="n">
        <v>184.06</v>
      </c>
      <c r="G468" s="13" t="n">
        <v>201.70589</v>
      </c>
      <c r="H468" s="14">
        <f>IF(AND(ISNUMBER(F468),ISNUMBER(G468),F468&gt;0),G468/F468-1,"")</f>
        <v/>
      </c>
      <c r="I468" s="13" t="n">
        <v>189</v>
      </c>
      <c r="J468" s="14">
        <f>IF(AND(ISNUMBER(F468),ISNUMBER(I468),F468&gt;0),I468/F468-1,"")</f>
        <v/>
      </c>
      <c r="K468" s="13" t="n">
        <v>225</v>
      </c>
      <c r="L468" s="14">
        <f>IF(AND(ISNUMBER(F468),ISNUMBER(K468),F468&gt;0),K468/F468-1,"")</f>
        <v/>
      </c>
      <c r="M468" s="15" t="n">
        <v>17</v>
      </c>
      <c r="N468" s="16" t="n">
        <v>7.12</v>
      </c>
      <c r="O468" s="17">
        <f>IF(AND(ISNUMBER(F468),ISNUMBER(N468),F468&gt;0),N468/F468,"")</f>
        <v/>
      </c>
      <c r="P468" s="18" t="n">
        <v>46203</v>
      </c>
      <c r="Q468" s="18" t="n"/>
      <c r="R468" s="16" t="n">
        <v>7.29</v>
      </c>
      <c r="S468" s="19">
        <f>IF(AND(ISNUMBER(F468),ISNUMBER(R468),R468&gt;0),F468/R468,"")</f>
        <v/>
      </c>
      <c r="T468" s="18" t="n">
        <v>46323</v>
      </c>
    </row>
    <row r="469">
      <c r="A469" s="20" t="inlineStr">
        <is>
          <t>RDDT</t>
        </is>
      </c>
      <c r="B469" s="20" t="inlineStr">
        <is>
          <t>Reddit, Inc.</t>
        </is>
      </c>
      <c r="C469" s="20" t="inlineStr">
        <is>
          <t>Internet Content &amp; Information</t>
        </is>
      </c>
      <c r="D469" s="20" t="inlineStr">
        <is>
          <t>United States</t>
        </is>
      </c>
      <c r="E469" s="21" t="n">
        <v>26.25</v>
      </c>
      <c r="F469" s="22" t="n">
        <v>136.46</v>
      </c>
      <c r="G469" s="22" t="n">
        <v>212.95152</v>
      </c>
      <c r="H469" s="23">
        <f>IF(AND(ISNUMBER(F469),ISNUMBER(G469),F469&gt;0),G469/F469-1,"")</f>
        <v/>
      </c>
      <c r="I469" s="22" t="n">
        <v>130</v>
      </c>
      <c r="J469" s="23">
        <f>IF(AND(ISNUMBER(F469),ISNUMBER(I469),F469&gt;0),I469/F469-1,"")</f>
        <v/>
      </c>
      <c r="K469" s="22" t="n">
        <v>300</v>
      </c>
      <c r="L469" s="23">
        <f>IF(AND(ISNUMBER(F469),ISNUMBER(K469),F469&gt;0),K469/F469-1,"")</f>
        <v/>
      </c>
      <c r="M469" s="24" t="n">
        <v>33</v>
      </c>
      <c r="N469" s="25" t="n"/>
      <c r="O469" s="26">
        <f>IF(AND(ISNUMBER(F469),ISNUMBER(N469),F469&gt;0),N469/F469,"")</f>
        <v/>
      </c>
      <c r="P469" s="27" t="n"/>
      <c r="Q469" s="27" t="n">
        <v>46324</v>
      </c>
      <c r="R469" s="25" t="n">
        <v>4.3</v>
      </c>
      <c r="S469" s="28">
        <f>IF(AND(ISNUMBER(F469),ISNUMBER(R469),R469&gt;0),F469/R469,"")</f>
        <v/>
      </c>
      <c r="T469" s="27" t="n">
        <v>46323</v>
      </c>
    </row>
    <row r="470">
      <c r="A470" s="11" t="inlineStr">
        <is>
          <t>VICI</t>
        </is>
      </c>
      <c r="B470" s="11" t="inlineStr">
        <is>
          <t>VICI Properties Inc.</t>
        </is>
      </c>
      <c r="C470" s="11" t="inlineStr">
        <is>
          <t>Reit - Diversified</t>
        </is>
      </c>
      <c r="D470" s="11" t="inlineStr">
        <is>
          <t>United States</t>
        </is>
      </c>
      <c r="E470" s="12" t="n">
        <v>26.1</v>
      </c>
      <c r="F470" s="13" t="n">
        <v>23.7</v>
      </c>
      <c r="G470" s="13" t="n">
        <v>31.125</v>
      </c>
      <c r="H470" s="14">
        <f>IF(AND(ISNUMBER(F470),ISNUMBER(G470),F470&gt;0),G470/F470-1,"")</f>
        <v/>
      </c>
      <c r="I470" s="13" t="n">
        <v>24</v>
      </c>
      <c r="J470" s="14">
        <f>IF(AND(ISNUMBER(F470),ISNUMBER(I470),F470&gt;0),I470/F470-1,"")</f>
        <v/>
      </c>
      <c r="K470" s="13" t="n">
        <v>37</v>
      </c>
      <c r="L470" s="14">
        <f>IF(AND(ISNUMBER(F470),ISNUMBER(K470),F470&gt;0),K470/F470-1,"")</f>
        <v/>
      </c>
      <c r="M470" s="15" t="n">
        <v>24</v>
      </c>
      <c r="N470" s="16" t="n">
        <v>1.84</v>
      </c>
      <c r="O470" s="17">
        <f>IF(AND(ISNUMBER(F470),ISNUMBER(N470),F470&gt;0),N470/F470,"")</f>
        <v/>
      </c>
      <c r="P470" s="18" t="n">
        <v>46282</v>
      </c>
      <c r="Q470" s="18" t="n">
        <v>46323</v>
      </c>
      <c r="R470" s="16" t="n">
        <v>2.57</v>
      </c>
      <c r="S470" s="19">
        <f>IF(AND(ISNUMBER(F470),ISNUMBER(R470),R470&gt;0),F470/R470,"")</f>
        <v/>
      </c>
      <c r="T470" s="18" t="n">
        <v>46323</v>
      </c>
    </row>
    <row r="471">
      <c r="A471" s="20" t="inlineStr">
        <is>
          <t>CPAY</t>
        </is>
      </c>
      <c r="B471" s="20" t="inlineStr">
        <is>
          <t>Corpay, Inc.</t>
        </is>
      </c>
      <c r="C471" s="20" t="inlineStr">
        <is>
          <t>Software - Infrastructure</t>
        </is>
      </c>
      <c r="D471" s="20" t="inlineStr">
        <is>
          <t>United States</t>
        </is>
      </c>
      <c r="E471" s="21" t="n">
        <v>26.07</v>
      </c>
      <c r="F471" s="22" t="n">
        <v>397.02</v>
      </c>
      <c r="G471" s="22" t="n">
        <v>460.33334</v>
      </c>
      <c r="H471" s="23">
        <f>IF(AND(ISNUMBER(F471),ISNUMBER(G471),F471&gt;0),G471/F471-1,"")</f>
        <v/>
      </c>
      <c r="I471" s="22" t="n">
        <v>390</v>
      </c>
      <c r="J471" s="23">
        <f>IF(AND(ISNUMBER(F471),ISNUMBER(I471),F471&gt;0),I471/F471-1,"")</f>
        <v/>
      </c>
      <c r="K471" s="22" t="n">
        <v>536</v>
      </c>
      <c r="L471" s="23">
        <f>IF(AND(ISNUMBER(F471),ISNUMBER(K471),F471&gt;0),K471/F471-1,"")</f>
        <v/>
      </c>
      <c r="M471" s="24" t="n">
        <v>15</v>
      </c>
      <c r="N471" s="25" t="n"/>
      <c r="O471" s="26">
        <f>IF(AND(ISNUMBER(F471),ISNUMBER(N471),F471&gt;0),N471/F471,"")</f>
        <v/>
      </c>
      <c r="P471" s="27" t="n"/>
      <c r="Q471" s="27" t="n">
        <v>46330</v>
      </c>
      <c r="R471" s="25" t="n">
        <v>16.45</v>
      </c>
      <c r="S471" s="28">
        <f>IF(AND(ISNUMBER(F471),ISNUMBER(R471),R471&gt;0),F471/R471,"")</f>
        <v/>
      </c>
      <c r="T471" s="27" t="n">
        <v>46323</v>
      </c>
    </row>
    <row r="472">
      <c r="A472" s="11" t="inlineStr">
        <is>
          <t>GFS</t>
        </is>
      </c>
      <c r="B472" s="11" t="inlineStr">
        <is>
          <t>GlobalFoundries Inc.</t>
        </is>
      </c>
      <c r="C472" s="11" t="inlineStr">
        <is>
          <t>Semiconductors</t>
        </is>
      </c>
      <c r="D472" s="11" t="inlineStr">
        <is>
          <t>United States</t>
        </is>
      </c>
      <c r="E472" s="12" t="n">
        <v>26.03</v>
      </c>
      <c r="F472" s="13" t="n">
        <v>46.7</v>
      </c>
      <c r="G472" s="13" t="n">
        <v>74.36364</v>
      </c>
      <c r="H472" s="14">
        <f>IF(AND(ISNUMBER(F472),ISNUMBER(G472),F472&gt;0),G472/F472-1,"")</f>
        <v/>
      </c>
      <c r="I472" s="13" t="n">
        <v>48</v>
      </c>
      <c r="J472" s="14">
        <f>IF(AND(ISNUMBER(F472),ISNUMBER(I472),F472&gt;0),I472/F472-1,"")</f>
        <v/>
      </c>
      <c r="K472" s="13" t="n">
        <v>140</v>
      </c>
      <c r="L472" s="14">
        <f>IF(AND(ISNUMBER(F472),ISNUMBER(K472),F472&gt;0),K472/F472-1,"")</f>
        <v/>
      </c>
      <c r="M472" s="15" t="n">
        <v>22</v>
      </c>
      <c r="N472" s="16" t="n">
        <v>0.48</v>
      </c>
      <c r="O472" s="17">
        <f>IF(AND(ISNUMBER(F472),ISNUMBER(N472),F472&gt;0),N472/F472,"")</f>
        <v/>
      </c>
      <c r="P472" s="18" t="n">
        <v>46288</v>
      </c>
      <c r="Q472" s="18" t="n">
        <v>46330</v>
      </c>
      <c r="R472" s="16" t="n">
        <v>1.28</v>
      </c>
      <c r="S472" s="19">
        <f>IF(AND(ISNUMBER(F472),ISNUMBER(R472),R472&gt;0),F472/R472,"")</f>
        <v/>
      </c>
      <c r="T472" s="18" t="n">
        <v>46323</v>
      </c>
    </row>
    <row r="473">
      <c r="A473" s="20" t="inlineStr">
        <is>
          <t>FFIV</t>
        </is>
      </c>
      <c r="B473" s="20" t="inlineStr">
        <is>
          <t>F5, Inc.</t>
        </is>
      </c>
      <c r="C473" s="20" t="inlineStr">
        <is>
          <t>Software - Infrastructure</t>
        </is>
      </c>
      <c r="D473" s="20" t="inlineStr">
        <is>
          <t>United States</t>
        </is>
      </c>
      <c r="E473" s="21" t="n">
        <v>26.01</v>
      </c>
      <c r="F473" s="22" t="n">
        <v>459.36</v>
      </c>
      <c r="G473" s="22" t="n">
        <v>437.8</v>
      </c>
      <c r="H473" s="23">
        <f>IF(AND(ISNUMBER(F473),ISNUMBER(G473),F473&gt;0),G473/F473-1,"")</f>
        <v/>
      </c>
      <c r="I473" s="22" t="n">
        <v>300</v>
      </c>
      <c r="J473" s="23">
        <f>IF(AND(ISNUMBER(F473),ISNUMBER(I473),F473&gt;0),I473/F473-1,"")</f>
        <v/>
      </c>
      <c r="K473" s="22" t="n">
        <v>525</v>
      </c>
      <c r="L473" s="23">
        <f>IF(AND(ISNUMBER(F473),ISNUMBER(K473),F473&gt;0),K473/F473-1,"")</f>
        <v/>
      </c>
      <c r="M473" s="24" t="n">
        <v>10</v>
      </c>
      <c r="N473" s="25" t="n"/>
      <c r="O473" s="26">
        <f>IF(AND(ISNUMBER(F473),ISNUMBER(N473),F473&gt;0),N473/F473,"")</f>
        <v/>
      </c>
      <c r="P473" s="27" t="n"/>
      <c r="Q473" s="27" t="n">
        <v>46322</v>
      </c>
      <c r="R473" s="25" t="n">
        <v>12.73</v>
      </c>
      <c r="S473" s="28">
        <f>IF(AND(ISNUMBER(F473),ISNUMBER(R473),R473&gt;0),F473/R473,"")</f>
        <v/>
      </c>
      <c r="T473" s="27" t="n">
        <v>46323</v>
      </c>
    </row>
    <row r="474">
      <c r="A474" s="11" t="inlineStr">
        <is>
          <t>CASY</t>
        </is>
      </c>
      <c r="B474" s="11" t="inlineStr">
        <is>
          <t>Caseys General Stores, Inc.</t>
        </is>
      </c>
      <c r="C474" s="11" t="inlineStr">
        <is>
          <t>Specialty Retail</t>
        </is>
      </c>
      <c r="D474" s="11" t="inlineStr">
        <is>
          <t>United States</t>
        </is>
      </c>
      <c r="E474" s="12" t="n">
        <v>25.78</v>
      </c>
      <c r="F474" s="13" t="n">
        <v>697.54</v>
      </c>
      <c r="G474" s="13" t="n">
        <v>788.6842</v>
      </c>
      <c r="H474" s="14">
        <f>IF(AND(ISNUMBER(F474),ISNUMBER(G474),F474&gt;0),G474/F474-1,"")</f>
        <v/>
      </c>
      <c r="I474" s="13" t="n">
        <v>687</v>
      </c>
      <c r="J474" s="14">
        <f>IF(AND(ISNUMBER(F474),ISNUMBER(I474),F474&gt;0),I474/F474-1,"")</f>
        <v/>
      </c>
      <c r="K474" s="13" t="n">
        <v>933</v>
      </c>
      <c r="L474" s="14">
        <f>IF(AND(ISNUMBER(F474),ISNUMBER(K474),F474&gt;0),K474/F474-1,"")</f>
        <v/>
      </c>
      <c r="M474" s="15" t="n">
        <v>19</v>
      </c>
      <c r="N474" s="16" t="n">
        <v>2.6</v>
      </c>
      <c r="O474" s="17">
        <f>IF(AND(ISNUMBER(F474),ISNUMBER(N474),F474&gt;0),N474/F474,"")</f>
        <v/>
      </c>
      <c r="P474" s="18" t="n">
        <v>46325</v>
      </c>
      <c r="Q474" s="18" t="n">
        <v>46364</v>
      </c>
      <c r="R474" s="16" t="n">
        <v>20.76</v>
      </c>
      <c r="S474" s="19">
        <f>IF(AND(ISNUMBER(F474),ISNUMBER(R474),R474&gt;0),F474/R474,"")</f>
        <v/>
      </c>
      <c r="T474" s="18" t="n">
        <v>46323</v>
      </c>
    </row>
    <row r="475">
      <c r="A475" s="20" t="inlineStr">
        <is>
          <t>ES</t>
        </is>
      </c>
      <c r="B475" s="20" t="inlineStr">
        <is>
          <t>Eversource Energy (D/B/A)</t>
        </is>
      </c>
      <c r="C475" s="20" t="inlineStr">
        <is>
          <t>Utilities - Regulated Electric</t>
        </is>
      </c>
      <c r="D475" s="20" t="inlineStr">
        <is>
          <t>United States</t>
        </is>
      </c>
      <c r="E475" s="21" t="n">
        <v>25.52</v>
      </c>
      <c r="F475" s="22" t="n">
        <v>67.76000000000001</v>
      </c>
      <c r="G475" s="22" t="n">
        <v>71.69231000000001</v>
      </c>
      <c r="H475" s="23">
        <f>IF(AND(ISNUMBER(F475),ISNUMBER(G475),F475&gt;0),G475/F475-1,"")</f>
        <v/>
      </c>
      <c r="I475" s="22" t="n">
        <v>49</v>
      </c>
      <c r="J475" s="23">
        <f>IF(AND(ISNUMBER(F475),ISNUMBER(I475),F475&gt;0),I475/F475-1,"")</f>
        <v/>
      </c>
      <c r="K475" s="22" t="n">
        <v>85</v>
      </c>
      <c r="L475" s="23">
        <f>IF(AND(ISNUMBER(F475),ISNUMBER(K475),F475&gt;0),K475/F475-1,"")</f>
        <v/>
      </c>
      <c r="M475" s="24" t="n">
        <v>13</v>
      </c>
      <c r="N475" s="25" t="n">
        <v>3.15</v>
      </c>
      <c r="O475" s="26">
        <f>IF(AND(ISNUMBER(F475),ISNUMBER(N475),F475&gt;0),N475/F475,"")</f>
        <v/>
      </c>
      <c r="P475" s="27" t="n">
        <v>46286</v>
      </c>
      <c r="Q475" s="27" t="n">
        <v>46330</v>
      </c>
      <c r="R475" s="25" t="n">
        <v>3.87</v>
      </c>
      <c r="S475" s="28">
        <f>IF(AND(ISNUMBER(F475),ISNUMBER(R475),R475&gt;0),F475/R475,"")</f>
        <v/>
      </c>
      <c r="T475" s="27" t="n">
        <v>46323</v>
      </c>
    </row>
    <row r="476">
      <c r="A476" s="11" t="inlineStr">
        <is>
          <t>IOT</t>
        </is>
      </c>
      <c r="B476" s="11" t="inlineStr">
        <is>
          <t>Samsara Inc.</t>
        </is>
      </c>
      <c r="C476" s="11" t="inlineStr">
        <is>
          <t>Software - Infrastructure</t>
        </is>
      </c>
      <c r="D476" s="11" t="inlineStr">
        <is>
          <t>United States</t>
        </is>
      </c>
      <c r="E476" s="12" t="n">
        <v>25.48</v>
      </c>
      <c r="F476" s="13" t="n">
        <v>43.51</v>
      </c>
      <c r="G476" s="13" t="n">
        <v>52.06667</v>
      </c>
      <c r="H476" s="14">
        <f>IF(AND(ISNUMBER(F476),ISNUMBER(G476),F476&gt;0),G476/F476-1,"")</f>
        <v/>
      </c>
      <c r="I476" s="13" t="n">
        <v>39</v>
      </c>
      <c r="J476" s="14">
        <f>IF(AND(ISNUMBER(F476),ISNUMBER(I476),F476&gt;0),I476/F476-1,"")</f>
        <v/>
      </c>
      <c r="K476" s="13" t="n">
        <v>60</v>
      </c>
      <c r="L476" s="14">
        <f>IF(AND(ISNUMBER(F476),ISNUMBER(K476),F476&gt;0),K476/F476-1,"")</f>
        <v/>
      </c>
      <c r="M476" s="15" t="n">
        <v>24</v>
      </c>
      <c r="N476" s="16" t="n"/>
      <c r="O476" s="17">
        <f>IF(AND(ISNUMBER(F476),ISNUMBER(N476),F476&gt;0),N476/F476,"")</f>
        <v/>
      </c>
      <c r="P476" s="18" t="n"/>
      <c r="Q476" s="18" t="n">
        <v>46359</v>
      </c>
      <c r="R476" s="16" t="n">
        <v>0.14</v>
      </c>
      <c r="S476" s="19">
        <f>IF(AND(ISNUMBER(F476),ISNUMBER(R476),R476&gt;0),F476/R476,"")</f>
        <v/>
      </c>
      <c r="T476" s="18" t="n">
        <v>46323</v>
      </c>
    </row>
    <row r="477">
      <c r="A477" s="20" t="inlineStr">
        <is>
          <t>UTHR</t>
        </is>
      </c>
      <c r="B477" s="20" t="inlineStr">
        <is>
          <t>United Therapeutics Corporation</t>
        </is>
      </c>
      <c r="C477" s="20" t="inlineStr">
        <is>
          <t>Drug Manufacturers - Specialty &amp; Generic</t>
        </is>
      </c>
      <c r="D477" s="20" t="inlineStr">
        <is>
          <t>United States</t>
        </is>
      </c>
      <c r="E477" s="21" t="n">
        <v>25.36</v>
      </c>
      <c r="F477" s="22" t="n">
        <v>591.2</v>
      </c>
      <c r="G477" s="22" t="n">
        <v>672</v>
      </c>
      <c r="H477" s="23">
        <f>IF(AND(ISNUMBER(F477),ISNUMBER(G477),F477&gt;0),G477/F477-1,"")</f>
        <v/>
      </c>
      <c r="I477" s="22" t="n">
        <v>368</v>
      </c>
      <c r="J477" s="23">
        <f>IF(AND(ISNUMBER(F477),ISNUMBER(I477),F477&gt;0),I477/F477-1,"")</f>
        <v/>
      </c>
      <c r="K477" s="22" t="n">
        <v>850</v>
      </c>
      <c r="L477" s="23">
        <f>IF(AND(ISNUMBER(F477),ISNUMBER(K477),F477&gt;0),K477/F477-1,"")</f>
        <v/>
      </c>
      <c r="M477" s="24" t="n">
        <v>14</v>
      </c>
      <c r="N477" s="25" t="n"/>
      <c r="O477" s="26">
        <f>IF(AND(ISNUMBER(F477),ISNUMBER(N477),F477&gt;0),N477/F477,"")</f>
        <v/>
      </c>
      <c r="P477" s="27" t="n"/>
      <c r="Q477" s="27" t="n">
        <v>46330</v>
      </c>
      <c r="R477" s="25" t="n">
        <v>27.92</v>
      </c>
      <c r="S477" s="28">
        <f>IF(AND(ISNUMBER(F477),ISNUMBER(R477),R477&gt;0),F477/R477,"")</f>
        <v/>
      </c>
      <c r="T477" s="27" t="n">
        <v>46323</v>
      </c>
    </row>
    <row r="478">
      <c r="A478" s="11" t="inlineStr">
        <is>
          <t>LPLA</t>
        </is>
      </c>
      <c r="B478" s="11" t="inlineStr">
        <is>
          <t>LPL Financial Holdings Inc.</t>
        </is>
      </c>
      <c r="C478" s="11" t="inlineStr">
        <is>
          <t>Capital Markets</t>
        </is>
      </c>
      <c r="D478" s="11" t="inlineStr">
        <is>
          <t>United States</t>
        </is>
      </c>
      <c r="E478" s="12" t="n">
        <v>25.01</v>
      </c>
      <c r="F478" s="13" t="n">
        <v>317.56</v>
      </c>
      <c r="G478" s="13" t="n">
        <v>422.375</v>
      </c>
      <c r="H478" s="14">
        <f>IF(AND(ISNUMBER(F478),ISNUMBER(G478),F478&gt;0),G478/F478-1,"")</f>
        <v/>
      </c>
      <c r="I478" s="13" t="n">
        <v>354</v>
      </c>
      <c r="J478" s="14">
        <f>IF(AND(ISNUMBER(F478),ISNUMBER(I478),F478&gt;0),I478/F478-1,"")</f>
        <v/>
      </c>
      <c r="K478" s="13" t="n">
        <v>554</v>
      </c>
      <c r="L478" s="14">
        <f>IF(AND(ISNUMBER(F478),ISNUMBER(K478),F478&gt;0),K478/F478-1,"")</f>
        <v/>
      </c>
      <c r="M478" s="15" t="n">
        <v>16</v>
      </c>
      <c r="N478" s="16" t="n">
        <v>1.2</v>
      </c>
      <c r="O478" s="17">
        <f>IF(AND(ISNUMBER(F478),ISNUMBER(N478),F478&gt;0),N478/F478,"")</f>
        <v/>
      </c>
      <c r="P478" s="18" t="n">
        <v>46248</v>
      </c>
      <c r="Q478" s="18" t="n">
        <v>46322</v>
      </c>
      <c r="R478" s="16" t="n">
        <v>12.57</v>
      </c>
      <c r="S478" s="19">
        <f>IF(AND(ISNUMBER(F478),ISNUMBER(R478),R478&gt;0),F478/R478,"")</f>
        <v/>
      </c>
      <c r="T478" s="18" t="n">
        <v>46323</v>
      </c>
    </row>
    <row r="479">
      <c r="A479" s="20" t="inlineStr">
        <is>
          <t>CPNG</t>
        </is>
      </c>
      <c r="B479" s="20" t="inlineStr">
        <is>
          <t>Coupang, Inc.</t>
        </is>
      </c>
      <c r="C479" s="20" t="inlineStr">
        <is>
          <t>Internet Retail</t>
        </is>
      </c>
      <c r="D479" s="20" t="inlineStr">
        <is>
          <t>United States</t>
        </is>
      </c>
      <c r="E479" s="21" t="n">
        <v>25</v>
      </c>
      <c r="F479" s="22" t="n">
        <v>13.91</v>
      </c>
      <c r="G479" s="22" t="n">
        <v>23.39444</v>
      </c>
      <c r="H479" s="23">
        <f>IF(AND(ISNUMBER(F479),ISNUMBER(G479),F479&gt;0),G479/F479-1,"")</f>
        <v/>
      </c>
      <c r="I479" s="22" t="n">
        <v>12</v>
      </c>
      <c r="J479" s="23">
        <f>IF(AND(ISNUMBER(F479),ISNUMBER(I479),F479&gt;0),I479/F479-1,"")</f>
        <v/>
      </c>
      <c r="K479" s="22" t="n">
        <v>30</v>
      </c>
      <c r="L479" s="23">
        <f>IF(AND(ISNUMBER(F479),ISNUMBER(K479),F479&gt;0),K479/F479-1,"")</f>
        <v/>
      </c>
      <c r="M479" s="24" t="n">
        <v>18</v>
      </c>
      <c r="N479" s="25" t="n"/>
      <c r="O479" s="26">
        <f>IF(AND(ISNUMBER(F479),ISNUMBER(N479),F479&gt;0),N479/F479,"")</f>
        <v/>
      </c>
      <c r="P479" s="27" t="n"/>
      <c r="Q479" s="27" t="n">
        <v>46329</v>
      </c>
      <c r="R479" s="25" t="n">
        <v>-0.43</v>
      </c>
      <c r="S479" s="28">
        <f>IF(AND(ISNUMBER(F479),ISNUMBER(R479),R479&gt;0),F479/R479,"")</f>
        <v/>
      </c>
      <c r="T479" s="27" t="n">
        <v>46323</v>
      </c>
    </row>
    <row r="480">
      <c r="A480" s="11" t="inlineStr">
        <is>
          <t>TCOM</t>
        </is>
      </c>
      <c r="B480" s="11" t="inlineStr">
        <is>
          <t>Trip.com Group Limited</t>
        </is>
      </c>
      <c r="C480" s="11" t="inlineStr">
        <is>
          <t>Travel Services</t>
        </is>
      </c>
      <c r="D480" s="11" t="inlineStr">
        <is>
          <t>Singapore</t>
        </is>
      </c>
      <c r="E480" s="12" t="n">
        <v>24.93</v>
      </c>
      <c r="F480" s="13" t="n">
        <v>39.59</v>
      </c>
      <c r="G480" s="13" t="n">
        <v>58.730198</v>
      </c>
      <c r="H480" s="14">
        <f>IF(AND(ISNUMBER(F480),ISNUMBER(G480),F480&gt;0),G480/F480-1,"")</f>
        <v/>
      </c>
      <c r="I480" s="13" t="n">
        <v>42.252605</v>
      </c>
      <c r="J480" s="14">
        <f>IF(AND(ISNUMBER(F480),ISNUMBER(I480),F480&gt;0),I480/F480-1,"")</f>
        <v/>
      </c>
      <c r="K480" s="13" t="n">
        <v>68.430504</v>
      </c>
      <c r="L480" s="14">
        <f>IF(AND(ISNUMBER(F480),ISNUMBER(K480),F480&gt;0),K480/F480-1,"")</f>
        <v/>
      </c>
      <c r="M480" s="15" t="n">
        <v>29</v>
      </c>
      <c r="N480" s="16" t="n"/>
      <c r="O480" s="17">
        <f>IF(AND(ISNUMBER(F480),ISNUMBER(N480),F480&gt;0),N480/F480,"")</f>
        <v/>
      </c>
      <c r="P480" s="18" t="n"/>
      <c r="Q480" s="18" t="n">
        <v>46280</v>
      </c>
      <c r="R480" s="16" t="n">
        <v>4.96</v>
      </c>
      <c r="S480" s="19">
        <f>IF(AND(ISNUMBER(F480),ISNUMBER(R480),R480&gt;0),F480/R480,"")</f>
        <v/>
      </c>
      <c r="T480" s="18" t="n">
        <v>46323</v>
      </c>
    </row>
    <row r="481">
      <c r="A481" s="20" t="inlineStr">
        <is>
          <t>CHD</t>
        </is>
      </c>
      <c r="B481" s="20" t="inlineStr">
        <is>
          <t>Church &amp; Dwight Company, Inc.</t>
        </is>
      </c>
      <c r="C481" s="20" t="inlineStr">
        <is>
          <t>Household &amp; Personal Products</t>
        </is>
      </c>
      <c r="D481" s="20" t="inlineStr">
        <is>
          <t>United States</t>
        </is>
      </c>
      <c r="E481" s="21" t="n">
        <v>24.91</v>
      </c>
      <c r="F481" s="22" t="n">
        <v>105.01</v>
      </c>
      <c r="G481" s="22" t="n">
        <v>104.63158</v>
      </c>
      <c r="H481" s="23">
        <f>IF(AND(ISNUMBER(F481),ISNUMBER(G481),F481&gt;0),G481/F481-1,"")</f>
        <v/>
      </c>
      <c r="I481" s="22" t="n">
        <v>78</v>
      </c>
      <c r="J481" s="23">
        <f>IF(AND(ISNUMBER(F481),ISNUMBER(I481),F481&gt;0),I481/F481-1,"")</f>
        <v/>
      </c>
      <c r="K481" s="22" t="n">
        <v>115</v>
      </c>
      <c r="L481" s="23">
        <f>IF(AND(ISNUMBER(F481),ISNUMBER(K481),F481&gt;0),K481/F481-1,"")</f>
        <v/>
      </c>
      <c r="M481" s="24" t="n">
        <v>19</v>
      </c>
      <c r="N481" s="25" t="n">
        <v>1.23</v>
      </c>
      <c r="O481" s="26">
        <f>IF(AND(ISNUMBER(F481),ISNUMBER(N481),F481&gt;0),N481/F481,"")</f>
        <v/>
      </c>
      <c r="P481" s="27" t="n">
        <v>46248</v>
      </c>
      <c r="Q481" s="27" t="n">
        <v>46325</v>
      </c>
      <c r="R481" s="25" t="n">
        <v>3.12</v>
      </c>
      <c r="S481" s="28">
        <f>IF(AND(ISNUMBER(F481),ISNUMBER(R481),R481&gt;0),F481/R481,"")</f>
        <v/>
      </c>
      <c r="T481" s="27" t="n">
        <v>46323</v>
      </c>
    </row>
    <row r="482">
      <c r="A482" s="11" t="inlineStr">
        <is>
          <t>EQR</t>
        </is>
      </c>
      <c r="B482" s="11" t="inlineStr">
        <is>
          <t>Equity Residential</t>
        </is>
      </c>
      <c r="C482" s="11" t="inlineStr">
        <is>
          <t>Reit - Residential</t>
        </is>
      </c>
      <c r="D482" s="11" t="inlineStr">
        <is>
          <t>United States</t>
        </is>
      </c>
      <c r="E482" s="12" t="n">
        <v>24.61</v>
      </c>
      <c r="F482" s="13" t="n">
        <v>63.66</v>
      </c>
      <c r="G482" s="13" t="n">
        <v>72.99412</v>
      </c>
      <c r="H482" s="14">
        <f>IF(AND(ISNUMBER(F482),ISNUMBER(G482),F482&gt;0),G482/F482-1,"")</f>
        <v/>
      </c>
      <c r="I482" s="13" t="n">
        <v>66</v>
      </c>
      <c r="J482" s="14">
        <f>IF(AND(ISNUMBER(F482),ISNUMBER(I482),F482&gt;0),I482/F482-1,"")</f>
        <v/>
      </c>
      <c r="K482" s="13" t="n">
        <v>79</v>
      </c>
      <c r="L482" s="14">
        <f>IF(AND(ISNUMBER(F482),ISNUMBER(K482),F482&gt;0),K482/F482-1,"")</f>
        <v/>
      </c>
      <c r="M482" s="15" t="n">
        <v>17</v>
      </c>
      <c r="N482" s="16" t="n">
        <v>2.81</v>
      </c>
      <c r="O482" s="17">
        <f>IF(AND(ISNUMBER(F482),ISNUMBER(N482),F482&gt;0),N482/F482,"")</f>
        <v/>
      </c>
      <c r="P482" s="18" t="n">
        <v>46202</v>
      </c>
      <c r="Q482" s="18" t="n"/>
      <c r="R482" s="16" t="n">
        <v>2.22</v>
      </c>
      <c r="S482" s="19">
        <f>IF(AND(ISNUMBER(F482),ISNUMBER(R482),R482&gt;0),F482/R482,"")</f>
        <v/>
      </c>
      <c r="T482" s="18" t="n">
        <v>46323</v>
      </c>
    </row>
    <row r="483">
      <c r="A483" s="20" t="inlineStr">
        <is>
          <t>AFRM</t>
        </is>
      </c>
      <c r="B483" s="20" t="inlineStr">
        <is>
          <t>Affirm Holdings, Inc.</t>
        </is>
      </c>
      <c r="C483" s="20" t="inlineStr">
        <is>
          <t>Credit Services</t>
        </is>
      </c>
      <c r="D483" s="20" t="inlineStr">
        <is>
          <t>United States</t>
        </is>
      </c>
      <c r="E483" s="21" t="n">
        <v>24.52</v>
      </c>
      <c r="F483" s="22" t="n">
        <v>72.68000000000001</v>
      </c>
      <c r="G483" s="22" t="n">
        <v>98.33333</v>
      </c>
      <c r="H483" s="23">
        <f>IF(AND(ISNUMBER(F483),ISNUMBER(G483),F483&gt;0),G483/F483-1,"")</f>
        <v/>
      </c>
      <c r="I483" s="22" t="n">
        <v>66</v>
      </c>
      <c r="J483" s="23">
        <f>IF(AND(ISNUMBER(F483),ISNUMBER(I483),F483&gt;0),I483/F483-1,"")</f>
        <v/>
      </c>
      <c r="K483" s="22" t="n">
        <v>115</v>
      </c>
      <c r="L483" s="23">
        <f>IF(AND(ISNUMBER(F483),ISNUMBER(K483),F483&gt;0),K483/F483-1,"")</f>
        <v/>
      </c>
      <c r="M483" s="24" t="n">
        <v>33</v>
      </c>
      <c r="N483" s="25" t="n"/>
      <c r="O483" s="26">
        <f>IF(AND(ISNUMBER(F483),ISNUMBER(N483),F483&gt;0),N483/F483,"")</f>
        <v/>
      </c>
      <c r="P483" s="27" t="n"/>
      <c r="Q483" s="27" t="n">
        <v>46331</v>
      </c>
      <c r="R483" s="25" t="n">
        <v>5.53</v>
      </c>
      <c r="S483" s="28">
        <f>IF(AND(ISNUMBER(F483),ISNUMBER(R483),R483&gt;0),F483/R483,"")</f>
        <v/>
      </c>
      <c r="T483" s="27" t="n">
        <v>46323</v>
      </c>
    </row>
    <row r="484">
      <c r="A484" s="11" t="inlineStr">
        <is>
          <t>DOW</t>
        </is>
      </c>
      <c r="B484" s="11" t="inlineStr">
        <is>
          <t>Dow Inc.</t>
        </is>
      </c>
      <c r="C484" s="11" t="inlineStr">
        <is>
          <t>Chemicals</t>
        </is>
      </c>
      <c r="D484" s="11" t="inlineStr">
        <is>
          <t>United States</t>
        </is>
      </c>
      <c r="E484" s="12" t="n">
        <v>24.45</v>
      </c>
      <c r="F484" s="13" t="n">
        <v>33.78</v>
      </c>
      <c r="G484" s="13" t="n">
        <v>34.76471</v>
      </c>
      <c r="H484" s="14">
        <f>IF(AND(ISNUMBER(F484),ISNUMBER(G484),F484&gt;0),G484/F484-1,"")</f>
        <v/>
      </c>
      <c r="I484" s="13" t="n">
        <v>30</v>
      </c>
      <c r="J484" s="14">
        <f>IF(AND(ISNUMBER(F484),ISNUMBER(I484),F484&gt;0),I484/F484-1,"")</f>
        <v/>
      </c>
      <c r="K484" s="13" t="n">
        <v>41</v>
      </c>
      <c r="L484" s="14">
        <f>IF(AND(ISNUMBER(F484),ISNUMBER(K484),F484&gt;0),K484/F484-1,"")</f>
        <v/>
      </c>
      <c r="M484" s="15" t="n">
        <v>17</v>
      </c>
      <c r="N484" s="16" t="n">
        <v>1.4</v>
      </c>
      <c r="O484" s="17">
        <f>IF(AND(ISNUMBER(F484),ISNUMBER(N484),F484&gt;0),N484/F484,"")</f>
        <v/>
      </c>
      <c r="P484" s="18" t="n">
        <v>46356</v>
      </c>
      <c r="Q484" s="18" t="n">
        <v>46317</v>
      </c>
      <c r="R484" s="16" t="n">
        <v>-1.34</v>
      </c>
      <c r="S484" s="19">
        <f>IF(AND(ISNUMBER(F484),ISNUMBER(R484),R484&gt;0),F484/R484,"")</f>
        <v/>
      </c>
      <c r="T484" s="18" t="n">
        <v>46323</v>
      </c>
    </row>
    <row r="485">
      <c r="A485" s="20" t="inlineStr">
        <is>
          <t>IHG</t>
        </is>
      </c>
      <c r="B485" s="20" t="inlineStr">
        <is>
          <t>Intercontinental Hotels Group</t>
        </is>
      </c>
      <c r="C485" s="20" t="inlineStr">
        <is>
          <t>Lodging</t>
        </is>
      </c>
      <c r="D485" s="20" t="inlineStr">
        <is>
          <t>United Kingdom</t>
        </is>
      </c>
      <c r="E485" s="21" t="n">
        <v>24.23</v>
      </c>
      <c r="F485" s="22" t="n">
        <v>166.09</v>
      </c>
      <c r="G485" s="22" t="n">
        <v>150.66667</v>
      </c>
      <c r="H485" s="23">
        <f>IF(AND(ISNUMBER(F485),ISNUMBER(G485),F485&gt;0),G485/F485-1,"")</f>
        <v/>
      </c>
      <c r="I485" s="22" t="n">
        <v>125</v>
      </c>
      <c r="J485" s="23">
        <f>IF(AND(ISNUMBER(F485),ISNUMBER(I485),F485&gt;0),I485/F485-1,"")</f>
        <v/>
      </c>
      <c r="K485" s="22" t="n">
        <v>192</v>
      </c>
      <c r="L485" s="23">
        <f>IF(AND(ISNUMBER(F485),ISNUMBER(K485),F485&gt;0),K485/F485-1,"")</f>
        <v/>
      </c>
      <c r="M485" s="24" t="n">
        <v>6</v>
      </c>
      <c r="N485" s="25" t="n">
        <v>1.9</v>
      </c>
      <c r="O485" s="26">
        <f>IF(AND(ISNUMBER(F485),ISNUMBER(N485),F485&gt;0),N485/F485,"")</f>
        <v/>
      </c>
      <c r="P485" s="27" t="n">
        <v>46255</v>
      </c>
      <c r="Q485" s="27" t="n">
        <v>46245</v>
      </c>
      <c r="R485" s="25" t="n">
        <v>4.85</v>
      </c>
      <c r="S485" s="28">
        <f>IF(AND(ISNUMBER(F485),ISNUMBER(R485),R485&gt;0),F485/R485,"")</f>
        <v/>
      </c>
      <c r="T485" s="27" t="n">
        <v>46323</v>
      </c>
    </row>
    <row r="486">
      <c r="A486" s="11" t="inlineStr">
        <is>
          <t>DRI</t>
        </is>
      </c>
      <c r="B486" s="11" t="inlineStr">
        <is>
          <t>Darden Restaurants, Inc.</t>
        </is>
      </c>
      <c r="C486" s="11" t="inlineStr">
        <is>
          <t>Restaurants</t>
        </is>
      </c>
      <c r="D486" s="11" t="inlineStr">
        <is>
          <t>United States</t>
        </is>
      </c>
      <c r="E486" s="12" t="n">
        <v>24.21</v>
      </c>
      <c r="F486" s="13" t="n">
        <v>213.96</v>
      </c>
      <c r="G486" s="13" t="n">
        <v>233.44</v>
      </c>
      <c r="H486" s="14">
        <f>IF(AND(ISNUMBER(F486),ISNUMBER(G486),F486&gt;0),G486/F486-1,"")</f>
        <v/>
      </c>
      <c r="I486" s="13" t="n">
        <v>163</v>
      </c>
      <c r="J486" s="14">
        <f>IF(AND(ISNUMBER(F486),ISNUMBER(I486),F486&gt;0),I486/F486-1,"")</f>
        <v/>
      </c>
      <c r="K486" s="13" t="n">
        <v>276</v>
      </c>
      <c r="L486" s="14">
        <f>IF(AND(ISNUMBER(F486),ISNUMBER(K486),F486&gt;0),K486/F486-1,"")</f>
        <v/>
      </c>
      <c r="M486" s="15" t="n">
        <v>25</v>
      </c>
      <c r="N486" s="16" t="n">
        <v>6.48</v>
      </c>
      <c r="O486" s="17">
        <f>IF(AND(ISNUMBER(F486),ISNUMBER(N486),F486&gt;0),N486/F486,"")</f>
        <v/>
      </c>
      <c r="P486" s="18" t="n">
        <v>46304</v>
      </c>
      <c r="Q486" s="18" t="n">
        <v>46374</v>
      </c>
      <c r="R486" s="16" t="n">
        <v>10.34</v>
      </c>
      <c r="S486" s="19">
        <f>IF(AND(ISNUMBER(F486),ISNUMBER(R486),R486&gt;0),F486/R486,"")</f>
        <v/>
      </c>
      <c r="T486" s="18" t="n">
        <v>46323</v>
      </c>
    </row>
    <row r="487">
      <c r="A487" s="20" t="inlineStr">
        <is>
          <t>PFG</t>
        </is>
      </c>
      <c r="B487" s="20" t="inlineStr">
        <is>
          <t>Principal Financial Group Inc</t>
        </is>
      </c>
      <c r="C487" s="20" t="inlineStr">
        <is>
          <t>Asset Management</t>
        </is>
      </c>
      <c r="D487" s="20" t="inlineStr">
        <is>
          <t>United States</t>
        </is>
      </c>
      <c r="E487" s="21" t="n">
        <v>23.98</v>
      </c>
      <c r="F487" s="22" t="n">
        <v>111.98</v>
      </c>
      <c r="G487" s="22" t="n">
        <v>110.91667</v>
      </c>
      <c r="H487" s="23">
        <f>IF(AND(ISNUMBER(F487),ISNUMBER(G487),F487&gt;0),G487/F487-1,"")</f>
        <v/>
      </c>
      <c r="I487" s="22" t="n">
        <v>86</v>
      </c>
      <c r="J487" s="23">
        <f>IF(AND(ISNUMBER(F487),ISNUMBER(I487),F487&gt;0),I487/F487-1,"")</f>
        <v/>
      </c>
      <c r="K487" s="22" t="n">
        <v>128</v>
      </c>
      <c r="L487" s="23">
        <f>IF(AND(ISNUMBER(F487),ISNUMBER(K487),F487&gt;0),K487/F487-1,"")</f>
        <v/>
      </c>
      <c r="M487" s="24" t="n">
        <v>12</v>
      </c>
      <c r="N487" s="25" t="n">
        <v>3.36</v>
      </c>
      <c r="O487" s="26">
        <f>IF(AND(ISNUMBER(F487),ISNUMBER(N487),F487&gt;0),N487/F487,"")</f>
        <v/>
      </c>
      <c r="P487" s="27" t="n">
        <v>46268</v>
      </c>
      <c r="Q487" s="27" t="n">
        <v>46321</v>
      </c>
      <c r="R487" s="25" t="n">
        <v>7.02</v>
      </c>
      <c r="S487" s="28">
        <f>IF(AND(ISNUMBER(F487),ISNUMBER(R487),R487&gt;0),F487/R487,"")</f>
        <v/>
      </c>
      <c r="T487" s="27" t="n">
        <v>46323</v>
      </c>
    </row>
    <row r="488">
      <c r="A488" s="11" t="inlineStr">
        <is>
          <t>IFF</t>
        </is>
      </c>
      <c r="B488" s="11" t="inlineStr">
        <is>
          <t>International Flavors &amp; Fragran</t>
        </is>
      </c>
      <c r="C488" s="11" t="inlineStr">
        <is>
          <t>Specialty Chemicals</t>
        </is>
      </c>
      <c r="D488" s="11" t="inlineStr">
        <is>
          <t>United States</t>
        </is>
      </c>
      <c r="E488" s="12" t="n">
        <v>23.78</v>
      </c>
      <c r="F488" s="13" t="n">
        <v>93.20999999999999</v>
      </c>
      <c r="G488" s="13" t="n">
        <v>97.47059</v>
      </c>
      <c r="H488" s="14">
        <f>IF(AND(ISNUMBER(F488),ISNUMBER(G488),F488&gt;0),G488/F488-1,"")</f>
        <v/>
      </c>
      <c r="I488" s="13" t="n">
        <v>76</v>
      </c>
      <c r="J488" s="14">
        <f>IF(AND(ISNUMBER(F488),ISNUMBER(I488),F488&gt;0),I488/F488-1,"")</f>
        <v/>
      </c>
      <c r="K488" s="13" t="n">
        <v>110</v>
      </c>
      <c r="L488" s="14">
        <f>IF(AND(ISNUMBER(F488),ISNUMBER(K488),F488&gt;0),K488/F488-1,"")</f>
        <v/>
      </c>
      <c r="M488" s="15" t="n">
        <v>17</v>
      </c>
      <c r="N488" s="16" t="n">
        <v>1.6</v>
      </c>
      <c r="O488" s="17">
        <f>IF(AND(ISNUMBER(F488),ISNUMBER(N488),F488&gt;0),N488/F488,"")</f>
        <v/>
      </c>
      <c r="P488" s="18" t="n">
        <v>46283</v>
      </c>
      <c r="Q488" s="18" t="n">
        <v>46329</v>
      </c>
      <c r="R488" s="16" t="n">
        <v>1.01</v>
      </c>
      <c r="S488" s="19">
        <f>IF(AND(ISNUMBER(F488),ISNUMBER(R488),R488&gt;0),F488/R488,"")</f>
        <v/>
      </c>
      <c r="T488" s="18" t="n">
        <v>46323</v>
      </c>
    </row>
    <row r="489">
      <c r="A489" s="20" t="inlineStr">
        <is>
          <t>INCY</t>
        </is>
      </c>
      <c r="B489" s="20" t="inlineStr">
        <is>
          <t>Incyte Corporation</t>
        </is>
      </c>
      <c r="C489" s="20" t="inlineStr">
        <is>
          <t>Biotechnology</t>
        </is>
      </c>
      <c r="D489" s="20" t="inlineStr">
        <is>
          <t>United States</t>
        </is>
      </c>
      <c r="E489" s="21" t="n">
        <v>23.63</v>
      </c>
      <c r="F489" s="22" t="n">
        <v>116.6</v>
      </c>
      <c r="G489" s="22" t="n">
        <v>129.54167</v>
      </c>
      <c r="H489" s="23">
        <f>IF(AND(ISNUMBER(F489),ISNUMBER(G489),F489&gt;0),G489/F489-1,"")</f>
        <v/>
      </c>
      <c r="I489" s="22" t="n">
        <v>86</v>
      </c>
      <c r="J489" s="23">
        <f>IF(AND(ISNUMBER(F489),ISNUMBER(I489),F489&gt;0),I489/F489-1,"")</f>
        <v/>
      </c>
      <c r="K489" s="22" t="n">
        <v>157</v>
      </c>
      <c r="L489" s="23">
        <f>IF(AND(ISNUMBER(F489),ISNUMBER(K489),F489&gt;0),K489/F489-1,"")</f>
        <v/>
      </c>
      <c r="M489" s="24" t="n">
        <v>24</v>
      </c>
      <c r="N489" s="25" t="n"/>
      <c r="O489" s="26">
        <f>IF(AND(ISNUMBER(F489),ISNUMBER(N489),F489&gt;0),N489/F489,"")</f>
        <v/>
      </c>
      <c r="P489" s="27" t="n"/>
      <c r="Q489" s="27" t="n">
        <v>46324</v>
      </c>
      <c r="R489" s="25" t="n">
        <v>7.85</v>
      </c>
      <c r="S489" s="28">
        <f>IF(AND(ISNUMBER(F489),ISNUMBER(R489),R489&gt;0),F489/R489,"")</f>
        <v/>
      </c>
      <c r="T489" s="27" t="n">
        <v>46323</v>
      </c>
    </row>
    <row r="490">
      <c r="A490" s="11" t="inlineStr">
        <is>
          <t>AER</t>
        </is>
      </c>
      <c r="B490" s="11" t="inlineStr">
        <is>
          <t>AerCap Holdings N.V.</t>
        </is>
      </c>
      <c r="C490" s="11" t="inlineStr">
        <is>
          <t>Rental &amp; Leasing Services</t>
        </is>
      </c>
      <c r="D490" s="11" t="inlineStr">
        <is>
          <t>Ireland</t>
        </is>
      </c>
      <c r="E490" s="12" t="n">
        <v>23.59</v>
      </c>
      <c r="F490" s="13" t="n">
        <v>150.05</v>
      </c>
      <c r="G490" s="13" t="n">
        <v>179.8</v>
      </c>
      <c r="H490" s="14">
        <f>IF(AND(ISNUMBER(F490),ISNUMBER(G490),F490&gt;0),G490/F490-1,"")</f>
        <v/>
      </c>
      <c r="I490" s="13" t="n">
        <v>165</v>
      </c>
      <c r="J490" s="14">
        <f>IF(AND(ISNUMBER(F490),ISNUMBER(I490),F490&gt;0),I490/F490-1,"")</f>
        <v/>
      </c>
      <c r="K490" s="13" t="n">
        <v>190</v>
      </c>
      <c r="L490" s="14">
        <f>IF(AND(ISNUMBER(F490),ISNUMBER(K490),F490&gt;0),K490/F490-1,"")</f>
        <v/>
      </c>
      <c r="M490" s="15" t="n">
        <v>10</v>
      </c>
      <c r="N490" s="16" t="n">
        <v>1.6</v>
      </c>
      <c r="O490" s="17">
        <f>IF(AND(ISNUMBER(F490),ISNUMBER(N490),F490&gt;0),N490/F490,"")</f>
        <v/>
      </c>
      <c r="P490" s="18" t="n">
        <v>46246</v>
      </c>
      <c r="Q490" s="18" t="n">
        <v>46323</v>
      </c>
      <c r="R490" s="16" t="n">
        <v>20.41</v>
      </c>
      <c r="S490" s="19">
        <f>IF(AND(ISNUMBER(F490),ISNUMBER(R490),R490&gt;0),F490/R490,"")</f>
        <v/>
      </c>
      <c r="T490" s="18" t="n">
        <v>46323</v>
      </c>
    </row>
    <row r="491">
      <c r="A491" s="20" t="inlineStr">
        <is>
          <t>LVS</t>
        </is>
      </c>
      <c r="B491" s="20" t="inlineStr">
        <is>
          <t>Las Vegas Sands Corp.</t>
        </is>
      </c>
      <c r="C491" s="20" t="inlineStr">
        <is>
          <t>Resorts &amp; Casinos</t>
        </is>
      </c>
      <c r="D491" s="20" t="inlineStr">
        <is>
          <t>United States</t>
        </is>
      </c>
      <c r="E491" s="21" t="n">
        <v>23.39</v>
      </c>
      <c r="F491" s="22" t="n">
        <v>36.12</v>
      </c>
      <c r="G491" s="22" t="n">
        <v>49.93684</v>
      </c>
      <c r="H491" s="23">
        <f>IF(AND(ISNUMBER(F491),ISNUMBER(G491),F491&gt;0),G491/F491-1,"")</f>
        <v/>
      </c>
      <c r="I491" s="22" t="n">
        <v>37</v>
      </c>
      <c r="J491" s="23">
        <f>IF(AND(ISNUMBER(F491),ISNUMBER(I491),F491&gt;0),I491/F491-1,"")</f>
        <v/>
      </c>
      <c r="K491" s="22" t="n">
        <v>61</v>
      </c>
      <c r="L491" s="23">
        <f>IF(AND(ISNUMBER(F491),ISNUMBER(K491),F491&gt;0),K491/F491-1,"")</f>
        <v/>
      </c>
      <c r="M491" s="24" t="n">
        <v>19</v>
      </c>
      <c r="N491" s="25" t="n">
        <v>1.2</v>
      </c>
      <c r="O491" s="26">
        <f>IF(AND(ISNUMBER(F491),ISNUMBER(N491),F491&gt;0),N491/F491,"")</f>
        <v/>
      </c>
      <c r="P491" s="27" t="n">
        <v>46328</v>
      </c>
      <c r="Q491" s="27" t="n">
        <v>46316</v>
      </c>
      <c r="R491" s="25" t="n">
        <v>2.44</v>
      </c>
      <c r="S491" s="28">
        <f>IF(AND(ISNUMBER(F491),ISNUMBER(R491),R491&gt;0),F491/R491,"")</f>
        <v/>
      </c>
      <c r="T491" s="27" t="n">
        <v>46323</v>
      </c>
    </row>
    <row r="492">
      <c r="A492" s="11" t="inlineStr">
        <is>
          <t>RL</t>
        </is>
      </c>
      <c r="B492" s="11" t="inlineStr">
        <is>
          <t>Ralph Lauren Corporation</t>
        </is>
      </c>
      <c r="C492" s="11" t="inlineStr">
        <is>
          <t>Apparel Manufacturing</t>
        </is>
      </c>
      <c r="D492" s="11" t="inlineStr">
        <is>
          <t>United States</t>
        </is>
      </c>
      <c r="E492" s="12" t="n">
        <v>23.31</v>
      </c>
      <c r="F492" s="13" t="n">
        <v>391.25</v>
      </c>
      <c r="G492" s="13" t="n">
        <v>446.625</v>
      </c>
      <c r="H492" s="14">
        <f>IF(AND(ISNUMBER(F492),ISNUMBER(G492),F492&gt;0),G492/F492-1,"")</f>
        <v/>
      </c>
      <c r="I492" s="13" t="n">
        <v>250</v>
      </c>
      <c r="J492" s="14">
        <f>IF(AND(ISNUMBER(F492),ISNUMBER(I492),F492&gt;0),I492/F492-1,"")</f>
        <v/>
      </c>
      <c r="K492" s="13" t="n">
        <v>520</v>
      </c>
      <c r="L492" s="14">
        <f>IF(AND(ISNUMBER(F492),ISNUMBER(K492),F492&gt;0),K492/F492-1,"")</f>
        <v/>
      </c>
      <c r="M492" s="15" t="n">
        <v>16</v>
      </c>
      <c r="N492" s="16" t="n">
        <v>4</v>
      </c>
      <c r="O492" s="17">
        <f>IF(AND(ISNUMBER(F492),ISNUMBER(N492),F492&gt;0),N492/F492,"")</f>
        <v/>
      </c>
      <c r="P492" s="18" t="n">
        <v>46290</v>
      </c>
      <c r="Q492" s="18" t="n">
        <v>46331</v>
      </c>
      <c r="R492" s="16" t="n">
        <v>15.87</v>
      </c>
      <c r="S492" s="19">
        <f>IF(AND(ISNUMBER(F492),ISNUMBER(R492),R492&gt;0),F492/R492,"")</f>
        <v/>
      </c>
      <c r="T492" s="18" t="n">
        <v>46323</v>
      </c>
    </row>
    <row r="493">
      <c r="A493" s="20" t="inlineStr">
        <is>
          <t>ROKU</t>
        </is>
      </c>
      <c r="B493" s="20" t="inlineStr">
        <is>
          <t>Roku, Inc.</t>
        </is>
      </c>
      <c r="C493" s="20" t="inlineStr">
        <is>
          <t>Entertainment</t>
        </is>
      </c>
      <c r="D493" s="20" t="inlineStr">
        <is>
          <t>United States</t>
        </is>
      </c>
      <c r="E493" s="21" t="n">
        <v>23.27</v>
      </c>
      <c r="F493" s="22" t="n">
        <v>156.66</v>
      </c>
      <c r="G493" s="22" t="n">
        <v>162.3265</v>
      </c>
      <c r="H493" s="23">
        <f>IF(AND(ISNUMBER(F493),ISNUMBER(G493),F493&gt;0),G493/F493-1,"")</f>
        <v/>
      </c>
      <c r="I493" s="22" t="n">
        <v>150</v>
      </c>
      <c r="J493" s="23">
        <f>IF(AND(ISNUMBER(F493),ISNUMBER(I493),F493&gt;0),I493/F493-1,"")</f>
        <v/>
      </c>
      <c r="K493" s="22" t="n">
        <v>205</v>
      </c>
      <c r="L493" s="23">
        <f>IF(AND(ISNUMBER(F493),ISNUMBER(K493),F493&gt;0),K493/F493-1,"")</f>
        <v/>
      </c>
      <c r="M493" s="24" t="n">
        <v>20</v>
      </c>
      <c r="N493" s="25" t="n"/>
      <c r="O493" s="26">
        <f>IF(AND(ISNUMBER(F493),ISNUMBER(N493),F493&gt;0),N493/F493,"")</f>
        <v/>
      </c>
      <c r="P493" s="27" t="n"/>
      <c r="Q493" s="27" t="n">
        <v>46328</v>
      </c>
      <c r="R493" s="25" t="n">
        <v>2.35</v>
      </c>
      <c r="S493" s="28">
        <f>IF(AND(ISNUMBER(F493),ISNUMBER(R493),R493&gt;0),F493/R493,"")</f>
        <v/>
      </c>
      <c r="T493" s="27" t="n">
        <v>46323</v>
      </c>
    </row>
    <row r="494">
      <c r="A494" s="11" t="inlineStr">
        <is>
          <t>DLTR</t>
        </is>
      </c>
      <c r="B494" s="11" t="inlineStr">
        <is>
          <t>Dollar Tree, Inc.</t>
        </is>
      </c>
      <c r="C494" s="11" t="inlineStr">
        <is>
          <t>Discount Stores</t>
        </is>
      </c>
      <c r="D494" s="11" t="inlineStr">
        <is>
          <t>United States</t>
        </is>
      </c>
      <c r="E494" s="12" t="n">
        <v>23.2</v>
      </c>
      <c r="F494" s="13" t="n">
        <v>123.65</v>
      </c>
      <c r="G494" s="13" t="n">
        <v>134.96153</v>
      </c>
      <c r="H494" s="14">
        <f>IF(AND(ISNUMBER(F494),ISNUMBER(G494),F494&gt;0),G494/F494-1,"")</f>
        <v/>
      </c>
      <c r="I494" s="13" t="n">
        <v>98</v>
      </c>
      <c r="J494" s="14">
        <f>IF(AND(ISNUMBER(F494),ISNUMBER(I494),F494&gt;0),I494/F494-1,"")</f>
        <v/>
      </c>
      <c r="K494" s="13" t="n">
        <v>165</v>
      </c>
      <c r="L494" s="14">
        <f>IF(AND(ISNUMBER(F494),ISNUMBER(K494),F494&gt;0),K494/F494-1,"")</f>
        <v/>
      </c>
      <c r="M494" s="15" t="n">
        <v>26</v>
      </c>
      <c r="N494" s="16" t="n"/>
      <c r="O494" s="17">
        <f>IF(AND(ISNUMBER(F494),ISNUMBER(N494),F494&gt;0),N494/F494,"")</f>
        <v/>
      </c>
      <c r="P494" s="18" t="n"/>
      <c r="Q494" s="18" t="n">
        <v>46261</v>
      </c>
      <c r="R494" s="16" t="n">
        <v>8.210000000000001</v>
      </c>
      <c r="S494" s="19">
        <f>IF(AND(ISNUMBER(F494),ISNUMBER(R494),R494&gt;0),F494/R494,"")</f>
        <v/>
      </c>
      <c r="T494" s="18" t="n">
        <v>46323</v>
      </c>
    </row>
    <row r="495">
      <c r="A495" s="20" t="inlineStr">
        <is>
          <t>MKL</t>
        </is>
      </c>
      <c r="B495" s="20" t="inlineStr">
        <is>
          <t>Markel Group Inc.</t>
        </is>
      </c>
      <c r="C495" s="20" t="inlineStr">
        <is>
          <t>Insurance - Property &amp; Casualty</t>
        </is>
      </c>
      <c r="D495" s="20" t="inlineStr">
        <is>
          <t>United States</t>
        </is>
      </c>
      <c r="E495" s="21" t="n">
        <v>23.03</v>
      </c>
      <c r="F495" s="22" t="n">
        <v>1858.62</v>
      </c>
      <c r="G495" s="22" t="n">
        <v>1951.5</v>
      </c>
      <c r="H495" s="23">
        <f>IF(AND(ISNUMBER(F495),ISNUMBER(G495),F495&gt;0),G495/F495-1,"")</f>
        <v/>
      </c>
      <c r="I495" s="22" t="n">
        <v>1532</v>
      </c>
      <c r="J495" s="23">
        <f>IF(AND(ISNUMBER(F495),ISNUMBER(I495),F495&gt;0),I495/F495-1,"")</f>
        <v/>
      </c>
      <c r="K495" s="22" t="n">
        <v>2107</v>
      </c>
      <c r="L495" s="23">
        <f>IF(AND(ISNUMBER(F495),ISNUMBER(K495),F495&gt;0),K495/F495-1,"")</f>
        <v/>
      </c>
      <c r="M495" s="24" t="n">
        <v>6</v>
      </c>
      <c r="N495" s="25" t="n"/>
      <c r="O495" s="26">
        <f>IF(AND(ISNUMBER(F495),ISNUMBER(N495),F495&gt;0),N495/F495,"")</f>
        <v/>
      </c>
      <c r="P495" s="27" t="n"/>
      <c r="Q495" s="27" t="n">
        <v>46323</v>
      </c>
      <c r="R495" s="25" t="n">
        <v>181.44</v>
      </c>
      <c r="S495" s="28">
        <f>IF(AND(ISNUMBER(F495),ISNUMBER(R495),R495&gt;0),F495/R495,"")</f>
        <v/>
      </c>
      <c r="T495" s="27" t="n">
        <v>46323</v>
      </c>
    </row>
    <row r="496">
      <c r="A496" s="11" t="inlineStr">
        <is>
          <t>HUBB</t>
        </is>
      </c>
      <c r="B496" s="11" t="inlineStr">
        <is>
          <t>Hubbell Inc</t>
        </is>
      </c>
      <c r="C496" s="11" t="inlineStr">
        <is>
          <t>Electrical Equipment &amp; Parts</t>
        </is>
      </c>
      <c r="D496" s="11" t="inlineStr">
        <is>
          <t>United States</t>
        </is>
      </c>
      <c r="E496" s="12" t="n">
        <v>22.94</v>
      </c>
      <c r="F496" s="13" t="n">
        <v>434.28</v>
      </c>
      <c r="G496" s="13" t="n">
        <v>552.0769</v>
      </c>
      <c r="H496" s="14">
        <f>IF(AND(ISNUMBER(F496),ISNUMBER(G496),F496&gt;0),G496/F496-1,"")</f>
        <v/>
      </c>
      <c r="I496" s="13" t="n">
        <v>485</v>
      </c>
      <c r="J496" s="14">
        <f>IF(AND(ISNUMBER(F496),ISNUMBER(I496),F496&gt;0),I496/F496-1,"")</f>
        <v/>
      </c>
      <c r="K496" s="13" t="n">
        <v>600</v>
      </c>
      <c r="L496" s="14">
        <f>IF(AND(ISNUMBER(F496),ISNUMBER(K496),F496&gt;0),K496/F496-1,"")</f>
        <v/>
      </c>
      <c r="M496" s="15" t="n">
        <v>13</v>
      </c>
      <c r="N496" s="16" t="n">
        <v>5.68</v>
      </c>
      <c r="O496" s="17">
        <f>IF(AND(ISNUMBER(F496),ISNUMBER(N496),F496&gt;0),N496/F496,"")</f>
        <v/>
      </c>
      <c r="P496" s="18" t="n">
        <v>46265</v>
      </c>
      <c r="Q496" s="18" t="n">
        <v>46322</v>
      </c>
      <c r="R496" s="16" t="n">
        <v>16.89</v>
      </c>
      <c r="S496" s="19">
        <f>IF(AND(ISNUMBER(F496),ISNUMBER(R496),R496&gt;0),F496/R496,"")</f>
        <v/>
      </c>
      <c r="T496" s="18" t="n">
        <v>46323</v>
      </c>
    </row>
    <row r="497">
      <c r="A497" s="20" t="inlineStr">
        <is>
          <t>ENTG</t>
        </is>
      </c>
      <c r="B497" s="20" t="inlineStr">
        <is>
          <t>Entegris, Inc.</t>
        </is>
      </c>
      <c r="C497" s="20" t="inlineStr">
        <is>
          <t>Semiconductor Equipment &amp; Materials</t>
        </is>
      </c>
      <c r="D497" s="20" t="inlineStr">
        <is>
          <t>United States</t>
        </is>
      </c>
      <c r="E497" s="21" t="n">
        <v>22.94</v>
      </c>
      <c r="F497" s="22" t="n">
        <v>150.1</v>
      </c>
      <c r="G497" s="22" t="n">
        <v>179.92857</v>
      </c>
      <c r="H497" s="23">
        <f>IF(AND(ISNUMBER(F497),ISNUMBER(G497),F497&gt;0),G497/F497-1,"")</f>
        <v/>
      </c>
      <c r="I497" s="22" t="n">
        <v>120</v>
      </c>
      <c r="J497" s="23">
        <f>IF(AND(ISNUMBER(F497),ISNUMBER(I497),F497&gt;0),I497/F497-1,"")</f>
        <v/>
      </c>
      <c r="K497" s="22" t="n">
        <v>212</v>
      </c>
      <c r="L497" s="23">
        <f>IF(AND(ISNUMBER(F497),ISNUMBER(K497),F497&gt;0),K497/F497-1,"")</f>
        <v/>
      </c>
      <c r="M497" s="24" t="n">
        <v>14</v>
      </c>
      <c r="N497" s="25" t="n">
        <v>0.4</v>
      </c>
      <c r="O497" s="26">
        <f>IF(AND(ISNUMBER(F497),ISNUMBER(N497),F497&gt;0),N497/F497,"")</f>
        <v/>
      </c>
      <c r="P497" s="27" t="n">
        <v>46323</v>
      </c>
      <c r="Q497" s="27" t="n">
        <v>46324</v>
      </c>
      <c r="R497" s="25" t="n">
        <v>2</v>
      </c>
      <c r="S497" s="28">
        <f>IF(AND(ISNUMBER(F497),ISNUMBER(R497),R497&gt;0),F497/R497,"")</f>
        <v/>
      </c>
      <c r="T497" s="27" t="n">
        <v>46323</v>
      </c>
    </row>
    <row r="498">
      <c r="A498" s="11" t="inlineStr">
        <is>
          <t>ATI</t>
        </is>
      </c>
      <c r="B498" s="11" t="inlineStr">
        <is>
          <t>ATI Inc.</t>
        </is>
      </c>
      <c r="C498" s="11" t="inlineStr">
        <is>
          <t>Metal Fabrication</t>
        </is>
      </c>
      <c r="D498" s="11" t="inlineStr">
        <is>
          <t>United States</t>
        </is>
      </c>
      <c r="E498" s="12" t="n">
        <v>22.62</v>
      </c>
      <c r="F498" s="13" t="n">
        <v>166.14</v>
      </c>
      <c r="G498" s="13" t="n">
        <v>248.88889</v>
      </c>
      <c r="H498" s="14">
        <f>IF(AND(ISNUMBER(F498),ISNUMBER(G498),F498&gt;0),G498/F498-1,"")</f>
        <v/>
      </c>
      <c r="I498" s="13" t="n">
        <v>228</v>
      </c>
      <c r="J498" s="14">
        <f>IF(AND(ISNUMBER(F498),ISNUMBER(I498),F498&gt;0),I498/F498-1,"")</f>
        <v/>
      </c>
      <c r="K498" s="13" t="n">
        <v>270</v>
      </c>
      <c r="L498" s="14">
        <f>IF(AND(ISNUMBER(F498),ISNUMBER(K498),F498&gt;0),K498/F498-1,"")</f>
        <v/>
      </c>
      <c r="M498" s="15" t="n">
        <v>9</v>
      </c>
      <c r="N498" s="16" t="n"/>
      <c r="O498" s="17">
        <f>IF(AND(ISNUMBER(F498),ISNUMBER(N498),F498&gt;0),N498/F498,"")</f>
        <v/>
      </c>
      <c r="P498" s="18" t="n"/>
      <c r="Q498" s="18" t="n">
        <v>46324</v>
      </c>
      <c r="R498" s="16" t="n">
        <v>3.41</v>
      </c>
      <c r="S498" s="19">
        <f>IF(AND(ISNUMBER(F498),ISNUMBER(R498),R498&gt;0),F498/R498,"")</f>
        <v/>
      </c>
      <c r="T498" s="18" t="n">
        <v>46323</v>
      </c>
    </row>
    <row r="499">
      <c r="A499" s="20" t="inlineStr">
        <is>
          <t>BRO</t>
        </is>
      </c>
      <c r="B499" s="20" t="inlineStr">
        <is>
          <t>Brown &amp; Brown, Inc.</t>
        </is>
      </c>
      <c r="C499" s="20" t="inlineStr">
        <is>
          <t>Insurance Brokers</t>
        </is>
      </c>
      <c r="D499" s="20" t="inlineStr">
        <is>
          <t>United States</t>
        </is>
      </c>
      <c r="E499" s="21" t="n">
        <v>22.6</v>
      </c>
      <c r="F499" s="22" t="n">
        <v>67.55</v>
      </c>
      <c r="G499" s="22" t="n">
        <v>74.66667</v>
      </c>
      <c r="H499" s="23">
        <f>IF(AND(ISNUMBER(F499),ISNUMBER(G499),F499&gt;0),G499/F499-1,"")</f>
        <v/>
      </c>
      <c r="I499" s="22" t="n">
        <v>55</v>
      </c>
      <c r="J499" s="23">
        <f>IF(AND(ISNUMBER(F499),ISNUMBER(I499),F499&gt;0),I499/F499-1,"")</f>
        <v/>
      </c>
      <c r="K499" s="22" t="n">
        <v>90</v>
      </c>
      <c r="L499" s="23">
        <f>IF(AND(ISNUMBER(F499),ISNUMBER(K499),F499&gt;0),K499/F499-1,"")</f>
        <v/>
      </c>
      <c r="M499" s="24" t="n">
        <v>18</v>
      </c>
      <c r="N499" s="25" t="n">
        <v>0.66</v>
      </c>
      <c r="O499" s="26">
        <f>IF(AND(ISNUMBER(F499),ISNUMBER(N499),F499&gt;0),N499/F499,"")</f>
        <v/>
      </c>
      <c r="P499" s="27" t="n">
        <v>46246</v>
      </c>
      <c r="Q499" s="27" t="n">
        <v>46412</v>
      </c>
      <c r="R499" s="25" t="n">
        <v>3.17</v>
      </c>
      <c r="S499" s="28">
        <f>IF(AND(ISNUMBER(F499),ISNUMBER(R499),R499&gt;0),F499/R499,"")</f>
        <v/>
      </c>
      <c r="T499" s="27" t="n">
        <v>46323</v>
      </c>
    </row>
    <row r="500">
      <c r="A500" s="11" t="inlineStr">
        <is>
          <t>EIX</t>
        </is>
      </c>
      <c r="B500" s="11" t="inlineStr">
        <is>
          <t>Edison International</t>
        </is>
      </c>
      <c r="C500" s="11" t="inlineStr">
        <is>
          <t>Utilities - Regulated Electric</t>
        </is>
      </c>
      <c r="D500" s="11" t="inlineStr">
        <is>
          <t>United States</t>
        </is>
      </c>
      <c r="E500" s="12" t="n">
        <v>22.39</v>
      </c>
      <c r="F500" s="13" t="n">
        <v>58.19</v>
      </c>
      <c r="G500" s="13" t="n">
        <v>62.9</v>
      </c>
      <c r="H500" s="14">
        <f>IF(AND(ISNUMBER(F500),ISNUMBER(G500),F500&gt;0),G500/F500-1,"")</f>
        <v/>
      </c>
      <c r="I500" s="13" t="n">
        <v>42</v>
      </c>
      <c r="J500" s="14">
        <f>IF(AND(ISNUMBER(F500),ISNUMBER(I500),F500&gt;0),I500/F500-1,"")</f>
        <v/>
      </c>
      <c r="K500" s="13" t="n">
        <v>86</v>
      </c>
      <c r="L500" s="14">
        <f>IF(AND(ISNUMBER(F500),ISNUMBER(K500),F500&gt;0),K500/F500-1,"")</f>
        <v/>
      </c>
      <c r="M500" s="15" t="n">
        <v>15</v>
      </c>
      <c r="N500" s="16" t="n">
        <v>3.51</v>
      </c>
      <c r="O500" s="17">
        <f>IF(AND(ISNUMBER(F500),ISNUMBER(N500),F500&gt;0),N500/F500,"")</f>
        <v/>
      </c>
      <c r="P500" s="18" t="n">
        <v>46302</v>
      </c>
      <c r="Q500" s="18" t="n">
        <v>46324</v>
      </c>
      <c r="R500" s="16" t="n">
        <v>9.699999999999999</v>
      </c>
      <c r="S500" s="19">
        <f>IF(AND(ISNUMBER(F500),ISNUMBER(R500),R500&gt;0),F500/R500,"")</f>
        <v/>
      </c>
      <c r="T500" s="18" t="n">
        <v>46323</v>
      </c>
    </row>
    <row r="501">
      <c r="A501" s="20" t="inlineStr">
        <is>
          <t>KEY</t>
        </is>
      </c>
      <c r="B501" s="20" t="inlineStr">
        <is>
          <t>KeyCorp</t>
        </is>
      </c>
      <c r="C501" s="20" t="inlineStr">
        <is>
          <t>Banks - Regional</t>
        </is>
      </c>
      <c r="D501" s="20" t="inlineStr">
        <is>
          <t>United States</t>
        </is>
      </c>
      <c r="E501" s="21" t="n">
        <v>22.38</v>
      </c>
      <c r="F501" s="22" t="n">
        <v>21.15</v>
      </c>
      <c r="G501" s="22" t="n">
        <v>25.105</v>
      </c>
      <c r="H501" s="23">
        <f>IF(AND(ISNUMBER(F501),ISNUMBER(G501),F501&gt;0),G501/F501-1,"")</f>
        <v/>
      </c>
      <c r="I501" s="22" t="n">
        <v>22</v>
      </c>
      <c r="J501" s="23">
        <f>IF(AND(ISNUMBER(F501),ISNUMBER(I501),F501&gt;0),I501/F501-1,"")</f>
        <v/>
      </c>
      <c r="K501" s="22" t="n">
        <v>43</v>
      </c>
      <c r="L501" s="23">
        <f>IF(AND(ISNUMBER(F501),ISNUMBER(K501),F501&gt;0),K501/F501-1,"")</f>
        <v/>
      </c>
      <c r="M501" s="24" t="n">
        <v>20</v>
      </c>
      <c r="N501" s="25" t="n">
        <v>0.82</v>
      </c>
      <c r="O501" s="26">
        <f>IF(AND(ISNUMBER(F501),ISNUMBER(N501),F501&gt;0),N501/F501,"")</f>
        <v/>
      </c>
      <c r="P501" s="27" t="n">
        <v>46266</v>
      </c>
      <c r="Q501" s="27" t="n">
        <v>46407</v>
      </c>
      <c r="R501" s="25" t="n">
        <v>1.72</v>
      </c>
      <c r="S501" s="28">
        <f>IF(AND(ISNUMBER(F501),ISNUMBER(R501),R501&gt;0),F501/R501,"")</f>
        <v/>
      </c>
      <c r="T501" s="27" t="n">
        <v>46323</v>
      </c>
    </row>
    <row r="502">
      <c r="A502" s="11" t="inlineStr">
        <is>
          <t>SW</t>
        </is>
      </c>
      <c r="B502" s="11" t="inlineStr">
        <is>
          <t>Smurfit WestRock plc</t>
        </is>
      </c>
      <c r="C502" s="11" t="inlineStr">
        <is>
          <t>Packaging &amp; Containers</t>
        </is>
      </c>
      <c r="D502" s="11" t="inlineStr">
        <is>
          <t>Ireland</t>
        </is>
      </c>
      <c r="E502" s="12" t="n">
        <v>22.31</v>
      </c>
      <c r="F502" s="13" t="n">
        <v>42.54</v>
      </c>
      <c r="G502" s="13" t="n">
        <v>56.56667</v>
      </c>
      <c r="H502" s="14">
        <f>IF(AND(ISNUMBER(F502),ISNUMBER(G502),F502&gt;0),G502/F502-1,"")</f>
        <v/>
      </c>
      <c r="I502" s="13" t="n">
        <v>46</v>
      </c>
      <c r="J502" s="14">
        <f>IF(AND(ISNUMBER(F502),ISNUMBER(I502),F502&gt;0),I502/F502-1,"")</f>
        <v/>
      </c>
      <c r="K502" s="13" t="n">
        <v>69</v>
      </c>
      <c r="L502" s="14">
        <f>IF(AND(ISNUMBER(F502),ISNUMBER(K502),F502&gt;0),K502/F502-1,"")</f>
        <v/>
      </c>
      <c r="M502" s="15" t="n">
        <v>15</v>
      </c>
      <c r="N502" s="16" t="n">
        <v>1.81</v>
      </c>
      <c r="O502" s="17">
        <f>IF(AND(ISNUMBER(F502),ISNUMBER(N502),F502&gt;0),N502/F502,"")</f>
        <v/>
      </c>
      <c r="P502" s="18" t="n">
        <v>46248</v>
      </c>
      <c r="Q502" s="18" t="n">
        <v>46323</v>
      </c>
      <c r="R502" s="16" t="n">
        <v>0.95</v>
      </c>
      <c r="S502" s="19">
        <f>IF(AND(ISNUMBER(F502),ISNUMBER(R502),R502&gt;0),F502/R502,"")</f>
        <v/>
      </c>
      <c r="T502" s="18" t="n">
        <v>46323</v>
      </c>
    </row>
    <row r="503">
      <c r="A503" s="20" t="inlineStr">
        <is>
          <t>FWONK</t>
        </is>
      </c>
      <c r="B503" s="20" t="inlineStr">
        <is>
          <t>Liberty Media Corporation - Ser</t>
        </is>
      </c>
      <c r="C503" s="20" t="inlineStr">
        <is>
          <t>Entertainment</t>
        </is>
      </c>
      <c r="D503" s="20" t="inlineStr">
        <is>
          <t>United States</t>
        </is>
      </c>
      <c r="E503" s="21" t="n">
        <v>22.26</v>
      </c>
      <c r="F503" s="22" t="n">
        <v>88.77</v>
      </c>
      <c r="G503" s="22" t="n">
        <v>118.76471</v>
      </c>
      <c r="H503" s="23">
        <f>IF(AND(ISNUMBER(F503),ISNUMBER(G503),F503&gt;0),G503/F503-1,"")</f>
        <v/>
      </c>
      <c r="I503" s="22" t="n">
        <v>96</v>
      </c>
      <c r="J503" s="23">
        <f>IF(AND(ISNUMBER(F503),ISNUMBER(I503),F503&gt;0),I503/F503-1,"")</f>
        <v/>
      </c>
      <c r="K503" s="22" t="n">
        <v>134</v>
      </c>
      <c r="L503" s="23">
        <f>IF(AND(ISNUMBER(F503),ISNUMBER(K503),F503&gt;0),K503/F503-1,"")</f>
        <v/>
      </c>
      <c r="M503" s="24" t="n">
        <v>17</v>
      </c>
      <c r="N503" s="25" t="n"/>
      <c r="O503" s="26">
        <f>IF(AND(ISNUMBER(F503),ISNUMBER(N503),F503&gt;0),N503/F503,"")</f>
        <v/>
      </c>
      <c r="P503" s="27" t="n"/>
      <c r="Q503" s="27" t="n">
        <v>46331</v>
      </c>
      <c r="R503" s="25" t="n">
        <v>0.82</v>
      </c>
      <c r="S503" s="28">
        <f>IF(AND(ISNUMBER(F503),ISNUMBER(R503),R503&gt;0),F503/R503,"")</f>
        <v/>
      </c>
      <c r="T503" s="27" t="n">
        <v>46323</v>
      </c>
    </row>
    <row r="504">
      <c r="A504" s="11" t="inlineStr">
        <is>
          <t>TROW</t>
        </is>
      </c>
      <c r="B504" s="11" t="inlineStr">
        <is>
          <t>T. Rowe Price Group, Inc.</t>
        </is>
      </c>
      <c r="C504" s="11" t="inlineStr">
        <is>
          <t>Asset Management</t>
        </is>
      </c>
      <c r="D504" s="11" t="inlineStr">
        <is>
          <t>United States</t>
        </is>
      </c>
      <c r="E504" s="12" t="n">
        <v>22.11</v>
      </c>
      <c r="F504" s="13" t="n">
        <v>103.63</v>
      </c>
      <c r="G504" s="13" t="n">
        <v>106.07692</v>
      </c>
      <c r="H504" s="14">
        <f>IF(AND(ISNUMBER(F504),ISNUMBER(G504),F504&gt;0),G504/F504-1,"")</f>
        <v/>
      </c>
      <c r="I504" s="13" t="n">
        <v>90</v>
      </c>
      <c r="J504" s="14">
        <f>IF(AND(ISNUMBER(F504),ISNUMBER(I504),F504&gt;0),I504/F504-1,"")</f>
        <v/>
      </c>
      <c r="K504" s="13" t="n">
        <v>116</v>
      </c>
      <c r="L504" s="14">
        <f>IF(AND(ISNUMBER(F504),ISNUMBER(K504),F504&gt;0),K504/F504-1,"")</f>
        <v/>
      </c>
      <c r="M504" s="15" t="n">
        <v>13</v>
      </c>
      <c r="N504" s="16" t="n">
        <v>5.2</v>
      </c>
      <c r="O504" s="17">
        <f>IF(AND(ISNUMBER(F504),ISNUMBER(N504),F504&gt;0),N504/F504,"")</f>
        <v/>
      </c>
      <c r="P504" s="18" t="n">
        <v>46280</v>
      </c>
      <c r="Q504" s="18" t="n">
        <v>46324</v>
      </c>
      <c r="R504" s="16" t="n">
        <v>9.960000000000001</v>
      </c>
      <c r="S504" s="19">
        <f>IF(AND(ISNUMBER(F504),ISNUMBER(R504),R504&gt;0),F504/R504,"")</f>
        <v/>
      </c>
      <c r="T504" s="18" t="n">
        <v>46323</v>
      </c>
    </row>
    <row r="505">
      <c r="A505" s="20" t="inlineStr">
        <is>
          <t>STZ</t>
        </is>
      </c>
      <c r="B505" s="20" t="inlineStr">
        <is>
          <t>Constellation Brands, Inc.</t>
        </is>
      </c>
      <c r="C505" s="20" t="inlineStr">
        <is>
          <t>Beverages - Brewers</t>
        </is>
      </c>
      <c r="D505" s="20" t="inlineStr">
        <is>
          <t>United States</t>
        </is>
      </c>
      <c r="E505" s="21" t="n">
        <v>22.11</v>
      </c>
      <c r="F505" s="22" t="n">
        <v>130.63</v>
      </c>
      <c r="G505" s="22" t="n">
        <v>150.86957</v>
      </c>
      <c r="H505" s="23">
        <f>IF(AND(ISNUMBER(F505),ISNUMBER(G505),F505&gt;0),G505/F505-1,"")</f>
        <v/>
      </c>
      <c r="I505" s="22" t="n">
        <v>99</v>
      </c>
      <c r="J505" s="23">
        <f>IF(AND(ISNUMBER(F505),ISNUMBER(I505),F505&gt;0),I505/F505-1,"")</f>
        <v/>
      </c>
      <c r="K505" s="22" t="n">
        <v>209</v>
      </c>
      <c r="L505" s="23">
        <f>IF(AND(ISNUMBER(F505),ISNUMBER(K505),F505&gt;0),K505/F505-1,"")</f>
        <v/>
      </c>
      <c r="M505" s="24" t="n">
        <v>23</v>
      </c>
      <c r="N505" s="25" t="n">
        <v>4.12</v>
      </c>
      <c r="O505" s="26">
        <f>IF(AND(ISNUMBER(F505),ISNUMBER(N505),F505&gt;0),N505/F505,"")</f>
        <v/>
      </c>
      <c r="P505" s="27" t="n">
        <v>46325</v>
      </c>
      <c r="Q505" s="27" t="n">
        <v>46301</v>
      </c>
      <c r="R505" s="25" t="n">
        <v>11.17</v>
      </c>
      <c r="S505" s="28">
        <f>IF(AND(ISNUMBER(F505),ISNUMBER(R505),R505&gt;0),F505/R505,"")</f>
        <v/>
      </c>
      <c r="T505" s="27" t="n">
        <v>46323</v>
      </c>
    </row>
    <row r="506">
      <c r="A506" s="11" t="inlineStr">
        <is>
          <t>TPR</t>
        </is>
      </c>
      <c r="B506" s="11" t="inlineStr">
        <is>
          <t>Tapestry, Inc.</t>
        </is>
      </c>
      <c r="C506" s="11" t="inlineStr">
        <is>
          <t>Luxury Goods</t>
        </is>
      </c>
      <c r="D506" s="11" t="inlineStr">
        <is>
          <t>United States</t>
        </is>
      </c>
      <c r="E506" s="12" t="n">
        <v>22.1</v>
      </c>
      <c r="F506" s="13" t="n">
        <v>111.39</v>
      </c>
      <c r="G506" s="13" t="n">
        <v>161.52632</v>
      </c>
      <c r="H506" s="14">
        <f>IF(AND(ISNUMBER(F506),ISNUMBER(G506),F506&gt;0),G506/F506-1,"")</f>
        <v/>
      </c>
      <c r="I506" s="13" t="n">
        <v>96</v>
      </c>
      <c r="J506" s="14">
        <f>IF(AND(ISNUMBER(F506),ISNUMBER(I506),F506&gt;0),I506/F506-1,"")</f>
        <v/>
      </c>
      <c r="K506" s="13" t="n">
        <v>211</v>
      </c>
      <c r="L506" s="14">
        <f>IF(AND(ISNUMBER(F506),ISNUMBER(K506),F506&gt;0),K506/F506-1,"")</f>
        <v/>
      </c>
      <c r="M506" s="15" t="n">
        <v>19</v>
      </c>
      <c r="N506" s="16" t="n">
        <v>1.85</v>
      </c>
      <c r="O506" s="17">
        <f>IF(AND(ISNUMBER(F506),ISNUMBER(N506),F506&gt;0),N506/F506,"")</f>
        <v/>
      </c>
      <c r="P506" s="18" t="n">
        <v>46269</v>
      </c>
      <c r="Q506" s="18" t="n">
        <v>46331</v>
      </c>
      <c r="R506" s="16" t="n">
        <v>7.27</v>
      </c>
      <c r="S506" s="19">
        <f>IF(AND(ISNUMBER(F506),ISNUMBER(R506),R506&gt;0),F506/R506,"")</f>
        <v/>
      </c>
      <c r="T506" s="18" t="n">
        <v>46323</v>
      </c>
    </row>
    <row r="507">
      <c r="A507" s="20" t="inlineStr">
        <is>
          <t>RS</t>
        </is>
      </c>
      <c r="B507" s="20" t="inlineStr">
        <is>
          <t>Reliance, Inc.</t>
        </is>
      </c>
      <c r="C507" s="20" t="inlineStr">
        <is>
          <t>Steel</t>
        </is>
      </c>
      <c r="D507" s="20" t="inlineStr">
        <is>
          <t>United States</t>
        </is>
      </c>
      <c r="E507" s="21" t="n">
        <v>22.1</v>
      </c>
      <c r="F507" s="22" t="n">
        <v>432.79</v>
      </c>
      <c r="G507" s="22" t="n">
        <v>428.66666</v>
      </c>
      <c r="H507" s="23">
        <f>IF(AND(ISNUMBER(F507),ISNUMBER(G507),F507&gt;0),G507/F507-1,"")</f>
        <v/>
      </c>
      <c r="I507" s="22" t="n">
        <v>400</v>
      </c>
      <c r="J507" s="23">
        <f>IF(AND(ISNUMBER(F507),ISNUMBER(I507),F507&gt;0),I507/F507-1,"")</f>
        <v/>
      </c>
      <c r="K507" s="22" t="n">
        <v>446</v>
      </c>
      <c r="L507" s="23">
        <f>IF(AND(ISNUMBER(F507),ISNUMBER(K507),F507&gt;0),K507/F507-1,"")</f>
        <v/>
      </c>
      <c r="M507" s="24" t="n">
        <v>9</v>
      </c>
      <c r="N507" s="25" t="n">
        <v>5</v>
      </c>
      <c r="O507" s="26">
        <f>IF(AND(ISNUMBER(F507),ISNUMBER(N507),F507&gt;0),N507/F507,"")</f>
        <v/>
      </c>
      <c r="P507" s="27" t="n">
        <v>46248</v>
      </c>
      <c r="Q507" s="27" t="n">
        <v>46316</v>
      </c>
      <c r="R507" s="25" t="n">
        <v>21.45</v>
      </c>
      <c r="S507" s="28">
        <f>IF(AND(ISNUMBER(F507),ISNUMBER(R507),R507&gt;0),F507/R507,"")</f>
        <v/>
      </c>
      <c r="T507" s="27" t="n">
        <v>46323</v>
      </c>
    </row>
    <row r="508">
      <c r="A508" s="11" t="inlineStr">
        <is>
          <t>XPO</t>
        </is>
      </c>
      <c r="B508" s="11" t="inlineStr">
        <is>
          <t>XPO, Inc.</t>
        </is>
      </c>
      <c r="C508" s="11" t="inlineStr">
        <is>
          <t>Trucking</t>
        </is>
      </c>
      <c r="D508" s="11" t="inlineStr">
        <is>
          <t>United States</t>
        </is>
      </c>
      <c r="E508" s="12" t="n">
        <v>22</v>
      </c>
      <c r="F508" s="13" t="n">
        <v>187.92</v>
      </c>
      <c r="G508" s="13" t="n">
        <v>225.04349</v>
      </c>
      <c r="H508" s="14">
        <f>IF(AND(ISNUMBER(F508),ISNUMBER(G508),F508&gt;0),G508/F508-1,"")</f>
        <v/>
      </c>
      <c r="I508" s="13" t="n">
        <v>115</v>
      </c>
      <c r="J508" s="14">
        <f>IF(AND(ISNUMBER(F508),ISNUMBER(I508),F508&gt;0),I508/F508-1,"")</f>
        <v/>
      </c>
      <c r="K508" s="13" t="n">
        <v>275</v>
      </c>
      <c r="L508" s="14">
        <f>IF(AND(ISNUMBER(F508),ISNUMBER(K508),F508&gt;0),K508/F508-1,"")</f>
        <v/>
      </c>
      <c r="M508" s="15" t="n">
        <v>23</v>
      </c>
      <c r="N508" s="16" t="n"/>
      <c r="O508" s="17">
        <f>IF(AND(ISNUMBER(F508),ISNUMBER(N508),F508&gt;0),N508/F508,"")</f>
        <v/>
      </c>
      <c r="P508" s="18" t="n"/>
      <c r="Q508" s="18" t="n">
        <v>46324</v>
      </c>
      <c r="R508" s="16" t="n">
        <v>3.4</v>
      </c>
      <c r="S508" s="19">
        <f>IF(AND(ISNUMBER(F508),ISNUMBER(R508),R508&gt;0),F508/R508,"")</f>
        <v/>
      </c>
      <c r="T508" s="18" t="n">
        <v>46323</v>
      </c>
    </row>
    <row r="509">
      <c r="A509" s="20" t="inlineStr">
        <is>
          <t>EXE</t>
        </is>
      </c>
      <c r="B509" s="20" t="inlineStr">
        <is>
          <t>Expand Energy Corporation</t>
        </is>
      </c>
      <c r="C509" s="20" t="inlineStr">
        <is>
          <t>Oil &amp; Gas E&amp;P</t>
        </is>
      </c>
      <c r="D509" s="20" t="inlineStr">
        <is>
          <t>United States</t>
        </is>
      </c>
      <c r="E509" s="21" t="n">
        <v>21.9</v>
      </c>
      <c r="F509" s="22" t="n">
        <v>94.62</v>
      </c>
      <c r="G509" s="22" t="n">
        <v>123.37037</v>
      </c>
      <c r="H509" s="23">
        <f>IF(AND(ISNUMBER(F509),ISNUMBER(G509),F509&gt;0),G509/F509-1,"")</f>
        <v/>
      </c>
      <c r="I509" s="22" t="n">
        <v>92</v>
      </c>
      <c r="J509" s="23">
        <f>IF(AND(ISNUMBER(F509),ISNUMBER(I509),F509&gt;0),I509/F509-1,"")</f>
        <v/>
      </c>
      <c r="K509" s="22" t="n">
        <v>156</v>
      </c>
      <c r="L509" s="23">
        <f>IF(AND(ISNUMBER(F509),ISNUMBER(K509),F509&gt;0),K509/F509-1,"")</f>
        <v/>
      </c>
      <c r="M509" s="24" t="n">
        <v>27</v>
      </c>
      <c r="N509" s="25" t="n">
        <v>2.3</v>
      </c>
      <c r="O509" s="26">
        <f>IF(AND(ISNUMBER(F509),ISNUMBER(N509),F509&gt;0),N509/F509,"")</f>
        <v/>
      </c>
      <c r="P509" s="27" t="n">
        <v>46247</v>
      </c>
      <c r="Q509" s="27" t="n">
        <v>46322</v>
      </c>
      <c r="R509" s="25" t="n">
        <v>11.6</v>
      </c>
      <c r="S509" s="28">
        <f>IF(AND(ISNUMBER(F509),ISNUMBER(R509),R509&gt;0),F509/R509,"")</f>
        <v/>
      </c>
      <c r="T509" s="27" t="n">
        <v>46323</v>
      </c>
    </row>
    <row r="510">
      <c r="A510" s="11" t="inlineStr">
        <is>
          <t>BNTX</t>
        </is>
      </c>
      <c r="B510" s="11" t="inlineStr">
        <is>
          <t>BioNTech SE</t>
        </is>
      </c>
      <c r="C510" s="11" t="inlineStr">
        <is>
          <t>Biotechnology</t>
        </is>
      </c>
      <c r="D510" s="11" t="inlineStr">
        <is>
          <t>Germany</t>
        </is>
      </c>
      <c r="E510" s="12" t="n">
        <v>21.87</v>
      </c>
      <c r="F510" s="13" t="n">
        <v>87.06</v>
      </c>
      <c r="G510" s="13" t="n">
        <v>115.90936</v>
      </c>
      <c r="H510" s="14">
        <f>IF(AND(ISNUMBER(F510),ISNUMBER(G510),F510&gt;0),G510/F510-1,"")</f>
        <v/>
      </c>
      <c r="I510" s="13" t="n">
        <v>75.52637</v>
      </c>
      <c r="J510" s="14">
        <f>IF(AND(ISNUMBER(F510),ISNUMBER(I510),F510&gt;0),I510/F510-1,"")</f>
        <v/>
      </c>
      <c r="K510" s="13" t="n">
        <v>143.1026</v>
      </c>
      <c r="L510" s="14">
        <f>IF(AND(ISNUMBER(F510),ISNUMBER(K510),F510&gt;0),K510/F510-1,"")</f>
        <v/>
      </c>
      <c r="M510" s="15" t="n">
        <v>20</v>
      </c>
      <c r="N510" s="16" t="n"/>
      <c r="O510" s="17">
        <f>IF(AND(ISNUMBER(F510),ISNUMBER(N510),F510&gt;0),N510/F510,"")</f>
        <v/>
      </c>
      <c r="P510" s="18" t="n"/>
      <c r="Q510" s="18" t="n">
        <v>46329</v>
      </c>
      <c r="R510" s="16" t="n">
        <v>-7.83</v>
      </c>
      <c r="S510" s="19">
        <f>IF(AND(ISNUMBER(F510),ISNUMBER(R510),R510&gt;0),F510/R510,"")</f>
        <v/>
      </c>
      <c r="T510" s="18" t="n">
        <v>46323</v>
      </c>
    </row>
    <row r="511">
      <c r="A511" s="20" t="inlineStr">
        <is>
          <t>LYB</t>
        </is>
      </c>
      <c r="B511" s="20" t="inlineStr">
        <is>
          <t>LyondellBasell Industries NV</t>
        </is>
      </c>
      <c r="C511" s="20" t="inlineStr">
        <is>
          <t>Specialty Chemicals</t>
        </is>
      </c>
      <c r="D511" s="20" t="inlineStr">
        <is>
          <t>Netherlands</t>
        </is>
      </c>
      <c r="E511" s="21" t="n">
        <v>21.78</v>
      </c>
      <c r="F511" s="22" t="n">
        <v>67.43000000000001</v>
      </c>
      <c r="G511" s="22" t="n">
        <v>67.88889</v>
      </c>
      <c r="H511" s="23">
        <f>IF(AND(ISNUMBER(F511),ISNUMBER(G511),F511&gt;0),G511/F511-1,"")</f>
        <v/>
      </c>
      <c r="I511" s="22" t="n">
        <v>56</v>
      </c>
      <c r="J511" s="23">
        <f>IF(AND(ISNUMBER(F511),ISNUMBER(I511),F511&gt;0),I511/F511-1,"")</f>
        <v/>
      </c>
      <c r="K511" s="22" t="n">
        <v>88</v>
      </c>
      <c r="L511" s="23">
        <f>IF(AND(ISNUMBER(F511),ISNUMBER(K511),F511&gt;0),K511/F511-1,"")</f>
        <v/>
      </c>
      <c r="M511" s="24" t="n">
        <v>18</v>
      </c>
      <c r="N511" s="25" t="n">
        <v>2.76</v>
      </c>
      <c r="O511" s="26">
        <f>IF(AND(ISNUMBER(F511),ISNUMBER(N511),F511&gt;0),N511/F511,"")</f>
        <v/>
      </c>
      <c r="P511" s="27" t="n">
        <v>46258</v>
      </c>
      <c r="Q511" s="27" t="n">
        <v>46325</v>
      </c>
      <c r="R511" s="25" t="n">
        <v>-0.83</v>
      </c>
      <c r="S511" s="28">
        <f>IF(AND(ISNUMBER(F511),ISNUMBER(R511),R511&gt;0),F511/R511,"")</f>
        <v/>
      </c>
      <c r="T511" s="27" t="n">
        <v>46323</v>
      </c>
    </row>
    <row r="512">
      <c r="A512" s="11" t="inlineStr">
        <is>
          <t>CMS</t>
        </is>
      </c>
      <c r="B512" s="11" t="inlineStr">
        <is>
          <t>CMS Energy Corporation</t>
        </is>
      </c>
      <c r="C512" s="11" t="inlineStr">
        <is>
          <t>Utilities - Regulated Electric</t>
        </is>
      </c>
      <c r="D512" s="11" t="inlineStr">
        <is>
          <t>United States</t>
        </is>
      </c>
      <c r="E512" s="12" t="n">
        <v>21.64</v>
      </c>
      <c r="F512" s="13" t="n">
        <v>69</v>
      </c>
      <c r="G512" s="13" t="n">
        <v>74.69231000000001</v>
      </c>
      <c r="H512" s="14">
        <f>IF(AND(ISNUMBER(F512),ISNUMBER(G512),F512&gt;0),G512/F512-1,"")</f>
        <v/>
      </c>
      <c r="I512" s="13" t="n">
        <v>68</v>
      </c>
      <c r="J512" s="14">
        <f>IF(AND(ISNUMBER(F512),ISNUMBER(I512),F512&gt;0),I512/F512-1,"")</f>
        <v/>
      </c>
      <c r="K512" s="13" t="n">
        <v>79</v>
      </c>
      <c r="L512" s="14">
        <f>IF(AND(ISNUMBER(F512),ISNUMBER(K512),F512&gt;0),K512/F512-1,"")</f>
        <v/>
      </c>
      <c r="M512" s="15" t="n">
        <v>13</v>
      </c>
      <c r="N512" s="16" t="n">
        <v>2.28</v>
      </c>
      <c r="O512" s="17">
        <f>IF(AND(ISNUMBER(F512),ISNUMBER(N512),F512&gt;0),N512/F512,"")</f>
        <v/>
      </c>
      <c r="P512" s="18" t="n">
        <v>46332</v>
      </c>
      <c r="Q512" s="18" t="n">
        <v>46322</v>
      </c>
      <c r="R512" s="16" t="n">
        <v>3.33</v>
      </c>
      <c r="S512" s="19">
        <f>IF(AND(ISNUMBER(F512),ISNUMBER(R512),R512&gt;0),F512/R512,"")</f>
        <v/>
      </c>
      <c r="T512" s="18" t="n">
        <v>46323</v>
      </c>
    </row>
    <row r="513">
      <c r="A513" s="20" t="inlineStr">
        <is>
          <t>GPN</t>
        </is>
      </c>
      <c r="B513" s="20" t="inlineStr">
        <is>
          <t>Global Payments Inc.</t>
        </is>
      </c>
      <c r="C513" s="20" t="inlineStr">
        <is>
          <t>Specialty Business Services</t>
        </is>
      </c>
      <c r="D513" s="20" t="inlineStr">
        <is>
          <t>United States</t>
        </is>
      </c>
      <c r="E513" s="21" t="n">
        <v>21.55</v>
      </c>
      <c r="F513" s="22" t="n">
        <v>81.43000000000001</v>
      </c>
      <c r="G513" s="22" t="n">
        <v>105.06061</v>
      </c>
      <c r="H513" s="23">
        <f>IF(AND(ISNUMBER(F513),ISNUMBER(G513),F513&gt;0),G513/F513-1,"")</f>
        <v/>
      </c>
      <c r="I513" s="22" t="n">
        <v>70</v>
      </c>
      <c r="J513" s="23">
        <f>IF(AND(ISNUMBER(F513),ISNUMBER(I513),F513&gt;0),I513/F513-1,"")</f>
        <v/>
      </c>
      <c r="K513" s="22" t="n">
        <v>194</v>
      </c>
      <c r="L513" s="23">
        <f>IF(AND(ISNUMBER(F513),ISNUMBER(K513),F513&gt;0),K513/F513-1,"")</f>
        <v/>
      </c>
      <c r="M513" s="24" t="n">
        <v>33</v>
      </c>
      <c r="N513" s="25" t="n">
        <v>1</v>
      </c>
      <c r="O513" s="26">
        <f>IF(AND(ISNUMBER(F513),ISNUMBER(N513),F513&gt;0),N513/F513,"")</f>
        <v/>
      </c>
      <c r="P513" s="27" t="n">
        <v>46276</v>
      </c>
      <c r="Q513" s="27" t="n">
        <v>46331</v>
      </c>
      <c r="R513" s="25" t="n">
        <v>2.13</v>
      </c>
      <c r="S513" s="28">
        <f>IF(AND(ISNUMBER(F513),ISNUMBER(R513),R513&gt;0),F513/R513,"")</f>
        <v/>
      </c>
      <c r="T513" s="27" t="n">
        <v>46323</v>
      </c>
    </row>
    <row r="514">
      <c r="A514" s="11" t="inlineStr">
        <is>
          <t>VTRS</t>
        </is>
      </c>
      <c r="B514" s="11" t="inlineStr">
        <is>
          <t>Viatris Inc.</t>
        </is>
      </c>
      <c r="C514" s="11" t="inlineStr">
        <is>
          <t>Drug Manufacturers - Specialty &amp; Generic</t>
        </is>
      </c>
      <c r="D514" s="11" t="inlineStr">
        <is>
          <t>United States</t>
        </is>
      </c>
      <c r="E514" s="12" t="n">
        <v>21.5</v>
      </c>
      <c r="F514" s="13" t="n">
        <v>18.72</v>
      </c>
      <c r="G514" s="13" t="n">
        <v>20</v>
      </c>
      <c r="H514" s="14">
        <f>IF(AND(ISNUMBER(F514),ISNUMBER(G514),F514&gt;0),G514/F514-1,"")</f>
        <v/>
      </c>
      <c r="I514" s="13" t="n">
        <v>14</v>
      </c>
      <c r="J514" s="14">
        <f>IF(AND(ISNUMBER(F514),ISNUMBER(I514),F514&gt;0),I514/F514-1,"")</f>
        <v/>
      </c>
      <c r="K514" s="13" t="n">
        <v>26</v>
      </c>
      <c r="L514" s="14">
        <f>IF(AND(ISNUMBER(F514),ISNUMBER(K514),F514&gt;0),K514/F514-1,"")</f>
        <v/>
      </c>
      <c r="M514" s="15" t="n">
        <v>10</v>
      </c>
      <c r="N514" s="16" t="n">
        <v>0.48</v>
      </c>
      <c r="O514" s="17">
        <f>IF(AND(ISNUMBER(F514),ISNUMBER(N514),F514&gt;0),N514/F514,"")</f>
        <v/>
      </c>
      <c r="P514" s="18" t="n">
        <v>46255</v>
      </c>
      <c r="Q514" s="18" t="n">
        <v>46331</v>
      </c>
      <c r="R514" s="16" t="n">
        <v>-0.36</v>
      </c>
      <c r="S514" s="19">
        <f>IF(AND(ISNUMBER(F514),ISNUMBER(R514),R514&gt;0),F514/R514,"")</f>
        <v/>
      </c>
      <c r="T514" s="18" t="n">
        <v>46323</v>
      </c>
    </row>
    <row r="515">
      <c r="A515" s="20" t="inlineStr">
        <is>
          <t>TSEM</t>
        </is>
      </c>
      <c r="B515" s="20" t="inlineStr">
        <is>
          <t>Tower Semiconductor Ltd.</t>
        </is>
      </c>
      <c r="C515" s="20" t="inlineStr">
        <is>
          <t>Semiconductors</t>
        </is>
      </c>
      <c r="D515" s="20" t="inlineStr">
        <is>
          <t>Israel</t>
        </is>
      </c>
      <c r="E515" s="21" t="n">
        <v>21.46</v>
      </c>
      <c r="F515" s="22" t="n">
        <v>189.08</v>
      </c>
      <c r="G515" s="22" t="n">
        <v>312.925</v>
      </c>
      <c r="H515" s="23">
        <f>IF(AND(ISNUMBER(F515),ISNUMBER(G515),F515&gt;0),G515/F515-1,"")</f>
        <v/>
      </c>
      <c r="I515" s="22" t="n">
        <v>270</v>
      </c>
      <c r="J515" s="23">
        <f>IF(AND(ISNUMBER(F515),ISNUMBER(I515),F515&gt;0),I515/F515-1,"")</f>
        <v/>
      </c>
      <c r="K515" s="22" t="n">
        <v>355</v>
      </c>
      <c r="L515" s="23">
        <f>IF(AND(ISNUMBER(F515),ISNUMBER(K515),F515&gt;0),K515/F515-1,"")</f>
        <v/>
      </c>
      <c r="M515" s="24" t="n">
        <v>10</v>
      </c>
      <c r="N515" s="25" t="n"/>
      <c r="O515" s="26">
        <f>IF(AND(ISNUMBER(F515),ISNUMBER(N515),F515&gt;0),N515/F515,"")</f>
        <v/>
      </c>
      <c r="P515" s="27" t="n"/>
      <c r="Q515" s="27" t="n">
        <v>46328</v>
      </c>
      <c r="R515" s="25" t="n">
        <v>2.53</v>
      </c>
      <c r="S515" s="28">
        <f>IF(AND(ISNUMBER(F515),ISNUMBER(R515),R515&gt;0),F515/R515,"")</f>
        <v/>
      </c>
      <c r="T515" s="27" t="n">
        <v>46323</v>
      </c>
    </row>
    <row r="516">
      <c r="A516" s="11" t="inlineStr">
        <is>
          <t>PR</t>
        </is>
      </c>
      <c r="B516" s="11" t="inlineStr">
        <is>
          <t>Permian Resources Corporation</t>
        </is>
      </c>
      <c r="C516" s="11" t="inlineStr">
        <is>
          <t>Oil &amp; Gas E&amp;P</t>
        </is>
      </c>
      <c r="D516" s="11" t="inlineStr">
        <is>
          <t>United States</t>
        </is>
      </c>
      <c r="E516" s="12" t="n">
        <v>21.32</v>
      </c>
      <c r="F516" s="13" t="n">
        <v>25.46</v>
      </c>
      <c r="G516" s="13" t="n">
        <v>28.61905</v>
      </c>
      <c r="H516" s="14">
        <f>IF(AND(ISNUMBER(F516),ISNUMBER(G516),F516&gt;0),G516/F516-1,"")</f>
        <v/>
      </c>
      <c r="I516" s="13" t="n">
        <v>25</v>
      </c>
      <c r="J516" s="14">
        <f>IF(AND(ISNUMBER(F516),ISNUMBER(I516),F516&gt;0),I516/F516-1,"")</f>
        <v/>
      </c>
      <c r="K516" s="13" t="n">
        <v>34</v>
      </c>
      <c r="L516" s="14">
        <f>IF(AND(ISNUMBER(F516),ISNUMBER(K516),F516&gt;0),K516/F516-1,"")</f>
        <v/>
      </c>
      <c r="M516" s="15" t="n">
        <v>21</v>
      </c>
      <c r="N516" s="16" t="n">
        <v>0.63</v>
      </c>
      <c r="O516" s="17">
        <f>IF(AND(ISNUMBER(F516),ISNUMBER(N516),F516&gt;0),N516/F516,"")</f>
        <v/>
      </c>
      <c r="P516" s="18" t="n">
        <v>46281</v>
      </c>
      <c r="Q516" s="18" t="n">
        <v>46330</v>
      </c>
      <c r="R516" s="16" t="n">
        <v>1.54</v>
      </c>
      <c r="S516" s="19">
        <f>IF(AND(ISNUMBER(F516),ISNUMBER(R516),R516&gt;0),F516/R516,"")</f>
        <v/>
      </c>
      <c r="T516" s="18" t="n">
        <v>46323</v>
      </c>
    </row>
    <row r="517">
      <c r="A517" s="20" t="inlineStr">
        <is>
          <t>LUV</t>
        </is>
      </c>
      <c r="B517" s="20" t="inlineStr">
        <is>
          <t>Southwest Airlines Company</t>
        </is>
      </c>
      <c r="C517" s="20" t="inlineStr">
        <is>
          <t>Airlines</t>
        </is>
      </c>
      <c r="D517" s="20" t="inlineStr">
        <is>
          <t>United States</t>
        </is>
      </c>
      <c r="E517" s="21" t="n">
        <v>21.25</v>
      </c>
      <c r="F517" s="22" t="n">
        <v>43.44</v>
      </c>
      <c r="G517" s="22" t="n">
        <v>49.31739</v>
      </c>
      <c r="H517" s="23">
        <f>IF(AND(ISNUMBER(F517),ISNUMBER(G517),F517&gt;0),G517/F517-1,"")</f>
        <v/>
      </c>
      <c r="I517" s="22" t="n">
        <v>34</v>
      </c>
      <c r="J517" s="23">
        <f>IF(AND(ISNUMBER(F517),ISNUMBER(I517),F517&gt;0),I517/F517-1,"")</f>
        <v/>
      </c>
      <c r="K517" s="22" t="n">
        <v>65</v>
      </c>
      <c r="L517" s="23">
        <f>IF(AND(ISNUMBER(F517),ISNUMBER(K517),F517&gt;0),K517/F517-1,"")</f>
        <v/>
      </c>
      <c r="M517" s="24" t="n">
        <v>23</v>
      </c>
      <c r="N517" s="25" t="n">
        <v>0.72</v>
      </c>
      <c r="O517" s="26">
        <f>IF(AND(ISNUMBER(F517),ISNUMBER(N517),F517&gt;0),N517/F517,"")</f>
        <v/>
      </c>
      <c r="P517" s="27" t="n">
        <v>46268</v>
      </c>
      <c r="Q517" s="27" t="n">
        <v>46316</v>
      </c>
      <c r="R517" s="25" t="n">
        <v>2.1</v>
      </c>
      <c r="S517" s="28">
        <f>IF(AND(ISNUMBER(F517),ISNUMBER(R517),R517&gt;0),F517/R517,"")</f>
        <v/>
      </c>
      <c r="T517" s="27" t="n">
        <v>46323</v>
      </c>
    </row>
    <row r="518">
      <c r="A518" s="11" t="inlineStr">
        <is>
          <t>AMCR</t>
        </is>
      </c>
      <c r="B518" s="11" t="inlineStr">
        <is>
          <t>Amcor plc</t>
        </is>
      </c>
      <c r="C518" s="11" t="inlineStr">
        <is>
          <t>Packaging &amp; Containers</t>
        </is>
      </c>
      <c r="D518" s="11" t="inlineStr">
        <is>
          <t>Switzerland</t>
        </is>
      </c>
      <c r="E518" s="12" t="n">
        <v>21.22</v>
      </c>
      <c r="F518" s="13" t="n">
        <v>45.94</v>
      </c>
      <c r="G518" s="13" t="n">
        <v>50.28636</v>
      </c>
      <c r="H518" s="14">
        <f>IF(AND(ISNUMBER(F518),ISNUMBER(G518),F518&gt;0),G518/F518-1,"")</f>
        <v/>
      </c>
      <c r="I518" s="13" t="n">
        <v>42</v>
      </c>
      <c r="J518" s="14">
        <f>IF(AND(ISNUMBER(F518),ISNUMBER(I518),F518&gt;0),I518/F518-1,"")</f>
        <v/>
      </c>
      <c r="K518" s="13" t="n">
        <v>60</v>
      </c>
      <c r="L518" s="14">
        <f>IF(AND(ISNUMBER(F518),ISNUMBER(K518),F518&gt;0),K518/F518-1,"")</f>
        <v/>
      </c>
      <c r="M518" s="15" t="n">
        <v>11</v>
      </c>
      <c r="N518" s="16" t="n">
        <v>2.6</v>
      </c>
      <c r="O518" s="17">
        <f>IF(AND(ISNUMBER(F518),ISNUMBER(N518),F518&gt;0),N518/F518,"")</f>
        <v/>
      </c>
      <c r="P518" s="18" t="n">
        <v>46269</v>
      </c>
      <c r="Q518" s="18" t="n">
        <v>46330</v>
      </c>
      <c r="R518" s="16" t="n">
        <v>2.38</v>
      </c>
      <c r="S518" s="19">
        <f>IF(AND(ISNUMBER(F518),ISNUMBER(R518),R518&gt;0),F518/R518,"")</f>
        <v/>
      </c>
      <c r="T518" s="18" t="n">
        <v>46323</v>
      </c>
    </row>
    <row r="519">
      <c r="A519" s="20" t="inlineStr">
        <is>
          <t>SOFI</t>
        </is>
      </c>
      <c r="B519" s="20" t="inlineStr">
        <is>
          <t>SoFi Technologies, Inc.</t>
        </is>
      </c>
      <c r="C519" s="20" t="inlineStr">
        <is>
          <t>Credit Services</t>
        </is>
      </c>
      <c r="D519" s="20" t="inlineStr">
        <is>
          <t>United States</t>
        </is>
      </c>
      <c r="E519" s="21" t="n">
        <v>21.18</v>
      </c>
      <c r="F519" s="22" t="n">
        <v>16.4</v>
      </c>
      <c r="G519" s="22" t="n">
        <v>20.22083</v>
      </c>
      <c r="H519" s="23">
        <f>IF(AND(ISNUMBER(F519),ISNUMBER(G519),F519&gt;0),G519/F519-1,"")</f>
        <v/>
      </c>
      <c r="I519" s="22" t="n">
        <v>12</v>
      </c>
      <c r="J519" s="23">
        <f>IF(AND(ISNUMBER(F519),ISNUMBER(I519),F519&gt;0),I519/F519-1,"")</f>
        <v/>
      </c>
      <c r="K519" s="22" t="n">
        <v>30</v>
      </c>
      <c r="L519" s="23">
        <f>IF(AND(ISNUMBER(F519),ISNUMBER(K519),F519&gt;0),K519/F519-1,"")</f>
        <v/>
      </c>
      <c r="M519" s="24" t="n">
        <v>24</v>
      </c>
      <c r="N519" s="25" t="n"/>
      <c r="O519" s="26">
        <f>IF(AND(ISNUMBER(F519),ISNUMBER(N519),F519&gt;0),N519/F519,"")</f>
        <v/>
      </c>
      <c r="P519" s="27" t="n"/>
      <c r="Q519" s="27" t="n">
        <v>46322</v>
      </c>
      <c r="R519" s="25" t="n">
        <v>0.49</v>
      </c>
      <c r="S519" s="28">
        <f>IF(AND(ISNUMBER(F519),ISNUMBER(R519),R519&gt;0),F519/R519,"")</f>
        <v/>
      </c>
      <c r="T519" s="27" t="n">
        <v>46323</v>
      </c>
    </row>
    <row r="520">
      <c r="A520" s="11" t="inlineStr">
        <is>
          <t>PTC</t>
        </is>
      </c>
      <c r="B520" s="11" t="inlineStr">
        <is>
          <t>PTC Inc.</t>
        </is>
      </c>
      <c r="C520" s="11" t="inlineStr">
        <is>
          <t>Software - Application</t>
        </is>
      </c>
      <c r="D520" s="11" t="inlineStr">
        <is>
          <t>United States</t>
        </is>
      </c>
      <c r="E520" s="12" t="n">
        <v>21.14</v>
      </c>
      <c r="F520" s="13" t="n">
        <v>194.62</v>
      </c>
      <c r="G520" s="13" t="n">
        <v>201</v>
      </c>
      <c r="H520" s="14">
        <f>IF(AND(ISNUMBER(F520),ISNUMBER(G520),F520&gt;0),G520/F520-1,"")</f>
        <v/>
      </c>
      <c r="I520" s="13" t="n">
        <v>170</v>
      </c>
      <c r="J520" s="14">
        <f>IF(AND(ISNUMBER(F520),ISNUMBER(I520),F520&gt;0),I520/F520-1,"")</f>
        <v/>
      </c>
      <c r="K520" s="13" t="n">
        <v>205</v>
      </c>
      <c r="L520" s="14">
        <f>IF(AND(ISNUMBER(F520),ISNUMBER(K520),F520&gt;0),K520/F520-1,"")</f>
        <v/>
      </c>
      <c r="M520" s="15" t="n">
        <v>15</v>
      </c>
      <c r="N520" s="16" t="n"/>
      <c r="O520" s="17">
        <f>IF(AND(ISNUMBER(F520),ISNUMBER(N520),F520&gt;0),N520/F520,"")</f>
        <v/>
      </c>
      <c r="P520" s="18" t="n"/>
      <c r="Q520" s="18" t="n">
        <v>46330</v>
      </c>
      <c r="R520" s="16" t="n">
        <v>10.31</v>
      </c>
      <c r="S520" s="19">
        <f>IF(AND(ISNUMBER(F520),ISNUMBER(R520),R520&gt;0),F520/R520,"")</f>
        <v/>
      </c>
      <c r="T520" s="18" t="n">
        <v>46323</v>
      </c>
    </row>
    <row r="521">
      <c r="A521" s="20" t="inlineStr">
        <is>
          <t>INSM</t>
        </is>
      </c>
      <c r="B521" s="20" t="inlineStr">
        <is>
          <t>Insmed Incorporated</t>
        </is>
      </c>
      <c r="C521" s="20" t="inlineStr">
        <is>
          <t>Biotechnology</t>
        </is>
      </c>
      <c r="D521" s="20" t="inlineStr">
        <is>
          <t>United States</t>
        </is>
      </c>
      <c r="E521" s="21" t="n">
        <v>20.74</v>
      </c>
      <c r="F521" s="22" t="n">
        <v>94.95999999999999</v>
      </c>
      <c r="G521" s="22" t="n">
        <v>196.13635</v>
      </c>
      <c r="H521" s="23">
        <f>IF(AND(ISNUMBER(F521),ISNUMBER(G521),F521&gt;0),G521/F521-1,"")</f>
        <v/>
      </c>
      <c r="I521" s="22" t="n">
        <v>165</v>
      </c>
      <c r="J521" s="23">
        <f>IF(AND(ISNUMBER(F521),ISNUMBER(I521),F521&gt;0),I521/F521-1,"")</f>
        <v/>
      </c>
      <c r="K521" s="22" t="n">
        <v>243</v>
      </c>
      <c r="L521" s="23">
        <f>IF(AND(ISNUMBER(F521),ISNUMBER(K521),F521&gt;0),K521/F521-1,"")</f>
        <v/>
      </c>
      <c r="M521" s="24" t="n">
        <v>22</v>
      </c>
      <c r="N521" s="25" t="n"/>
      <c r="O521" s="26">
        <f>IF(AND(ISNUMBER(F521),ISNUMBER(N521),F521&gt;0),N521/F521,"")</f>
        <v/>
      </c>
      <c r="P521" s="27" t="n"/>
      <c r="Q521" s="27" t="n">
        <v>46324</v>
      </c>
      <c r="R521" s="25" t="n">
        <v>-4.1</v>
      </c>
      <c r="S521" s="28">
        <f>IF(AND(ISNUMBER(F521),ISNUMBER(R521),R521&gt;0),F521/R521,"")</f>
        <v/>
      </c>
      <c r="T521" s="27" t="n">
        <v>46323</v>
      </c>
    </row>
    <row r="522">
      <c r="A522" s="11" t="inlineStr">
        <is>
          <t>CRCL</t>
        </is>
      </c>
      <c r="B522" s="11" t="inlineStr">
        <is>
          <t>Circle Internet Group, Inc.</t>
        </is>
      </c>
      <c r="C522" s="11" t="inlineStr">
        <is>
          <t>Capital Markets</t>
        </is>
      </c>
      <c r="D522" s="11" t="inlineStr">
        <is>
          <t>United States</t>
        </is>
      </c>
      <c r="E522" s="12" t="n">
        <v>20.71</v>
      </c>
      <c r="F522" s="13" t="n">
        <v>81.58</v>
      </c>
      <c r="G522" s="13" t="n">
        <v>107.47583</v>
      </c>
      <c r="H522" s="14">
        <f>IF(AND(ISNUMBER(F522),ISNUMBER(G522),F522&gt;0),G522/F522-1,"")</f>
        <v/>
      </c>
      <c r="I522" s="13" t="n">
        <v>37</v>
      </c>
      <c r="J522" s="14">
        <f>IF(AND(ISNUMBER(F522),ISNUMBER(I522),F522&gt;0),I522/F522-1,"")</f>
        <v/>
      </c>
      <c r="K522" s="13" t="n">
        <v>243</v>
      </c>
      <c r="L522" s="14">
        <f>IF(AND(ISNUMBER(F522),ISNUMBER(K522),F522&gt;0),K522/F522-1,"")</f>
        <v/>
      </c>
      <c r="M522" s="15" t="n">
        <v>24</v>
      </c>
      <c r="N522" s="16" t="n"/>
      <c r="O522" s="17">
        <f>IF(AND(ISNUMBER(F522),ISNUMBER(N522),F522&gt;0),N522/F522,"")</f>
        <v/>
      </c>
      <c r="P522" s="18" t="n"/>
      <c r="Q522" s="18" t="n">
        <v>46330</v>
      </c>
      <c r="R522" s="16" t="n">
        <v>1.46</v>
      </c>
      <c r="S522" s="19">
        <f>IF(AND(ISNUMBER(F522),ISNUMBER(R522),R522&gt;0),F522/R522,"")</f>
        <v/>
      </c>
      <c r="T522" s="18" t="n">
        <v>46323</v>
      </c>
    </row>
    <row r="523">
      <c r="A523" s="20" t="inlineStr">
        <is>
          <t>BBY</t>
        </is>
      </c>
      <c r="B523" s="20" t="inlineStr">
        <is>
          <t>Best Buy Co., Inc.</t>
        </is>
      </c>
      <c r="C523" s="20" t="inlineStr">
        <is>
          <t>Specialty Retail</t>
        </is>
      </c>
      <c r="D523" s="20" t="inlineStr">
        <is>
          <t>United States</t>
        </is>
      </c>
      <c r="E523" s="21" t="n">
        <v>20.66</v>
      </c>
      <c r="F523" s="22" t="n">
        <v>98.5</v>
      </c>
      <c r="G523" s="22" t="n">
        <v>87.84999999999999</v>
      </c>
      <c r="H523" s="23">
        <f>IF(AND(ISNUMBER(F523),ISNUMBER(G523),F523&gt;0),G523/F523-1,"")</f>
        <v/>
      </c>
      <c r="I523" s="22" t="n">
        <v>71</v>
      </c>
      <c r="J523" s="23">
        <f>IF(AND(ISNUMBER(F523),ISNUMBER(I523),F523&gt;0),I523/F523-1,"")</f>
        <v/>
      </c>
      <c r="K523" s="22" t="n">
        <v>100</v>
      </c>
      <c r="L523" s="23">
        <f>IF(AND(ISNUMBER(F523),ISNUMBER(K523),F523&gt;0),K523/F523-1,"")</f>
        <v/>
      </c>
      <c r="M523" s="24" t="n">
        <v>20</v>
      </c>
      <c r="N523" s="25" t="n">
        <v>3.84</v>
      </c>
      <c r="O523" s="26">
        <f>IF(AND(ISNUMBER(F523),ISNUMBER(N523),F523&gt;0),N523/F523,"")</f>
        <v/>
      </c>
      <c r="P523" s="27" t="n">
        <v>46282</v>
      </c>
      <c r="Q523" s="27" t="n">
        <v>46350</v>
      </c>
      <c r="R523" s="25" t="n">
        <v>6.01</v>
      </c>
      <c r="S523" s="28">
        <f>IF(AND(ISNUMBER(F523),ISNUMBER(R523),R523&gt;0),F523/R523,"")</f>
        <v/>
      </c>
      <c r="T523" s="27" t="n">
        <v>46323</v>
      </c>
    </row>
    <row r="524">
      <c r="A524" s="11" t="inlineStr">
        <is>
          <t>EFX</t>
        </is>
      </c>
      <c r="B524" s="11" t="inlineStr">
        <is>
          <t>Equifax, Inc.</t>
        </is>
      </c>
      <c r="C524" s="11" t="inlineStr">
        <is>
          <t>Consulting Services</t>
        </is>
      </c>
      <c r="D524" s="11" t="inlineStr">
        <is>
          <t>United States</t>
        </is>
      </c>
      <c r="E524" s="12" t="n">
        <v>20.64</v>
      </c>
      <c r="F524" s="13" t="n">
        <v>175.71</v>
      </c>
      <c r="G524" s="13" t="n">
        <v>200.35</v>
      </c>
      <c r="H524" s="14">
        <f>IF(AND(ISNUMBER(F524),ISNUMBER(G524),F524&gt;0),G524/F524-1,"")</f>
        <v/>
      </c>
      <c r="I524" s="13" t="n">
        <v>155</v>
      </c>
      <c r="J524" s="14">
        <f>IF(AND(ISNUMBER(F524),ISNUMBER(I524),F524&gt;0),I524/F524-1,"")</f>
        <v/>
      </c>
      <c r="K524" s="13" t="n">
        <v>245</v>
      </c>
      <c r="L524" s="14">
        <f>IF(AND(ISNUMBER(F524),ISNUMBER(K524),F524&gt;0),K524/F524-1,"")</f>
        <v/>
      </c>
      <c r="M524" s="15" t="n">
        <v>20</v>
      </c>
      <c r="N524" s="16" t="n">
        <v>2.24</v>
      </c>
      <c r="O524" s="17">
        <f>IF(AND(ISNUMBER(F524),ISNUMBER(N524),F524&gt;0),N524/F524,"")</f>
        <v/>
      </c>
      <c r="P524" s="18" t="n">
        <v>46265</v>
      </c>
      <c r="Q524" s="18" t="n">
        <v>46315</v>
      </c>
      <c r="R524" s="16" t="n">
        <v>6.18</v>
      </c>
      <c r="S524" s="19">
        <f>IF(AND(ISNUMBER(F524),ISNUMBER(R524),R524&gt;0),F524/R524,"")</f>
        <v/>
      </c>
      <c r="T524" s="18" t="n">
        <v>46323</v>
      </c>
    </row>
    <row r="525">
      <c r="A525" s="20" t="inlineStr">
        <is>
          <t>SNX</t>
        </is>
      </c>
      <c r="B525" s="20" t="inlineStr">
        <is>
          <t>TD SYNNEX Corporation</t>
        </is>
      </c>
      <c r="C525" s="20" t="inlineStr">
        <is>
          <t>Electronics &amp; Computer Distribution</t>
        </is>
      </c>
      <c r="D525" s="20" t="inlineStr">
        <is>
          <t>United States</t>
        </is>
      </c>
      <c r="E525" s="21" t="n">
        <v>20.32</v>
      </c>
      <c r="F525" s="22" t="n">
        <v>254.72</v>
      </c>
      <c r="G525" s="22" t="n">
        <v>339.63635</v>
      </c>
      <c r="H525" s="23">
        <f>IF(AND(ISNUMBER(F525),ISNUMBER(G525),F525&gt;0),G525/F525-1,"")</f>
        <v/>
      </c>
      <c r="I525" s="22" t="n">
        <v>287</v>
      </c>
      <c r="J525" s="23">
        <f>IF(AND(ISNUMBER(F525),ISNUMBER(I525),F525&gt;0),I525/F525-1,"")</f>
        <v/>
      </c>
      <c r="K525" s="22" t="n">
        <v>379</v>
      </c>
      <c r="L525" s="23">
        <f>IF(AND(ISNUMBER(F525),ISNUMBER(K525),F525&gt;0),K525/F525-1,"")</f>
        <v/>
      </c>
      <c r="M525" s="24" t="n">
        <v>11</v>
      </c>
      <c r="N525" s="25" t="n">
        <v>1.92</v>
      </c>
      <c r="O525" s="26">
        <f>IF(AND(ISNUMBER(F525),ISNUMBER(N525),F525&gt;0),N525/F525,"")</f>
        <v/>
      </c>
      <c r="P525" s="27" t="n">
        <v>46311</v>
      </c>
      <c r="Q525" s="27" t="n">
        <v>46289</v>
      </c>
      <c r="R525" s="25" t="n">
        <v>16.61</v>
      </c>
      <c r="S525" s="28">
        <f>IF(AND(ISNUMBER(F525),ISNUMBER(R525),R525&gt;0),F525/R525,"")</f>
        <v/>
      </c>
      <c r="T525" s="27" t="n">
        <v>46323</v>
      </c>
    </row>
    <row r="526">
      <c r="A526" s="11" t="inlineStr">
        <is>
          <t>RGLD</t>
        </is>
      </c>
      <c r="B526" s="11" t="inlineStr">
        <is>
          <t>Royal Gold, Inc.</t>
        </is>
      </c>
      <c r="C526" s="11" t="inlineStr">
        <is>
          <t>Gold</t>
        </is>
      </c>
      <c r="D526" s="11" t="inlineStr">
        <is>
          <t>United States</t>
        </is>
      </c>
      <c r="E526" s="12" t="n">
        <v>20.31</v>
      </c>
      <c r="F526" s="13" t="n">
        <v>239.66</v>
      </c>
      <c r="G526" s="13" t="n">
        <v>310.08334</v>
      </c>
      <c r="H526" s="14">
        <f>IF(AND(ISNUMBER(F526),ISNUMBER(G526),F526&gt;0),G526/F526-1,"")</f>
        <v/>
      </c>
      <c r="I526" s="13" t="n">
        <v>223</v>
      </c>
      <c r="J526" s="14">
        <f>IF(AND(ISNUMBER(F526),ISNUMBER(I526),F526&gt;0),I526/F526-1,"")</f>
        <v/>
      </c>
      <c r="K526" s="13" t="n">
        <v>380</v>
      </c>
      <c r="L526" s="14">
        <f>IF(AND(ISNUMBER(F526),ISNUMBER(K526),F526&gt;0),K526/F526-1,"")</f>
        <v/>
      </c>
      <c r="M526" s="15" t="n">
        <v>12</v>
      </c>
      <c r="N526" s="16" t="n">
        <v>1.9</v>
      </c>
      <c r="O526" s="17">
        <f>IF(AND(ISNUMBER(F526),ISNUMBER(N526),F526&gt;0),N526/F526,"")</f>
        <v/>
      </c>
      <c r="P526" s="18" t="n">
        <v>46297</v>
      </c>
      <c r="Q526" s="18" t="n">
        <v>46330</v>
      </c>
      <c r="R526" s="16" t="n">
        <v>9.029999999999999</v>
      </c>
      <c r="S526" s="19">
        <f>IF(AND(ISNUMBER(F526),ISNUMBER(R526),R526&gt;0),F526/R526,"")</f>
        <v/>
      </c>
      <c r="T526" s="18" t="n">
        <v>46323</v>
      </c>
    </row>
    <row r="527">
      <c r="A527" s="20" t="inlineStr">
        <is>
          <t>DINO</t>
        </is>
      </c>
      <c r="B527" s="20" t="inlineStr">
        <is>
          <t>HF Sinclair Corporation</t>
        </is>
      </c>
      <c r="C527" s="20" t="inlineStr">
        <is>
          <t>Oil &amp; Gas Refining &amp; Marketing</t>
        </is>
      </c>
      <c r="D527" s="20" t="inlineStr">
        <is>
          <t>United States</t>
        </is>
      </c>
      <c r="E527" s="21" t="n">
        <v>20.3</v>
      </c>
      <c r="F527" s="22" t="n">
        <v>114.21</v>
      </c>
      <c r="G527" s="22" t="n">
        <v>122.06667</v>
      </c>
      <c r="H527" s="23">
        <f>IF(AND(ISNUMBER(F527),ISNUMBER(G527),F527&gt;0),G527/F527-1,"")</f>
        <v/>
      </c>
      <c r="I527" s="22" t="n">
        <v>73</v>
      </c>
      <c r="J527" s="23">
        <f>IF(AND(ISNUMBER(F527),ISNUMBER(I527),F527&gt;0),I527/F527-1,"")</f>
        <v/>
      </c>
      <c r="K527" s="22" t="n">
        <v>160</v>
      </c>
      <c r="L527" s="23">
        <f>IF(AND(ISNUMBER(F527),ISNUMBER(K527),F527&gt;0),K527/F527-1,"")</f>
        <v/>
      </c>
      <c r="M527" s="24" t="n">
        <v>15</v>
      </c>
      <c r="N527" s="25" t="n">
        <v>2.1</v>
      </c>
      <c r="O527" s="26">
        <f>IF(AND(ISNUMBER(F527),ISNUMBER(N527),F527&gt;0),N527/F527,"")</f>
        <v/>
      </c>
      <c r="P527" s="27" t="n">
        <v>46245</v>
      </c>
      <c r="Q527" s="27" t="n">
        <v>46323</v>
      </c>
      <c r="R527" s="25" t="n">
        <v>10.5</v>
      </c>
      <c r="S527" s="28">
        <f>IF(AND(ISNUMBER(F527),ISNUMBER(R527),R527&gt;0),F527/R527,"")</f>
        <v/>
      </c>
      <c r="T527" s="27" t="n">
        <v>46323</v>
      </c>
    </row>
    <row r="528">
      <c r="A528" s="11" t="inlineStr">
        <is>
          <t>WIT</t>
        </is>
      </c>
      <c r="B528" s="11" t="inlineStr">
        <is>
          <t>Wipro Limited</t>
        </is>
      </c>
      <c r="C528" s="11" t="inlineStr">
        <is>
          <t>Information Technology Services</t>
        </is>
      </c>
      <c r="D528" s="11" t="inlineStr">
        <is>
          <t>India</t>
        </is>
      </c>
      <c r="E528" s="12" t="n">
        <v>20.18</v>
      </c>
      <c r="F528" s="13" t="n">
        <v>2.04</v>
      </c>
      <c r="G528" s="13" t="n">
        <v>1.67933</v>
      </c>
      <c r="H528" s="14">
        <f>IF(AND(ISNUMBER(F528),ISNUMBER(G528),F528&gt;0),G528/F528-1,"")</f>
        <v/>
      </c>
      <c r="I528" s="13" t="n">
        <v>1.58</v>
      </c>
      <c r="J528" s="14">
        <f>IF(AND(ISNUMBER(F528),ISNUMBER(I528),F528&gt;0),I528/F528-1,"")</f>
        <v/>
      </c>
      <c r="K528" s="13" t="n">
        <v>1.9</v>
      </c>
      <c r="L528" s="14">
        <f>IF(AND(ISNUMBER(F528),ISNUMBER(K528),F528&gt;0),K528/F528-1,"")</f>
        <v/>
      </c>
      <c r="M528" s="15" t="n">
        <v>7</v>
      </c>
      <c r="N528" s="16" t="n">
        <v>0.09</v>
      </c>
      <c r="O528" s="17">
        <f>IF(AND(ISNUMBER(F528),ISNUMBER(N528),F528&gt;0),N528/F528,"")</f>
        <v/>
      </c>
      <c r="P528" s="18" t="n">
        <v>46230</v>
      </c>
      <c r="Q528" s="18" t="n">
        <v>46402</v>
      </c>
      <c r="R528" s="16" t="n">
        <v>0.14</v>
      </c>
      <c r="S528" s="19">
        <f>IF(AND(ISNUMBER(F528),ISNUMBER(R528),R528&gt;0),F528/R528,"")</f>
        <v/>
      </c>
      <c r="T528" s="18" t="n">
        <v>46323</v>
      </c>
    </row>
    <row r="529">
      <c r="A529" s="20" t="inlineStr">
        <is>
          <t>CDW</t>
        </is>
      </c>
      <c r="B529" s="20" t="inlineStr">
        <is>
          <t>CDW Corporation</t>
        </is>
      </c>
      <c r="C529" s="20" t="inlineStr">
        <is>
          <t>Information Technology Services</t>
        </is>
      </c>
      <c r="D529" s="20" t="inlineStr">
        <is>
          <t>United States</t>
        </is>
      </c>
      <c r="E529" s="21" t="n">
        <v>20.18</v>
      </c>
      <c r="F529" s="22" t="n">
        <v>161.41</v>
      </c>
      <c r="G529" s="22" t="n">
        <v>159.11111</v>
      </c>
      <c r="H529" s="23">
        <f>IF(AND(ISNUMBER(F529),ISNUMBER(G529),F529&gt;0),G529/F529-1,"")</f>
        <v/>
      </c>
      <c r="I529" s="22" t="n">
        <v>148</v>
      </c>
      <c r="J529" s="23">
        <f>IF(AND(ISNUMBER(F529),ISNUMBER(I529),F529&gt;0),I529/F529-1,"")</f>
        <v/>
      </c>
      <c r="K529" s="22" t="n">
        <v>171</v>
      </c>
      <c r="L529" s="23">
        <f>IF(AND(ISNUMBER(F529),ISNUMBER(K529),F529&gt;0),K529/F529-1,"")</f>
        <v/>
      </c>
      <c r="M529" s="24" t="n">
        <v>9</v>
      </c>
      <c r="N529" s="25" t="n">
        <v>2.52</v>
      </c>
      <c r="O529" s="26">
        <f>IF(AND(ISNUMBER(F529),ISNUMBER(N529),F529&gt;0),N529/F529,"")</f>
        <v/>
      </c>
      <c r="P529" s="27" t="n">
        <v>46259</v>
      </c>
      <c r="Q529" s="27" t="n">
        <v>46330</v>
      </c>
      <c r="R529" s="25" t="n">
        <v>8.32</v>
      </c>
      <c r="S529" s="28">
        <f>IF(AND(ISNUMBER(F529),ISNUMBER(R529),R529&gt;0),F529/R529,"")</f>
        <v/>
      </c>
      <c r="T529" s="27" t="n">
        <v>46323</v>
      </c>
    </row>
    <row r="530">
      <c r="A530" s="11" t="inlineStr">
        <is>
          <t>LEN</t>
        </is>
      </c>
      <c r="B530" s="11" t="inlineStr">
        <is>
          <t>Lennar Corporation</t>
        </is>
      </c>
      <c r="C530" s="11" t="inlineStr">
        <is>
          <t>Residential Construction</t>
        </is>
      </c>
      <c r="D530" s="11" t="inlineStr">
        <is>
          <t>United States</t>
        </is>
      </c>
      <c r="E530" s="12" t="n">
        <v>20.12</v>
      </c>
      <c r="F530" s="13" t="n">
        <v>84.58</v>
      </c>
      <c r="G530" s="13" t="n">
        <v>77.73333</v>
      </c>
      <c r="H530" s="14">
        <f>IF(AND(ISNUMBER(F530),ISNUMBER(G530),F530&gt;0),G530/F530-1,"")</f>
        <v/>
      </c>
      <c r="I530" s="13" t="n">
        <v>63</v>
      </c>
      <c r="J530" s="14">
        <f>IF(AND(ISNUMBER(F530),ISNUMBER(I530),F530&gt;0),I530/F530-1,"")</f>
        <v/>
      </c>
      <c r="K530" s="13" t="n">
        <v>120</v>
      </c>
      <c r="L530" s="14">
        <f>IF(AND(ISNUMBER(F530),ISNUMBER(K530),F530&gt;0),K530/F530-1,"")</f>
        <v/>
      </c>
      <c r="M530" s="15" t="n">
        <v>15</v>
      </c>
      <c r="N530" s="16" t="n">
        <v>2</v>
      </c>
      <c r="O530" s="17">
        <f>IF(AND(ISNUMBER(F530),ISNUMBER(N530),F530&gt;0),N530/F530,"")</f>
        <v/>
      </c>
      <c r="P530" s="18" t="n">
        <v>46302</v>
      </c>
      <c r="Q530" s="18" t="n">
        <v>46371</v>
      </c>
      <c r="R530" s="16" t="n">
        <v>5.22</v>
      </c>
      <c r="S530" s="19">
        <f>IF(AND(ISNUMBER(F530),ISNUMBER(R530),R530&gt;0),F530/R530,"")</f>
        <v/>
      </c>
      <c r="T530" s="18" t="n">
        <v>46323</v>
      </c>
    </row>
    <row r="531">
      <c r="A531" s="20" t="inlineStr">
        <is>
          <t>SWKS</t>
        </is>
      </c>
      <c r="B531" s="20" t="inlineStr">
        <is>
          <t>Skyworks Solutions, Inc.</t>
        </is>
      </c>
      <c r="C531" s="20" t="inlineStr">
        <is>
          <t>Semiconductors</t>
        </is>
      </c>
      <c r="D531" s="20" t="inlineStr">
        <is>
          <t>United States</t>
        </is>
      </c>
      <c r="E531" s="21" t="n">
        <v>20.1</v>
      </c>
      <c r="F531" s="22" t="n">
        <v>85.48</v>
      </c>
      <c r="G531" s="22" t="n">
        <v>77.50588</v>
      </c>
      <c r="H531" s="23">
        <f>IF(AND(ISNUMBER(F531),ISNUMBER(G531),F531&gt;0),G531/F531-1,"")</f>
        <v/>
      </c>
      <c r="I531" s="22" t="n">
        <v>61</v>
      </c>
      <c r="J531" s="23">
        <f>IF(AND(ISNUMBER(F531),ISNUMBER(I531),F531&gt;0),I531/F531-1,"")</f>
        <v/>
      </c>
      <c r="K531" s="22" t="n">
        <v>107</v>
      </c>
      <c r="L531" s="23">
        <f>IF(AND(ISNUMBER(F531),ISNUMBER(K531),F531&gt;0),K531/F531-1,"")</f>
        <v/>
      </c>
      <c r="M531" s="24" t="n">
        <v>17</v>
      </c>
      <c r="N531" s="25" t="n">
        <v>0</v>
      </c>
      <c r="O531" s="26">
        <f>IF(AND(ISNUMBER(F531),ISNUMBER(N531),F531&gt;0),N531/F531,"")</f>
        <v/>
      </c>
      <c r="P531" s="27" t="n">
        <v>46168</v>
      </c>
      <c r="Q531" s="27" t="n">
        <v>46329</v>
      </c>
      <c r="R531" s="25" t="n">
        <v>1.93</v>
      </c>
      <c r="S531" s="28">
        <f>IF(AND(ISNUMBER(F531),ISNUMBER(R531),R531&gt;0),F531/R531,"")</f>
        <v/>
      </c>
      <c r="T531" s="27" t="n">
        <v>46323</v>
      </c>
    </row>
    <row r="532">
      <c r="A532" s="11" t="inlineStr">
        <is>
          <t>BR</t>
        </is>
      </c>
      <c r="B532" s="11" t="inlineStr">
        <is>
          <t>Broadridge Financial Solutions,</t>
        </is>
      </c>
      <c r="C532" s="11" t="inlineStr">
        <is>
          <t>Information Technology Services</t>
        </is>
      </c>
      <c r="D532" s="11" t="inlineStr">
        <is>
          <t>United States</t>
        </is>
      </c>
      <c r="E532" s="12" t="n">
        <v>19.99</v>
      </c>
      <c r="F532" s="13" t="n">
        <v>177.09</v>
      </c>
      <c r="G532" s="13" t="n">
        <v>213.375</v>
      </c>
      <c r="H532" s="14">
        <f>IF(AND(ISNUMBER(F532),ISNUMBER(G532),F532&gt;0),G532/F532-1,"")</f>
        <v/>
      </c>
      <c r="I532" s="13" t="n">
        <v>176</v>
      </c>
      <c r="J532" s="14">
        <f>IF(AND(ISNUMBER(F532),ISNUMBER(I532),F532&gt;0),I532/F532-1,"")</f>
        <v/>
      </c>
      <c r="K532" s="13" t="n">
        <v>250</v>
      </c>
      <c r="L532" s="14">
        <f>IF(AND(ISNUMBER(F532),ISNUMBER(K532),F532&gt;0),K532/F532-1,"")</f>
        <v/>
      </c>
      <c r="M532" s="15" t="n">
        <v>8</v>
      </c>
      <c r="N532" s="16" t="n">
        <v>4.36</v>
      </c>
      <c r="O532" s="17">
        <f>IF(AND(ISNUMBER(F532),ISNUMBER(N532),F532&gt;0),N532/F532,"")</f>
        <v/>
      </c>
      <c r="P532" s="18" t="n">
        <v>46268</v>
      </c>
      <c r="Q532" s="18" t="n">
        <v>46329</v>
      </c>
      <c r="R532" s="16" t="n">
        <v>9.6</v>
      </c>
      <c r="S532" s="19">
        <f>IF(AND(ISNUMBER(F532),ISNUMBER(R532),R532&gt;0),F532/R532,"")</f>
        <v/>
      </c>
      <c r="T532" s="18" t="n">
        <v>46323</v>
      </c>
    </row>
    <row r="533">
      <c r="A533" s="20" t="inlineStr">
        <is>
          <t>NTNX</t>
        </is>
      </c>
      <c r="B533" s="20" t="inlineStr">
        <is>
          <t>Nutanix, Inc.</t>
        </is>
      </c>
      <c r="C533" s="20" t="inlineStr">
        <is>
          <t>Software - Infrastructure</t>
        </is>
      </c>
      <c r="D533" s="20" t="inlineStr">
        <is>
          <t>United States</t>
        </is>
      </c>
      <c r="E533" s="21" t="n">
        <v>19.68</v>
      </c>
      <c r="F533" s="22" t="n">
        <v>72.73999999999999</v>
      </c>
      <c r="G533" s="22" t="n">
        <v>79.26867</v>
      </c>
      <c r="H533" s="23">
        <f>IF(AND(ISNUMBER(F533),ISNUMBER(G533),F533&gt;0),G533/F533-1,"")</f>
        <v/>
      </c>
      <c r="I533" s="22" t="n">
        <v>63</v>
      </c>
      <c r="J533" s="23">
        <f>IF(AND(ISNUMBER(F533),ISNUMBER(I533),F533&gt;0),I533/F533-1,"")</f>
        <v/>
      </c>
      <c r="K533" s="22" t="n">
        <v>100</v>
      </c>
      <c r="L533" s="23">
        <f>IF(AND(ISNUMBER(F533),ISNUMBER(K533),F533&gt;0),K533/F533-1,"")</f>
        <v/>
      </c>
      <c r="M533" s="24" t="n">
        <v>15</v>
      </c>
      <c r="N533" s="25" t="n"/>
      <c r="O533" s="26">
        <f>IF(AND(ISNUMBER(F533),ISNUMBER(N533),F533&gt;0),N533/F533,"")</f>
        <v/>
      </c>
      <c r="P533" s="27" t="n"/>
      <c r="Q533" s="27" t="n">
        <v>46351</v>
      </c>
      <c r="R533" s="25" t="n">
        <v>5.17</v>
      </c>
      <c r="S533" s="28">
        <f>IF(AND(ISNUMBER(F533),ISNUMBER(R533),R533&gt;0),F533/R533,"")</f>
        <v/>
      </c>
      <c r="T533" s="27" t="n">
        <v>46323</v>
      </c>
    </row>
    <row r="534">
      <c r="A534" s="11" t="inlineStr">
        <is>
          <t>OVV</t>
        </is>
      </c>
      <c r="B534" s="11" t="inlineStr">
        <is>
          <t>Ovintiv Inc. (DE)</t>
        </is>
      </c>
      <c r="C534" s="11" t="inlineStr">
        <is>
          <t>Oil &amp; Gas E&amp;P</t>
        </is>
      </c>
      <c r="D534" s="11" t="inlineStr">
        <is>
          <t>United States</t>
        </is>
      </c>
      <c r="E534" s="12" t="n">
        <v>19.67</v>
      </c>
      <c r="F534" s="13" t="n">
        <v>71.13</v>
      </c>
      <c r="G534" s="13" t="n">
        <v>79.81818</v>
      </c>
      <c r="H534" s="14">
        <f>IF(AND(ISNUMBER(F534),ISNUMBER(G534),F534&gt;0),G534/F534-1,"")</f>
        <v/>
      </c>
      <c r="I534" s="13" t="n">
        <v>65</v>
      </c>
      <c r="J534" s="14">
        <f>IF(AND(ISNUMBER(F534),ISNUMBER(I534),F534&gt;0),I534/F534-1,"")</f>
        <v/>
      </c>
      <c r="K534" s="13" t="n">
        <v>92</v>
      </c>
      <c r="L534" s="14">
        <f>IF(AND(ISNUMBER(F534),ISNUMBER(K534),F534&gt;0),K534/F534-1,"")</f>
        <v/>
      </c>
      <c r="M534" s="15" t="n">
        <v>22</v>
      </c>
      <c r="N534" s="16" t="n">
        <v>1.2</v>
      </c>
      <c r="O534" s="17">
        <f>IF(AND(ISNUMBER(F534),ISNUMBER(N534),F534&gt;0),N534/F534,"")</f>
        <v/>
      </c>
      <c r="P534" s="18" t="n">
        <v>46280</v>
      </c>
      <c r="Q534" s="18" t="n">
        <v>46329</v>
      </c>
      <c r="R534" s="16" t="n">
        <v>3.59</v>
      </c>
      <c r="S534" s="19">
        <f>IF(AND(ISNUMBER(F534),ISNUMBER(R534),R534&gt;0),F534/R534,"")</f>
        <v/>
      </c>
      <c r="T534" s="18" t="n">
        <v>46323</v>
      </c>
    </row>
    <row r="535">
      <c r="A535" s="20" t="inlineStr">
        <is>
          <t>EVRG</t>
        </is>
      </c>
      <c r="B535" s="20" t="inlineStr">
        <is>
          <t>Evergy, Inc.</t>
        </is>
      </c>
      <c r="C535" s="20" t="inlineStr">
        <is>
          <t>Utilities - Regulated Electric</t>
        </is>
      </c>
      <c r="D535" s="20" t="inlineStr">
        <is>
          <t>United States</t>
        </is>
      </c>
      <c r="E535" s="21" t="n">
        <v>19.67</v>
      </c>
      <c r="F535" s="22" t="n">
        <v>85.3</v>
      </c>
      <c r="G535" s="22" t="n">
        <v>90.64286</v>
      </c>
      <c r="H535" s="23">
        <f>IF(AND(ISNUMBER(F535),ISNUMBER(G535),F535&gt;0),G535/F535-1,"")</f>
        <v/>
      </c>
      <c r="I535" s="22" t="n">
        <v>80</v>
      </c>
      <c r="J535" s="23">
        <f>IF(AND(ISNUMBER(F535),ISNUMBER(I535),F535&gt;0),I535/F535-1,"")</f>
        <v/>
      </c>
      <c r="K535" s="22" t="n">
        <v>98</v>
      </c>
      <c r="L535" s="23">
        <f>IF(AND(ISNUMBER(F535),ISNUMBER(K535),F535&gt;0),K535/F535-1,"")</f>
        <v/>
      </c>
      <c r="M535" s="24" t="n">
        <v>14</v>
      </c>
      <c r="N535" s="25" t="n">
        <v>2.78</v>
      </c>
      <c r="O535" s="26">
        <f>IF(AND(ISNUMBER(F535),ISNUMBER(N535),F535&gt;0),N535/F535,"")</f>
        <v/>
      </c>
      <c r="P535" s="27" t="n">
        <v>46252</v>
      </c>
      <c r="Q535" s="27" t="n">
        <v>46331</v>
      </c>
      <c r="R535" s="25" t="n">
        <v>3.93</v>
      </c>
      <c r="S535" s="28">
        <f>IF(AND(ISNUMBER(F535),ISNUMBER(R535),R535&gt;0),F535/R535,"")</f>
        <v/>
      </c>
      <c r="T535" s="27" t="n">
        <v>46323</v>
      </c>
    </row>
    <row r="536">
      <c r="A536" s="11" t="inlineStr">
        <is>
          <t>TSN</t>
        </is>
      </c>
      <c r="B536" s="11" t="inlineStr">
        <is>
          <t>Tyson Foods, Inc.</t>
        </is>
      </c>
      <c r="C536" s="11" t="inlineStr">
        <is>
          <t>Farm Products</t>
        </is>
      </c>
      <c r="D536" s="11" t="inlineStr">
        <is>
          <t>United States</t>
        </is>
      </c>
      <c r="E536" s="12" t="n">
        <v>19.61</v>
      </c>
      <c r="F536" s="13" t="n">
        <v>55.75</v>
      </c>
      <c r="G536" s="13" t="n">
        <v>63</v>
      </c>
      <c r="H536" s="14">
        <f>IF(AND(ISNUMBER(F536),ISNUMBER(G536),F536&gt;0),G536/F536-1,"")</f>
        <v/>
      </c>
      <c r="I536" s="13" t="n">
        <v>56</v>
      </c>
      <c r="J536" s="14">
        <f>IF(AND(ISNUMBER(F536),ISNUMBER(I536),F536&gt;0),I536/F536-1,"")</f>
        <v/>
      </c>
      <c r="K536" s="13" t="n">
        <v>75</v>
      </c>
      <c r="L536" s="14">
        <f>IF(AND(ISNUMBER(F536),ISNUMBER(K536),F536&gt;0),K536/F536-1,"")</f>
        <v/>
      </c>
      <c r="M536" s="15" t="n">
        <v>12</v>
      </c>
      <c r="N536" s="16" t="n">
        <v>2.04</v>
      </c>
      <c r="O536" s="17">
        <f>IF(AND(ISNUMBER(F536),ISNUMBER(N536),F536&gt;0),N536/F536,"")</f>
        <v/>
      </c>
      <c r="P536" s="18" t="n">
        <v>46357</v>
      </c>
      <c r="Q536" s="18" t="n">
        <v>46342</v>
      </c>
      <c r="R536" s="16" t="n">
        <v>1.62</v>
      </c>
      <c r="S536" s="19">
        <f>IF(AND(ISNUMBER(F536),ISNUMBER(R536),R536&gt;0),F536/R536,"")</f>
        <v/>
      </c>
      <c r="T536" s="18" t="n">
        <v>46323</v>
      </c>
    </row>
    <row r="537">
      <c r="A537" s="20" t="inlineStr">
        <is>
          <t>SBAC</t>
        </is>
      </c>
      <c r="B537" s="20" t="inlineStr">
        <is>
          <t>SBA Communications Corporation</t>
        </is>
      </c>
      <c r="C537" s="20" t="inlineStr">
        <is>
          <t>Reit - Specialty</t>
        </is>
      </c>
      <c r="D537" s="20" t="inlineStr">
        <is>
          <t>United States</t>
        </is>
      </c>
      <c r="E537" s="21" t="n">
        <v>19.55</v>
      </c>
      <c r="F537" s="22" t="n">
        <v>184.24</v>
      </c>
      <c r="G537" s="22" t="n">
        <v>225.25</v>
      </c>
      <c r="H537" s="23">
        <f>IF(AND(ISNUMBER(F537),ISNUMBER(G537),F537&gt;0),G537/F537-1,"")</f>
        <v/>
      </c>
      <c r="I537" s="22" t="n">
        <v>164</v>
      </c>
      <c r="J537" s="23">
        <f>IF(AND(ISNUMBER(F537),ISNUMBER(I537),F537&gt;0),I537/F537-1,"")</f>
        <v/>
      </c>
      <c r="K537" s="22" t="n">
        <v>280</v>
      </c>
      <c r="L537" s="23">
        <f>IF(AND(ISNUMBER(F537),ISNUMBER(K537),F537&gt;0),K537/F537-1,"")</f>
        <v/>
      </c>
      <c r="M537" s="24" t="n">
        <v>20</v>
      </c>
      <c r="N537" s="25" t="n">
        <v>5</v>
      </c>
      <c r="O537" s="26">
        <f>IF(AND(ISNUMBER(F537),ISNUMBER(N537),F537&gt;0),N537/F537,"")</f>
        <v/>
      </c>
      <c r="P537" s="27" t="n">
        <v>46254</v>
      </c>
      <c r="Q537" s="27" t="n">
        <v>46328</v>
      </c>
      <c r="R537" s="25" t="n">
        <v>9.27</v>
      </c>
      <c r="S537" s="28">
        <f>IF(AND(ISNUMBER(F537),ISNUMBER(R537),R537&gt;0),F537/R537,"")</f>
        <v/>
      </c>
      <c r="T537" s="27" t="n">
        <v>46323</v>
      </c>
    </row>
    <row r="538">
      <c r="A538" s="11" t="inlineStr">
        <is>
          <t>MTSI</t>
        </is>
      </c>
      <c r="B538" s="11" t="inlineStr">
        <is>
          <t>MACOM Technology Solutions Hold</t>
        </is>
      </c>
      <c r="C538" s="11" t="inlineStr">
        <is>
          <t>Semiconductors</t>
        </is>
      </c>
      <c r="D538" s="11" t="inlineStr">
        <is>
          <t>United States</t>
        </is>
      </c>
      <c r="E538" s="12" t="n">
        <v>19.53</v>
      </c>
      <c r="F538" s="13" t="n">
        <v>255.68</v>
      </c>
      <c r="G538" s="13" t="n">
        <v>384.6875</v>
      </c>
      <c r="H538" s="14">
        <f>IF(AND(ISNUMBER(F538),ISNUMBER(G538),F538&gt;0),G538/F538-1,"")</f>
        <v/>
      </c>
      <c r="I538" s="13" t="n">
        <v>300</v>
      </c>
      <c r="J538" s="14">
        <f>IF(AND(ISNUMBER(F538),ISNUMBER(I538),F538&gt;0),I538/F538-1,"")</f>
        <v/>
      </c>
      <c r="K538" s="13" t="n">
        <v>475</v>
      </c>
      <c r="L538" s="14">
        <f>IF(AND(ISNUMBER(F538),ISNUMBER(K538),F538&gt;0),K538/F538-1,"")</f>
        <v/>
      </c>
      <c r="M538" s="15" t="n">
        <v>16</v>
      </c>
      <c r="N538" s="16" t="n"/>
      <c r="O538" s="17">
        <f>IF(AND(ISNUMBER(F538),ISNUMBER(N538),F538&gt;0),N538/F538,"")</f>
        <v/>
      </c>
      <c r="P538" s="18" t="n"/>
      <c r="Q538" s="18" t="n">
        <v>46331</v>
      </c>
      <c r="R538" s="16" t="n">
        <v>3.14</v>
      </c>
      <c r="S538" s="19">
        <f>IF(AND(ISNUMBER(F538),ISNUMBER(R538),R538&gt;0),F538/R538,"")</f>
        <v/>
      </c>
      <c r="T538" s="18" t="n">
        <v>46323</v>
      </c>
    </row>
    <row r="539">
      <c r="A539" s="20" t="inlineStr">
        <is>
          <t>BG</t>
        </is>
      </c>
      <c r="B539" s="20" t="inlineStr">
        <is>
          <t>Bunge Limited</t>
        </is>
      </c>
      <c r="C539" s="20" t="inlineStr">
        <is>
          <t>Farm Products</t>
        </is>
      </c>
      <c r="D539" s="20" t="inlineStr">
        <is>
          <t>United States</t>
        </is>
      </c>
      <c r="E539" s="21" t="n">
        <v>19.47</v>
      </c>
      <c r="F539" s="22" t="n">
        <v>101.36</v>
      </c>
      <c r="G539" s="22" t="n">
        <v>140.55556</v>
      </c>
      <c r="H539" s="23">
        <f>IF(AND(ISNUMBER(F539),ISNUMBER(G539),F539&gt;0),G539/F539-1,"")</f>
        <v/>
      </c>
      <c r="I539" s="22" t="n">
        <v>116</v>
      </c>
      <c r="J539" s="23">
        <f>IF(AND(ISNUMBER(F539),ISNUMBER(I539),F539&gt;0),I539/F539-1,"")</f>
        <v/>
      </c>
      <c r="K539" s="22" t="n">
        <v>155</v>
      </c>
      <c r="L539" s="23">
        <f>IF(AND(ISNUMBER(F539),ISNUMBER(K539),F539&gt;0),K539/F539-1,"")</f>
        <v/>
      </c>
      <c r="M539" s="24" t="n">
        <v>9</v>
      </c>
      <c r="N539" s="25" t="n">
        <v>2.88</v>
      </c>
      <c r="O539" s="26">
        <f>IF(AND(ISNUMBER(F539),ISNUMBER(N539),F539&gt;0),N539/F539,"")</f>
        <v/>
      </c>
      <c r="P539" s="27" t="n">
        <v>46343</v>
      </c>
      <c r="Q539" s="27" t="n">
        <v>46324</v>
      </c>
      <c r="R539" s="25" t="n">
        <v>5.02</v>
      </c>
      <c r="S539" s="28">
        <f>IF(AND(ISNUMBER(F539),ISNUMBER(R539),R539&gt;0),F539/R539,"")</f>
        <v/>
      </c>
      <c r="T539" s="27" t="n">
        <v>46323</v>
      </c>
    </row>
    <row r="540">
      <c r="A540" s="11" t="inlineStr">
        <is>
          <t>BEKE</t>
        </is>
      </c>
      <c r="B540" s="11" t="inlineStr">
        <is>
          <t>KE Holdings Inc</t>
        </is>
      </c>
      <c r="C540" s="11" t="inlineStr">
        <is>
          <t>Real Estate Services</t>
        </is>
      </c>
      <c r="D540" s="11" t="inlineStr">
        <is>
          <t>China</t>
        </is>
      </c>
      <c r="E540" s="12" t="n">
        <v>19.36</v>
      </c>
      <c r="F540" s="13" t="n">
        <v>17.65</v>
      </c>
      <c r="G540" s="13" t="n">
        <v>24.011812</v>
      </c>
      <c r="H540" s="14">
        <f>IF(AND(ISNUMBER(F540),ISNUMBER(G540),F540&gt;0),G540/F540-1,"")</f>
        <v/>
      </c>
      <c r="I540" s="13" t="n">
        <v>19.159304</v>
      </c>
      <c r="J540" s="14">
        <f>IF(AND(ISNUMBER(F540),ISNUMBER(I540),F540&gt;0),I540/F540-1,"")</f>
        <v/>
      </c>
      <c r="K540" s="13" t="n">
        <v>27.743696</v>
      </c>
      <c r="L540" s="14">
        <f>IF(AND(ISNUMBER(F540),ISNUMBER(K540),F540&gt;0),K540/F540-1,"")</f>
        <v/>
      </c>
      <c r="M540" s="15" t="n">
        <v>20</v>
      </c>
      <c r="N540" s="16" t="n">
        <v>0.28</v>
      </c>
      <c r="O540" s="17">
        <f>IF(AND(ISNUMBER(F540),ISNUMBER(N540),F540&gt;0),N540/F540,"")</f>
        <v/>
      </c>
      <c r="P540" s="18" t="n">
        <v>46120</v>
      </c>
      <c r="Q540" s="18" t="n">
        <v>46336</v>
      </c>
      <c r="R540" s="16" t="n">
        <v>0.6</v>
      </c>
      <c r="S540" s="19">
        <f>IF(AND(ISNUMBER(F540),ISNUMBER(R540),R540&gt;0),F540/R540,"")</f>
        <v/>
      </c>
      <c r="T540" s="18" t="n">
        <v>46323</v>
      </c>
    </row>
    <row r="541">
      <c r="A541" s="20" t="inlineStr">
        <is>
          <t>YPF</t>
        </is>
      </c>
      <c r="B541" s="20" t="inlineStr">
        <is>
          <t>YPF Sociedad Anonima</t>
        </is>
      </c>
      <c r="C541" s="20" t="inlineStr">
        <is>
          <t>Oil &amp; Gas Integrated</t>
        </is>
      </c>
      <c r="D541" s="20" t="inlineStr">
        <is>
          <t>Argentina</t>
        </is>
      </c>
      <c r="E541" s="21" t="n">
        <v>19</v>
      </c>
      <c r="F541" s="22" t="n">
        <v>48.45</v>
      </c>
      <c r="G541" s="22" t="n">
        <v>61.96667</v>
      </c>
      <c r="H541" s="23">
        <f>IF(AND(ISNUMBER(F541),ISNUMBER(G541),F541&gt;0),G541/F541-1,"")</f>
        <v/>
      </c>
      <c r="I541" s="22" t="n">
        <v>50</v>
      </c>
      <c r="J541" s="23">
        <f>IF(AND(ISNUMBER(F541),ISNUMBER(I541),F541&gt;0),I541/F541-1,"")</f>
        <v/>
      </c>
      <c r="K541" s="22" t="n">
        <v>78</v>
      </c>
      <c r="L541" s="23">
        <f>IF(AND(ISNUMBER(F541),ISNUMBER(K541),F541&gt;0),K541/F541-1,"")</f>
        <v/>
      </c>
      <c r="M541" s="24" t="n">
        <v>12</v>
      </c>
      <c r="N541" s="25" t="n"/>
      <c r="O541" s="26">
        <f>IF(AND(ISNUMBER(F541),ISNUMBER(N541),F541&gt;0),N541/F541,"")</f>
        <v/>
      </c>
      <c r="P541" s="27" t="n"/>
      <c r="Q541" s="27" t="n">
        <v>46323</v>
      </c>
      <c r="R541" s="25" t="n">
        <v>1.9</v>
      </c>
      <c r="S541" s="28">
        <f>IF(AND(ISNUMBER(F541),ISNUMBER(R541),R541&gt;0),F541/R541,"")</f>
        <v/>
      </c>
      <c r="T541" s="27" t="n">
        <v>46323</v>
      </c>
    </row>
    <row r="542">
      <c r="A542" s="11" t="inlineStr">
        <is>
          <t>ESS</t>
        </is>
      </c>
      <c r="B542" s="11" t="inlineStr">
        <is>
          <t>Essex Property Trust, Inc.</t>
        </is>
      </c>
      <c r="C542" s="11" t="inlineStr">
        <is>
          <t>Reit - Residential</t>
        </is>
      </c>
      <c r="D542" s="11" t="inlineStr">
        <is>
          <t>United States</t>
        </is>
      </c>
      <c r="E542" s="12" t="n">
        <v>18.95</v>
      </c>
      <c r="F542" s="13" t="n">
        <v>274.85</v>
      </c>
      <c r="G542" s="13" t="n">
        <v>297.11</v>
      </c>
      <c r="H542" s="14">
        <f>IF(AND(ISNUMBER(F542),ISNUMBER(G542),F542&gt;0),G542/F542-1,"")</f>
        <v/>
      </c>
      <c r="I542" s="13" t="n">
        <v>239</v>
      </c>
      <c r="J542" s="14">
        <f>IF(AND(ISNUMBER(F542),ISNUMBER(I542),F542&gt;0),I542/F542-1,"")</f>
        <v/>
      </c>
      <c r="K542" s="13" t="n">
        <v>330</v>
      </c>
      <c r="L542" s="14">
        <f>IF(AND(ISNUMBER(F542),ISNUMBER(K542),F542&gt;0),K542/F542-1,"")</f>
        <v/>
      </c>
      <c r="M542" s="15" t="n">
        <v>25</v>
      </c>
      <c r="N542" s="16" t="n">
        <v>10.36</v>
      </c>
      <c r="O542" s="17">
        <f>IF(AND(ISNUMBER(F542),ISNUMBER(N542),F542&gt;0),N542/F542,"")</f>
        <v/>
      </c>
      <c r="P542" s="18" t="n">
        <v>46295</v>
      </c>
      <c r="Q542" s="18" t="n">
        <v>46322</v>
      </c>
      <c r="R542" s="16" t="n">
        <v>6.43</v>
      </c>
      <c r="S542" s="19">
        <f>IF(AND(ISNUMBER(F542),ISNUMBER(R542),R542&gt;0),F542/R542,"")</f>
        <v/>
      </c>
      <c r="T542" s="18" t="n">
        <v>46323</v>
      </c>
    </row>
    <row r="543">
      <c r="A543" s="20" t="inlineStr">
        <is>
          <t>FSLR</t>
        </is>
      </c>
      <c r="B543" s="20" t="inlineStr">
        <is>
          <t>First Solar, Inc.</t>
        </is>
      </c>
      <c r="C543" s="20" t="inlineStr">
        <is>
          <t>Solar</t>
        </is>
      </c>
      <c r="D543" s="20" t="inlineStr">
        <is>
          <t>United States</t>
        </is>
      </c>
      <c r="E543" s="21" t="n">
        <v>18.9</v>
      </c>
      <c r="F543" s="22" t="n">
        <v>175.85</v>
      </c>
      <c r="G543" s="22" t="n">
        <v>274.238</v>
      </c>
      <c r="H543" s="23">
        <f>IF(AND(ISNUMBER(F543),ISNUMBER(G543),F543&gt;0),G543/F543-1,"")</f>
        <v/>
      </c>
      <c r="I543" s="22" t="n">
        <v>191</v>
      </c>
      <c r="J543" s="23">
        <f>IF(AND(ISNUMBER(F543),ISNUMBER(I543),F543&gt;0),I543/F543-1,"")</f>
        <v/>
      </c>
      <c r="K543" s="22" t="n">
        <v>402</v>
      </c>
      <c r="L543" s="23">
        <f>IF(AND(ISNUMBER(F543),ISNUMBER(K543),F543&gt;0),K543/F543-1,"")</f>
        <v/>
      </c>
      <c r="M543" s="24" t="n">
        <v>30</v>
      </c>
      <c r="N543" s="25" t="n"/>
      <c r="O543" s="26">
        <f>IF(AND(ISNUMBER(F543),ISNUMBER(N543),F543&gt;0),N543/F543,"")</f>
        <v/>
      </c>
      <c r="P543" s="27" t="n"/>
      <c r="Q543" s="27" t="n">
        <v>46324</v>
      </c>
      <c r="R543" s="25" t="n">
        <v>16.22</v>
      </c>
      <c r="S543" s="28">
        <f>IF(AND(ISNUMBER(F543),ISNUMBER(R543),R543&gt;0),F543/R543,"")</f>
        <v/>
      </c>
      <c r="T543" s="27" t="n">
        <v>46323</v>
      </c>
    </row>
    <row r="544">
      <c r="A544" s="11" t="inlineStr">
        <is>
          <t>SSNC</t>
        </is>
      </c>
      <c r="B544" s="11" t="inlineStr">
        <is>
          <t>SS&amp;C Technologies Holdings, Inc</t>
        </is>
      </c>
      <c r="C544" s="11" t="inlineStr">
        <is>
          <t>Software - Application</t>
        </is>
      </c>
      <c r="D544" s="11" t="inlineStr">
        <is>
          <t>United States</t>
        </is>
      </c>
      <c r="E544" s="12" t="n">
        <v>18.82</v>
      </c>
      <c r="F544" s="13" t="n">
        <v>80.22</v>
      </c>
      <c r="G544" s="13" t="n">
        <v>98.55556</v>
      </c>
      <c r="H544" s="14">
        <f>IF(AND(ISNUMBER(F544),ISNUMBER(G544),F544&gt;0),G544/F544-1,"")</f>
        <v/>
      </c>
      <c r="I544" s="13" t="n">
        <v>85</v>
      </c>
      <c r="J544" s="14">
        <f>IF(AND(ISNUMBER(F544),ISNUMBER(I544),F544&gt;0),I544/F544-1,"")</f>
        <v/>
      </c>
      <c r="K544" s="13" t="n">
        <v>110</v>
      </c>
      <c r="L544" s="14">
        <f>IF(AND(ISNUMBER(F544),ISNUMBER(K544),F544&gt;0),K544/F544-1,"")</f>
        <v/>
      </c>
      <c r="M544" s="15" t="n">
        <v>9</v>
      </c>
      <c r="N544" s="16" t="n">
        <v>1.2</v>
      </c>
      <c r="O544" s="17">
        <f>IF(AND(ISNUMBER(F544),ISNUMBER(N544),F544&gt;0),N544/F544,"")</f>
        <v/>
      </c>
      <c r="P544" s="18" t="n">
        <v>46266</v>
      </c>
      <c r="Q544" s="18" t="n">
        <v>46317</v>
      </c>
      <c r="R544" s="16" t="n">
        <v>3.47</v>
      </c>
      <c r="S544" s="19">
        <f>IF(AND(ISNUMBER(F544),ISNUMBER(R544),R544&gt;0),F544/R544,"")</f>
        <v/>
      </c>
      <c r="T544" s="18" t="n">
        <v>46323</v>
      </c>
    </row>
    <row r="545">
      <c r="A545" s="20" t="inlineStr">
        <is>
          <t>BCE</t>
        </is>
      </c>
      <c r="B545" s="20" t="inlineStr">
        <is>
          <t>BCE, Inc.</t>
        </is>
      </c>
      <c r="C545" s="20" t="inlineStr">
        <is>
          <t>Telecom Services</t>
        </is>
      </c>
      <c r="D545" s="20" t="inlineStr">
        <is>
          <t>Canada</t>
        </is>
      </c>
      <c r="E545" s="21" t="n">
        <v>18.73</v>
      </c>
      <c r="F545" s="22" t="n">
        <v>20.09</v>
      </c>
      <c r="G545" s="22" t="n">
        <v>26.784702</v>
      </c>
      <c r="H545" s="23">
        <f>IF(AND(ISNUMBER(F545),ISNUMBER(G545),F545&gt;0),G545/F545-1,"")</f>
        <v/>
      </c>
      <c r="I545" s="22" t="n">
        <v>24.37364</v>
      </c>
      <c r="J545" s="23">
        <f>IF(AND(ISNUMBER(F545),ISNUMBER(I545),F545&gt;0),I545/F545-1,"")</f>
        <v/>
      </c>
      <c r="K545" s="22" t="n">
        <v>28.600595</v>
      </c>
      <c r="L545" s="23">
        <f>IF(AND(ISNUMBER(F545),ISNUMBER(K545),F545&gt;0),K545/F545-1,"")</f>
        <v/>
      </c>
      <c r="M545" s="24" t="n">
        <v>3</v>
      </c>
      <c r="N545" s="25" t="n">
        <v>1.23</v>
      </c>
      <c r="O545" s="26">
        <f>IF(AND(ISNUMBER(F545),ISNUMBER(N545),F545&gt;0),N545/F545,"")</f>
        <v/>
      </c>
      <c r="P545" s="27" t="n">
        <v>46280</v>
      </c>
      <c r="Q545" s="27" t="n">
        <v>46331</v>
      </c>
      <c r="R545" s="25" t="n">
        <v>4.88</v>
      </c>
      <c r="S545" s="28">
        <f>IF(AND(ISNUMBER(F545),ISNUMBER(R545),R545&gt;0),F545/R545,"")</f>
        <v/>
      </c>
      <c r="T545" s="27" t="n">
        <v>46323</v>
      </c>
    </row>
    <row r="546">
      <c r="A546" s="11" t="inlineStr">
        <is>
          <t>WES</t>
        </is>
      </c>
      <c r="B546" s="11" t="inlineStr">
        <is>
          <t>Western Midstream Partners, LP</t>
        </is>
      </c>
      <c r="C546" s="11" t="inlineStr">
        <is>
          <t>Oil &amp; Gas Midstream</t>
        </is>
      </c>
      <c r="D546" s="11" t="inlineStr">
        <is>
          <t>United States</t>
        </is>
      </c>
      <c r="E546" s="12" t="n">
        <v>18.72</v>
      </c>
      <c r="F546" s="13" t="n">
        <v>45.31</v>
      </c>
      <c r="G546" s="13" t="n">
        <v>49.46154</v>
      </c>
      <c r="H546" s="14">
        <f>IF(AND(ISNUMBER(F546),ISNUMBER(G546),F546&gt;0),G546/F546-1,"")</f>
        <v/>
      </c>
      <c r="I546" s="13" t="n">
        <v>41</v>
      </c>
      <c r="J546" s="14">
        <f>IF(AND(ISNUMBER(F546),ISNUMBER(I546),F546&gt;0),I546/F546-1,"")</f>
        <v/>
      </c>
      <c r="K546" s="13" t="n">
        <v>58</v>
      </c>
      <c r="L546" s="14">
        <f>IF(AND(ISNUMBER(F546),ISNUMBER(K546),F546&gt;0),K546/F546-1,"")</f>
        <v/>
      </c>
      <c r="M546" s="15" t="n">
        <v>13</v>
      </c>
      <c r="N546" s="16" t="n">
        <v>3.72</v>
      </c>
      <c r="O546" s="17">
        <f>IF(AND(ISNUMBER(F546),ISNUMBER(N546),F546&gt;0),N546/F546,"")</f>
        <v/>
      </c>
      <c r="P546" s="18" t="n">
        <v>46328</v>
      </c>
      <c r="Q546" s="18" t="n">
        <v>46330</v>
      </c>
      <c r="R546" s="16" t="n">
        <v>3.16</v>
      </c>
      <c r="S546" s="19">
        <f>IF(AND(ISNUMBER(F546),ISNUMBER(R546),R546&gt;0),F546/R546,"")</f>
        <v/>
      </c>
      <c r="T546" s="18" t="n">
        <v>46323</v>
      </c>
    </row>
    <row r="547">
      <c r="A547" s="20" t="inlineStr">
        <is>
          <t>PAA</t>
        </is>
      </c>
      <c r="B547" s="20" t="inlineStr">
        <is>
          <t>Plains All American Pipeline, L</t>
        </is>
      </c>
      <c r="C547" s="20" t="inlineStr">
        <is>
          <t>Oil &amp; Gas Midstream</t>
        </is>
      </c>
      <c r="D547" s="20" t="inlineStr">
        <is>
          <t>United States</t>
        </is>
      </c>
      <c r="E547" s="21" t="n">
        <v>18.63</v>
      </c>
      <c r="F547" s="22" t="n">
        <v>26.41</v>
      </c>
      <c r="G547" s="22" t="n">
        <v>26.35294</v>
      </c>
      <c r="H547" s="23">
        <f>IF(AND(ISNUMBER(F547),ISNUMBER(G547),F547&gt;0),G547/F547-1,"")</f>
        <v/>
      </c>
      <c r="I547" s="22" t="n">
        <v>20</v>
      </c>
      <c r="J547" s="23">
        <f>IF(AND(ISNUMBER(F547),ISNUMBER(I547),F547&gt;0),I547/F547-1,"")</f>
        <v/>
      </c>
      <c r="K547" s="22" t="n">
        <v>31</v>
      </c>
      <c r="L547" s="23">
        <f>IF(AND(ISNUMBER(F547),ISNUMBER(K547),F547&gt;0),K547/F547-1,"")</f>
        <v/>
      </c>
      <c r="M547" s="24" t="n">
        <v>17</v>
      </c>
      <c r="N547" s="25" t="n">
        <v>1.67</v>
      </c>
      <c r="O547" s="26">
        <f>IF(AND(ISNUMBER(F547),ISNUMBER(N547),F547&gt;0),N547/F547,"")</f>
        <v/>
      </c>
      <c r="P547" s="27" t="n">
        <v>46325</v>
      </c>
      <c r="Q547" s="27" t="n">
        <v>46332</v>
      </c>
      <c r="R547" s="25" t="n">
        <v>1.16</v>
      </c>
      <c r="S547" s="28">
        <f>IF(AND(ISNUMBER(F547),ISNUMBER(R547),R547&gt;0),F547/R547,"")</f>
        <v/>
      </c>
      <c r="T547" s="27" t="n">
        <v>46323</v>
      </c>
    </row>
    <row r="548">
      <c r="A548" s="11" t="inlineStr">
        <is>
          <t>FTV</t>
        </is>
      </c>
      <c r="B548" s="11" t="inlineStr">
        <is>
          <t>Fortive Corporation</t>
        </is>
      </c>
      <c r="C548" s="11" t="inlineStr">
        <is>
          <t>Scientific &amp; Technical Instruments</t>
        </is>
      </c>
      <c r="D548" s="11" t="inlineStr">
        <is>
          <t>United States</t>
        </is>
      </c>
      <c r="E548" s="12" t="n">
        <v>18.61</v>
      </c>
      <c r="F548" s="13" t="n">
        <v>61.62</v>
      </c>
      <c r="G548" s="13" t="n">
        <v>62.78571</v>
      </c>
      <c r="H548" s="14">
        <f>IF(AND(ISNUMBER(F548),ISNUMBER(G548),F548&gt;0),G548/F548-1,"")</f>
        <v/>
      </c>
      <c r="I548" s="13" t="n">
        <v>51</v>
      </c>
      <c r="J548" s="14">
        <f>IF(AND(ISNUMBER(F548),ISNUMBER(I548),F548&gt;0),I548/F548-1,"")</f>
        <v/>
      </c>
      <c r="K548" s="13" t="n">
        <v>72</v>
      </c>
      <c r="L548" s="14">
        <f>IF(AND(ISNUMBER(F548),ISNUMBER(K548),F548&gt;0),K548/F548-1,"")</f>
        <v/>
      </c>
      <c r="M548" s="15" t="n">
        <v>14</v>
      </c>
      <c r="N548" s="16" t="n">
        <v>0.28</v>
      </c>
      <c r="O548" s="17">
        <f>IF(AND(ISNUMBER(F548),ISNUMBER(N548),F548&gt;0),N548/F548,"")</f>
        <v/>
      </c>
      <c r="P548" s="18" t="n">
        <v>46269</v>
      </c>
      <c r="Q548" s="18" t="n">
        <v>46323</v>
      </c>
      <c r="R548" s="16" t="n">
        <v>1.9</v>
      </c>
      <c r="S548" s="19">
        <f>IF(AND(ISNUMBER(F548),ISNUMBER(R548),R548&gt;0),F548/R548,"")</f>
        <v/>
      </c>
      <c r="T548" s="18" t="n">
        <v>46323</v>
      </c>
    </row>
    <row r="549">
      <c r="A549" s="20" t="inlineStr">
        <is>
          <t>DD</t>
        </is>
      </c>
      <c r="B549" s="20" t="inlineStr">
        <is>
          <t>DuPont de Nemours, Inc.</t>
        </is>
      </c>
      <c r="C549" s="20" t="inlineStr">
        <is>
          <t>Specialty Chemicals</t>
        </is>
      </c>
      <c r="D549" s="20" t="inlineStr">
        <is>
          <t>United States</t>
        </is>
      </c>
      <c r="E549" s="21" t="n">
        <v>18.59</v>
      </c>
      <c r="F549" s="22" t="n">
        <v>137.67</v>
      </c>
      <c r="G549" s="22" t="n">
        <v>165.4706</v>
      </c>
      <c r="H549" s="23">
        <f>IF(AND(ISNUMBER(F549),ISNUMBER(G549),F549&gt;0),G549/F549-1,"")</f>
        <v/>
      </c>
      <c r="I549" s="22" t="n">
        <v>145</v>
      </c>
      <c r="J549" s="23">
        <f>IF(AND(ISNUMBER(F549),ISNUMBER(I549),F549&gt;0),I549/F549-1,"")</f>
        <v/>
      </c>
      <c r="K549" s="22" t="n">
        <v>186</v>
      </c>
      <c r="L549" s="23">
        <f>IF(AND(ISNUMBER(F549),ISNUMBER(K549),F549&gt;0),K549/F549-1,"")</f>
        <v/>
      </c>
      <c r="M549" s="24" t="n">
        <v>17</v>
      </c>
      <c r="N549" s="25" t="n">
        <v>2.4</v>
      </c>
      <c r="O549" s="26">
        <f>IF(AND(ISNUMBER(F549),ISNUMBER(N549),F549&gt;0),N549/F549,"")</f>
        <v/>
      </c>
      <c r="P549" s="27" t="n">
        <v>46356</v>
      </c>
      <c r="Q549" s="27" t="n">
        <v>46329</v>
      </c>
      <c r="R549" s="25" t="n">
        <v>3.71</v>
      </c>
      <c r="S549" s="28">
        <f>IF(AND(ISNUMBER(F549),ISNUMBER(R549),R549&gt;0),F549/R549,"")</f>
        <v/>
      </c>
      <c r="T549" s="27" t="n">
        <v>46323</v>
      </c>
    </row>
    <row r="550">
      <c r="A550" s="11" t="inlineStr">
        <is>
          <t>VIV</t>
        </is>
      </c>
      <c r="B550" s="11" t="inlineStr">
        <is>
          <t>Telefonica Brasil S.A.</t>
        </is>
      </c>
      <c r="C550" s="11" t="inlineStr">
        <is>
          <t>Telecom Services</t>
        </is>
      </c>
      <c r="D550" s="11" t="inlineStr">
        <is>
          <t>Brazil</t>
        </is>
      </c>
      <c r="E550" s="12" t="n">
        <v>18.53</v>
      </c>
      <c r="F550" s="13" t="n">
        <v>11.6</v>
      </c>
      <c r="G550" s="13" t="n">
        <v>14.554642</v>
      </c>
      <c r="H550" s="14">
        <f>IF(AND(ISNUMBER(F550),ISNUMBER(G550),F550&gt;0),G550/F550-1,"")</f>
        <v/>
      </c>
      <c r="I550" s="13" t="n">
        <v>12.422775</v>
      </c>
      <c r="J550" s="14">
        <f>IF(AND(ISNUMBER(F550),ISNUMBER(I550),F550&gt;0),I550/F550-1,"")</f>
        <v/>
      </c>
      <c r="K550" s="13" t="n">
        <v>18.636219</v>
      </c>
      <c r="L550" s="14">
        <f>IF(AND(ISNUMBER(F550),ISNUMBER(K550),F550&gt;0),K550/F550-1,"")</f>
        <v/>
      </c>
      <c r="M550" s="15" t="n">
        <v>8</v>
      </c>
      <c r="N550" s="16" t="n">
        <v>1</v>
      </c>
      <c r="O550" s="17">
        <f>IF(AND(ISNUMBER(F550),ISNUMBER(N550),F550&gt;0),N550/F550,"")</f>
        <v/>
      </c>
      <c r="P550" s="18" t="n">
        <v>46322</v>
      </c>
      <c r="Q550" s="18" t="n">
        <v>46336</v>
      </c>
      <c r="R550" s="16" t="n">
        <v>0.78</v>
      </c>
      <c r="S550" s="19">
        <f>IF(AND(ISNUMBER(F550),ISNUMBER(R550),R550&gt;0),F550/R550,"")</f>
        <v/>
      </c>
      <c r="T550" s="18" t="n">
        <v>46323</v>
      </c>
    </row>
    <row r="551">
      <c r="A551" s="20" t="inlineStr">
        <is>
          <t>DT</t>
        </is>
      </c>
      <c r="B551" s="20" t="inlineStr">
        <is>
          <t>Dynatrace, Inc.</t>
        </is>
      </c>
      <c r="C551" s="20" t="inlineStr">
        <is>
          <t>Software - Application</t>
        </is>
      </c>
      <c r="D551" s="20" t="inlineStr">
        <is>
          <t>United States</t>
        </is>
      </c>
      <c r="E551" s="21" t="n">
        <v>18.5</v>
      </c>
      <c r="F551" s="22" t="n">
        <v>63.75</v>
      </c>
      <c r="G551" s="22" t="n">
        <v>64.41176</v>
      </c>
      <c r="H551" s="23">
        <f>IF(AND(ISNUMBER(F551),ISNUMBER(G551),F551&gt;0),G551/F551-1,"")</f>
        <v/>
      </c>
      <c r="I551" s="22" t="n">
        <v>42</v>
      </c>
      <c r="J551" s="23">
        <f>IF(AND(ISNUMBER(F551),ISNUMBER(I551),F551&gt;0),I551/F551-1,"")</f>
        <v/>
      </c>
      <c r="K551" s="22" t="n">
        <v>80</v>
      </c>
      <c r="L551" s="23">
        <f>IF(AND(ISNUMBER(F551),ISNUMBER(K551),F551&gt;0),K551/F551-1,"")</f>
        <v/>
      </c>
      <c r="M551" s="24" t="n">
        <v>34</v>
      </c>
      <c r="N551" s="25" t="n"/>
      <c r="O551" s="26">
        <f>IF(AND(ISNUMBER(F551),ISNUMBER(N551),F551&gt;0),N551/F551,"")</f>
        <v/>
      </c>
      <c r="P551" s="27" t="n"/>
      <c r="Q551" s="27" t="n">
        <v>46329</v>
      </c>
      <c r="R551" s="25" t="n">
        <v>0.5</v>
      </c>
      <c r="S551" s="28">
        <f>IF(AND(ISNUMBER(F551),ISNUMBER(R551),R551&gt;0),F551/R551,"")</f>
        <v/>
      </c>
      <c r="T551" s="27" t="n">
        <v>46323</v>
      </c>
    </row>
    <row r="552">
      <c r="A552" s="11" t="inlineStr">
        <is>
          <t>TELNY</t>
        </is>
      </c>
      <c r="B552" s="11" t="inlineStr">
        <is>
          <t>Telenor ASA</t>
        </is>
      </c>
      <c r="C552" s="11" t="inlineStr">
        <is>
          <t>Telecom Services</t>
        </is>
      </c>
      <c r="D552" s="11" t="inlineStr">
        <is>
          <t>Norway</t>
        </is>
      </c>
      <c r="E552" s="12" t="n">
        <v>18.49</v>
      </c>
      <c r="F552" s="13" t="n">
        <v>13.65</v>
      </c>
      <c r="G552" s="13" t="n">
        <v>14.36667</v>
      </c>
      <c r="H552" s="14">
        <f>IF(AND(ISNUMBER(F552),ISNUMBER(G552),F552&gt;0),G552/F552-1,"")</f>
        <v/>
      </c>
      <c r="I552" s="13" t="n">
        <v>12</v>
      </c>
      <c r="J552" s="14">
        <f>IF(AND(ISNUMBER(F552),ISNUMBER(I552),F552&gt;0),I552/F552-1,"")</f>
        <v/>
      </c>
      <c r="K552" s="13" t="n">
        <v>16.1</v>
      </c>
      <c r="L552" s="14">
        <f>IF(AND(ISNUMBER(F552),ISNUMBER(K552),F552&gt;0),K552/F552-1,"")</f>
        <v/>
      </c>
      <c r="M552" s="15" t="n">
        <v>3</v>
      </c>
      <c r="N552" s="16" t="n">
        <v>1.04</v>
      </c>
      <c r="O552" s="17">
        <f>IF(AND(ISNUMBER(F552),ISNUMBER(N552),F552&gt;0),N552/F552,"")</f>
        <v/>
      </c>
      <c r="P552" s="18" t="n">
        <v>46311</v>
      </c>
      <c r="Q552" s="18" t="n">
        <v>46323</v>
      </c>
      <c r="R552" s="16" t="n">
        <v>1.2</v>
      </c>
      <c r="S552" s="19">
        <f>IF(AND(ISNUMBER(F552),ISNUMBER(R552),R552&gt;0),F552/R552,"")</f>
        <v/>
      </c>
      <c r="T552" s="18" t="n">
        <v>46323</v>
      </c>
    </row>
    <row r="553">
      <c r="A553" s="20" t="inlineStr">
        <is>
          <t>FIS</t>
        </is>
      </c>
      <c r="B553" s="20" t="inlineStr">
        <is>
          <t>Fidelity National Information S</t>
        </is>
      </c>
      <c r="C553" s="20" t="inlineStr">
        <is>
          <t>Information Technology Services</t>
        </is>
      </c>
      <c r="D553" s="20" t="inlineStr">
        <is>
          <t>United States</t>
        </is>
      </c>
      <c r="E553" s="21" t="n">
        <v>18.36</v>
      </c>
      <c r="F553" s="22" t="n">
        <v>35.61</v>
      </c>
      <c r="G553" s="22" t="n">
        <v>47.04</v>
      </c>
      <c r="H553" s="23">
        <f>IF(AND(ISNUMBER(F553),ISNUMBER(G553),F553&gt;0),G553/F553-1,"")</f>
        <v/>
      </c>
      <c r="I553" s="22" t="n">
        <v>37</v>
      </c>
      <c r="J553" s="23">
        <f>IF(AND(ISNUMBER(F553),ISNUMBER(I553),F553&gt;0),I553/F553-1,"")</f>
        <v/>
      </c>
      <c r="K553" s="22" t="n">
        <v>77</v>
      </c>
      <c r="L553" s="23">
        <f>IF(AND(ISNUMBER(F553),ISNUMBER(K553),F553&gt;0),K553/F553-1,"")</f>
        <v/>
      </c>
      <c r="M553" s="24" t="n">
        <v>25</v>
      </c>
      <c r="N553" s="25" t="n">
        <v>1.76</v>
      </c>
      <c r="O553" s="26">
        <f>IF(AND(ISNUMBER(F553),ISNUMBER(N553),F553&gt;0),N553/F553,"")</f>
        <v/>
      </c>
      <c r="P553" s="27" t="n">
        <v>46276</v>
      </c>
      <c r="Q553" s="27" t="n">
        <v>46330</v>
      </c>
      <c r="R553" s="25" t="n">
        <v>6.4</v>
      </c>
      <c r="S553" s="28">
        <f>IF(AND(ISNUMBER(F553),ISNUMBER(R553),R553&gt;0),F553/R553,"")</f>
        <v/>
      </c>
      <c r="T553" s="27" t="n">
        <v>46323</v>
      </c>
    </row>
    <row r="554">
      <c r="A554" s="11" t="inlineStr">
        <is>
          <t>TOST</t>
        </is>
      </c>
      <c r="B554" s="11" t="inlineStr">
        <is>
          <t>Toast, Inc.</t>
        </is>
      </c>
      <c r="C554" s="11" t="inlineStr">
        <is>
          <t>Software - Infrastructure</t>
        </is>
      </c>
      <c r="D554" s="11" t="inlineStr">
        <is>
          <t>United States</t>
        </is>
      </c>
      <c r="E554" s="12" t="n">
        <v>18.36</v>
      </c>
      <c r="F554" s="13" t="n">
        <v>31.77</v>
      </c>
      <c r="G554" s="13" t="n">
        <v>38.81481</v>
      </c>
      <c r="H554" s="14">
        <f>IF(AND(ISNUMBER(F554),ISNUMBER(G554),F554&gt;0),G554/F554-1,"")</f>
        <v/>
      </c>
      <c r="I554" s="13" t="n">
        <v>25</v>
      </c>
      <c r="J554" s="14">
        <f>IF(AND(ISNUMBER(F554),ISNUMBER(I554),F554&gt;0),I554/F554-1,"")</f>
        <v/>
      </c>
      <c r="K554" s="13" t="n">
        <v>45</v>
      </c>
      <c r="L554" s="14">
        <f>IF(AND(ISNUMBER(F554),ISNUMBER(K554),F554&gt;0),K554/F554-1,"")</f>
        <v/>
      </c>
      <c r="M554" s="15" t="n">
        <v>27</v>
      </c>
      <c r="N554" s="16" t="n"/>
      <c r="O554" s="17">
        <f>IF(AND(ISNUMBER(F554),ISNUMBER(N554),F554&gt;0),N554/F554,"")</f>
        <v/>
      </c>
      <c r="P554" s="18" t="n"/>
      <c r="Q554" s="18" t="n">
        <v>46329</v>
      </c>
      <c r="R554" s="16" t="n">
        <v>0.79</v>
      </c>
      <c r="S554" s="19">
        <f>IF(AND(ISNUMBER(F554),ISNUMBER(R554),R554&gt;0),F554/R554,"")</f>
        <v/>
      </c>
      <c r="T554" s="18" t="n">
        <v>46323</v>
      </c>
    </row>
    <row r="555">
      <c r="A555" s="20" t="inlineStr">
        <is>
          <t>ZBH</t>
        </is>
      </c>
      <c r="B555" s="20" t="inlineStr">
        <is>
          <t>Zimmer Biomet Holdings, Inc.</t>
        </is>
      </c>
      <c r="C555" s="20" t="inlineStr">
        <is>
          <t>Medical Devices</t>
        </is>
      </c>
      <c r="D555" s="20" t="inlineStr">
        <is>
          <t>United States</t>
        </is>
      </c>
      <c r="E555" s="21" t="n">
        <v>18.32</v>
      </c>
      <c r="F555" s="22" t="n">
        <v>96.06</v>
      </c>
      <c r="G555" s="22" t="n">
        <v>106.90476</v>
      </c>
      <c r="H555" s="23">
        <f>IF(AND(ISNUMBER(F555),ISNUMBER(G555),F555&gt;0),G555/F555-1,"")</f>
        <v/>
      </c>
      <c r="I555" s="22" t="n">
        <v>93</v>
      </c>
      <c r="J555" s="23">
        <f>IF(AND(ISNUMBER(F555),ISNUMBER(I555),F555&gt;0),I555/F555-1,"")</f>
        <v/>
      </c>
      <c r="K555" s="22" t="n">
        <v>130</v>
      </c>
      <c r="L555" s="23">
        <f>IF(AND(ISNUMBER(F555),ISNUMBER(K555),F555&gt;0),K555/F555-1,"")</f>
        <v/>
      </c>
      <c r="M555" s="24" t="n">
        <v>21</v>
      </c>
      <c r="N555" s="25" t="n">
        <v>0.96</v>
      </c>
      <c r="O555" s="26">
        <f>IF(AND(ISNUMBER(F555),ISNUMBER(N555),F555&gt;0),N555/F555,"")</f>
        <v/>
      </c>
      <c r="P555" s="27" t="n">
        <v>46295</v>
      </c>
      <c r="Q555" s="27" t="n">
        <v>46330</v>
      </c>
      <c r="R555" s="25" t="n">
        <v>4.29</v>
      </c>
      <c r="S555" s="28">
        <f>IF(AND(ISNUMBER(F555),ISNUMBER(R555),R555&gt;0),F555/R555,"")</f>
        <v/>
      </c>
      <c r="T555" s="27" t="n">
        <v>46323</v>
      </c>
    </row>
    <row r="556">
      <c r="A556" s="11" t="inlineStr">
        <is>
          <t>CF</t>
        </is>
      </c>
      <c r="B556" s="11" t="inlineStr">
        <is>
          <t>CF Industries Holdings, Inc.</t>
        </is>
      </c>
      <c r="C556" s="11" t="inlineStr">
        <is>
          <t>Agricultural Inputs</t>
        </is>
      </c>
      <c r="D556" s="11" t="inlineStr">
        <is>
          <t>United States</t>
        </is>
      </c>
      <c r="E556" s="12" t="n">
        <v>18.24</v>
      </c>
      <c r="F556" s="13" t="n">
        <v>120.54</v>
      </c>
      <c r="G556" s="13" t="n">
        <v>128.336</v>
      </c>
      <c r="H556" s="14">
        <f>IF(AND(ISNUMBER(F556),ISNUMBER(G556),F556&gt;0),G556/F556-1,"")</f>
        <v/>
      </c>
      <c r="I556" s="13" t="n">
        <v>105</v>
      </c>
      <c r="J556" s="14">
        <f>IF(AND(ISNUMBER(F556),ISNUMBER(I556),F556&gt;0),I556/F556-1,"")</f>
        <v/>
      </c>
      <c r="K556" s="13" t="n">
        <v>195.72</v>
      </c>
      <c r="L556" s="14">
        <f>IF(AND(ISNUMBER(F556),ISNUMBER(K556),F556&gt;0),K556/F556-1,"")</f>
        <v/>
      </c>
      <c r="M556" s="15" t="n">
        <v>20</v>
      </c>
      <c r="N556" s="16" t="n">
        <v>2.4</v>
      </c>
      <c r="O556" s="17">
        <f>IF(AND(ISNUMBER(F556),ISNUMBER(N556),F556&gt;0),N556/F556,"")</f>
        <v/>
      </c>
      <c r="P556" s="18" t="n">
        <v>46342</v>
      </c>
      <c r="Q556" s="18" t="n">
        <v>46330</v>
      </c>
      <c r="R556" s="16" t="n">
        <v>13.48</v>
      </c>
      <c r="S556" s="19">
        <f>IF(AND(ISNUMBER(F556),ISNUMBER(R556),R556&gt;0),F556/R556,"")</f>
        <v/>
      </c>
      <c r="T556" s="18" t="n">
        <v>46323</v>
      </c>
    </row>
    <row r="557">
      <c r="A557" s="20" t="inlineStr">
        <is>
          <t>NDSN</t>
        </is>
      </c>
      <c r="B557" s="20" t="inlineStr">
        <is>
          <t>Nordson Corporation</t>
        </is>
      </c>
      <c r="C557" s="20" t="inlineStr">
        <is>
          <t>Specialty Industrial Machinery</t>
        </is>
      </c>
      <c r="D557" s="20" t="inlineStr">
        <is>
          <t>United States</t>
        </is>
      </c>
      <c r="E557" s="21" t="n">
        <v>18.06</v>
      </c>
      <c r="F557" s="22" t="n">
        <v>324.3</v>
      </c>
      <c r="G557" s="22" t="n">
        <v>349.7143</v>
      </c>
      <c r="H557" s="23">
        <f>IF(AND(ISNUMBER(F557),ISNUMBER(G557),F557&gt;0),G557/F557-1,"")</f>
        <v/>
      </c>
      <c r="I557" s="22" t="n">
        <v>282</v>
      </c>
      <c r="J557" s="23">
        <f>IF(AND(ISNUMBER(F557),ISNUMBER(I557),F557&gt;0),I557/F557-1,"")</f>
        <v/>
      </c>
      <c r="K557" s="22" t="n">
        <v>375</v>
      </c>
      <c r="L557" s="23">
        <f>IF(AND(ISNUMBER(F557),ISNUMBER(K557),F557&gt;0),K557/F557-1,"")</f>
        <v/>
      </c>
      <c r="M557" s="24" t="n">
        <v>7</v>
      </c>
      <c r="N557" s="25" t="n">
        <v>3.76</v>
      </c>
      <c r="O557" s="26">
        <f>IF(AND(ISNUMBER(F557),ISNUMBER(N557),F557&gt;0),N557/F557,"")</f>
        <v/>
      </c>
      <c r="P557" s="27" t="n">
        <v>46275</v>
      </c>
      <c r="Q557" s="27" t="n">
        <v>46253</v>
      </c>
      <c r="R557" s="25" t="n">
        <v>9.880000000000001</v>
      </c>
      <c r="S557" s="28">
        <f>IF(AND(ISNUMBER(F557),ISNUMBER(R557),R557&gt;0),F557/R557,"")</f>
        <v/>
      </c>
      <c r="T557" s="27" t="n">
        <v>46323</v>
      </c>
    </row>
    <row r="558">
      <c r="A558" s="11" t="inlineStr">
        <is>
          <t>ZBRA</t>
        </is>
      </c>
      <c r="B558" s="11" t="inlineStr">
        <is>
          <t>Zebra Technologies Corporation</t>
        </is>
      </c>
      <c r="C558" s="11" t="inlineStr">
        <is>
          <t>Communication Equipment</t>
        </is>
      </c>
      <c r="D558" s="11" t="inlineStr">
        <is>
          <t>United States</t>
        </is>
      </c>
      <c r="E558" s="12" t="n">
        <v>18.06</v>
      </c>
      <c r="F558" s="13" t="n">
        <v>381.67</v>
      </c>
      <c r="G558" s="13" t="n">
        <v>414.85266</v>
      </c>
      <c r="H558" s="14">
        <f>IF(AND(ISNUMBER(F558),ISNUMBER(G558),F558&gt;0),G558/F558-1,"")</f>
        <v/>
      </c>
      <c r="I558" s="13" t="n">
        <v>350</v>
      </c>
      <c r="J558" s="14">
        <f>IF(AND(ISNUMBER(F558),ISNUMBER(I558),F558&gt;0),I558/F558-1,"")</f>
        <v/>
      </c>
      <c r="K558" s="13" t="n">
        <v>460</v>
      </c>
      <c r="L558" s="14">
        <f>IF(AND(ISNUMBER(F558),ISNUMBER(K558),F558&gt;0),K558/F558-1,"")</f>
        <v/>
      </c>
      <c r="M558" s="15" t="n">
        <v>15</v>
      </c>
      <c r="N558" s="16" t="n"/>
      <c r="O558" s="17">
        <f>IF(AND(ISNUMBER(F558),ISNUMBER(N558),F558&gt;0),N558/F558,"")</f>
        <v/>
      </c>
      <c r="P558" s="18" t="n"/>
      <c r="Q558" s="18" t="n">
        <v>46329</v>
      </c>
      <c r="R558" s="16" t="n">
        <v>10.91</v>
      </c>
      <c r="S558" s="19">
        <f>IF(AND(ISNUMBER(F558),ISNUMBER(R558),R558&gt;0),F558/R558,"")</f>
        <v/>
      </c>
      <c r="T558" s="18" t="n">
        <v>46323</v>
      </c>
    </row>
    <row r="559">
      <c r="A559" s="20" t="inlineStr">
        <is>
          <t>EWBC</t>
        </is>
      </c>
      <c r="B559" s="20" t="inlineStr">
        <is>
          <t>East West Bancorp, Inc.</t>
        </is>
      </c>
      <c r="C559" s="20" t="inlineStr">
        <is>
          <t>Banks - Regional</t>
        </is>
      </c>
      <c r="D559" s="20" t="inlineStr">
        <is>
          <t>United States</t>
        </is>
      </c>
      <c r="E559" s="21" t="n">
        <v>18</v>
      </c>
      <c r="F559" s="22" t="n">
        <v>131.41</v>
      </c>
      <c r="G559" s="22" t="n">
        <v>150.625</v>
      </c>
      <c r="H559" s="23">
        <f>IF(AND(ISNUMBER(F559),ISNUMBER(G559),F559&gt;0),G559/F559-1,"")</f>
        <v/>
      </c>
      <c r="I559" s="22" t="n">
        <v>137</v>
      </c>
      <c r="J559" s="23">
        <f>IF(AND(ISNUMBER(F559),ISNUMBER(I559),F559&gt;0),I559/F559-1,"")</f>
        <v/>
      </c>
      <c r="K559" s="22" t="n">
        <v>168</v>
      </c>
      <c r="L559" s="23">
        <f>IF(AND(ISNUMBER(F559),ISNUMBER(K559),F559&gt;0),K559/F559-1,"")</f>
        <v/>
      </c>
      <c r="M559" s="24" t="n">
        <v>16</v>
      </c>
      <c r="N559" s="25" t="n">
        <v>3.2</v>
      </c>
      <c r="O559" s="26">
        <f>IF(AND(ISNUMBER(F559),ISNUMBER(N559),F559&gt;0),N559/F559,"")</f>
        <v/>
      </c>
      <c r="P559" s="27" t="n">
        <v>46237</v>
      </c>
      <c r="Q559" s="27" t="n">
        <v>46406</v>
      </c>
      <c r="R559" s="25" t="n">
        <v>10.52</v>
      </c>
      <c r="S559" s="28">
        <f>IF(AND(ISNUMBER(F559),ISNUMBER(R559),R559&gt;0),F559/R559,"")</f>
        <v/>
      </c>
      <c r="T559" s="27" t="n">
        <v>46323</v>
      </c>
    </row>
    <row r="560">
      <c r="A560" s="11" t="inlineStr">
        <is>
          <t>WWD</t>
        </is>
      </c>
      <c r="B560" s="11" t="inlineStr">
        <is>
          <t>Woodward, Inc.</t>
        </is>
      </c>
      <c r="C560" s="11" t="inlineStr">
        <is>
          <t>Aerospace &amp; Defense</t>
        </is>
      </c>
      <c r="D560" s="11" t="inlineStr">
        <is>
          <t>United States</t>
        </is>
      </c>
      <c r="E560" s="12" t="n">
        <v>17.95</v>
      </c>
      <c r="F560" s="13" t="n">
        <v>304</v>
      </c>
      <c r="G560" s="13" t="n">
        <v>424.66666</v>
      </c>
      <c r="H560" s="14">
        <f>IF(AND(ISNUMBER(F560),ISNUMBER(G560),F560&gt;0),G560/F560-1,"")</f>
        <v/>
      </c>
      <c r="I560" s="13" t="n">
        <v>380</v>
      </c>
      <c r="J560" s="14">
        <f>IF(AND(ISNUMBER(F560),ISNUMBER(I560),F560&gt;0),I560/F560-1,"")</f>
        <v/>
      </c>
      <c r="K560" s="13" t="n">
        <v>478</v>
      </c>
      <c r="L560" s="14">
        <f>IF(AND(ISNUMBER(F560),ISNUMBER(K560),F560&gt;0),K560/F560-1,"")</f>
        <v/>
      </c>
      <c r="M560" s="15" t="n">
        <v>12</v>
      </c>
      <c r="N560" s="16" t="n">
        <v>1.28</v>
      </c>
      <c r="O560" s="17">
        <f>IF(AND(ISNUMBER(F560),ISNUMBER(N560),F560&gt;0),N560/F560,"")</f>
        <v/>
      </c>
      <c r="P560" s="18" t="n">
        <v>46345</v>
      </c>
      <c r="Q560" s="18" t="n">
        <v>46349</v>
      </c>
      <c r="R560" s="16" t="n">
        <v>8.99</v>
      </c>
      <c r="S560" s="19">
        <f>IF(AND(ISNUMBER(F560),ISNUMBER(R560),R560&gt;0),F560/R560,"")</f>
        <v/>
      </c>
      <c r="T560" s="18" t="n">
        <v>46323</v>
      </c>
    </row>
    <row r="561">
      <c r="A561" s="20" t="inlineStr">
        <is>
          <t>CNH</t>
        </is>
      </c>
      <c r="B561" s="20" t="inlineStr">
        <is>
          <t>CNH Industrial N.V.</t>
        </is>
      </c>
      <c r="C561" s="20" t="inlineStr">
        <is>
          <t>Farm &amp; Heavy Construction Machinery</t>
        </is>
      </c>
      <c r="D561" s="20" t="inlineStr">
        <is>
          <t>United Kingdom</t>
        </is>
      </c>
      <c r="E561" s="21" t="n">
        <v>17.91</v>
      </c>
      <c r="F561" s="22" t="n">
        <v>11.14</v>
      </c>
      <c r="G561" s="22" t="n">
        <v>14.25474</v>
      </c>
      <c r="H561" s="23">
        <f>IF(AND(ISNUMBER(F561),ISNUMBER(G561),F561&gt;0),G561/F561-1,"")</f>
        <v/>
      </c>
      <c r="I561" s="22" t="n">
        <v>9</v>
      </c>
      <c r="J561" s="23">
        <f>IF(AND(ISNUMBER(F561),ISNUMBER(I561),F561&gt;0),I561/F561-1,"")</f>
        <v/>
      </c>
      <c r="K561" s="22" t="n">
        <v>21</v>
      </c>
      <c r="L561" s="23">
        <f>IF(AND(ISNUMBER(F561),ISNUMBER(K561),F561&gt;0),K561/F561-1,"")</f>
        <v/>
      </c>
      <c r="M561" s="24" t="n">
        <v>19</v>
      </c>
      <c r="N561" s="25" t="n">
        <v>0.1</v>
      </c>
      <c r="O561" s="26">
        <f>IF(AND(ISNUMBER(F561),ISNUMBER(N561),F561&gt;0),N561/F561,"")</f>
        <v/>
      </c>
      <c r="P561" s="27" t="n">
        <v>46163</v>
      </c>
      <c r="Q561" s="27" t="n">
        <v>46335</v>
      </c>
      <c r="R561" s="25" t="n">
        <v>0.25</v>
      </c>
      <c r="S561" s="28">
        <f>IF(AND(ISNUMBER(F561),ISNUMBER(R561),R561&gt;0),F561/R561,"")</f>
        <v/>
      </c>
      <c r="T561" s="27" t="n">
        <v>46323</v>
      </c>
    </row>
    <row r="562">
      <c r="A562" s="11" t="inlineStr">
        <is>
          <t>GIS</t>
        </is>
      </c>
      <c r="B562" s="11" t="inlineStr">
        <is>
          <t>General Mills, Inc.</t>
        </is>
      </c>
      <c r="C562" s="11" t="inlineStr">
        <is>
          <t>Packaged Foods</t>
        </is>
      </c>
      <c r="D562" s="11" t="inlineStr">
        <is>
          <t>United States</t>
        </is>
      </c>
      <c r="E562" s="12" t="n">
        <v>17.9</v>
      </c>
      <c r="F562" s="13" t="n">
        <v>33.47</v>
      </c>
      <c r="G562" s="13" t="n">
        <v>37</v>
      </c>
      <c r="H562" s="14">
        <f>IF(AND(ISNUMBER(F562),ISNUMBER(G562),F562&gt;0),G562/F562-1,"")</f>
        <v/>
      </c>
      <c r="I562" s="13" t="n">
        <v>30</v>
      </c>
      <c r="J562" s="14">
        <f>IF(AND(ISNUMBER(F562),ISNUMBER(I562),F562&gt;0),I562/F562-1,"")</f>
        <v/>
      </c>
      <c r="K562" s="13" t="n">
        <v>45</v>
      </c>
      <c r="L562" s="14">
        <f>IF(AND(ISNUMBER(F562),ISNUMBER(K562),F562&gt;0),K562/F562-1,"")</f>
        <v/>
      </c>
      <c r="M562" s="15" t="n">
        <v>18</v>
      </c>
      <c r="N562" s="16" t="n">
        <v>2.44</v>
      </c>
      <c r="O562" s="17">
        <f>IF(AND(ISNUMBER(F562),ISNUMBER(N562),F562&gt;0),N562/F562,"")</f>
        <v/>
      </c>
      <c r="P562" s="18" t="n">
        <v>46308</v>
      </c>
      <c r="Q562" s="18" t="n">
        <v>46379</v>
      </c>
      <c r="R562" s="16" t="n">
        <v>-1.64</v>
      </c>
      <c r="S562" s="19">
        <f>IF(AND(ISNUMBER(F562),ISNUMBER(R562),R562&gt;0),F562/R562,"")</f>
        <v/>
      </c>
      <c r="T562" s="18" t="n">
        <v>46323</v>
      </c>
    </row>
    <row r="563">
      <c r="A563" s="20" t="inlineStr">
        <is>
          <t>APA</t>
        </is>
      </c>
      <c r="B563" s="20" t="inlineStr">
        <is>
          <t>APA Corporation</t>
        </is>
      </c>
      <c r="C563" s="20" t="inlineStr">
        <is>
          <t>Oil &amp; Gas E&amp;P</t>
        </is>
      </c>
      <c r="D563" s="20" t="inlineStr">
        <is>
          <t>United States</t>
        </is>
      </c>
      <c r="E563" s="21" t="n">
        <v>17.79</v>
      </c>
      <c r="F563" s="22" t="n">
        <v>50.79</v>
      </c>
      <c r="G563" s="22" t="n">
        <v>49</v>
      </c>
      <c r="H563" s="23">
        <f>IF(AND(ISNUMBER(F563),ISNUMBER(G563),F563&gt;0),G563/F563-1,"")</f>
        <v/>
      </c>
      <c r="I563" s="22" t="n">
        <v>37</v>
      </c>
      <c r="J563" s="23">
        <f>IF(AND(ISNUMBER(F563),ISNUMBER(I563),F563&gt;0),I563/F563-1,"")</f>
        <v/>
      </c>
      <c r="K563" s="22" t="n">
        <v>63</v>
      </c>
      <c r="L563" s="23">
        <f>IF(AND(ISNUMBER(F563),ISNUMBER(K563),F563&gt;0),K563/F563-1,"")</f>
        <v/>
      </c>
      <c r="M563" s="24" t="n">
        <v>25</v>
      </c>
      <c r="N563" s="25" t="n">
        <v>1</v>
      </c>
      <c r="O563" s="26">
        <f>IF(AND(ISNUMBER(F563),ISNUMBER(N563),F563&gt;0),N563/F563,"")</f>
        <v/>
      </c>
      <c r="P563" s="27" t="n">
        <v>46317</v>
      </c>
      <c r="Q563" s="27" t="n">
        <v>46330</v>
      </c>
      <c r="R563" s="25" t="n">
        <v>4.71</v>
      </c>
      <c r="S563" s="28">
        <f>IF(AND(ISNUMBER(F563),ISNUMBER(R563),R563&gt;0),F563/R563,"")</f>
        <v/>
      </c>
      <c r="T563" s="27" t="n">
        <v>46323</v>
      </c>
    </row>
    <row r="564">
      <c r="A564" s="11" t="inlineStr">
        <is>
          <t>IP</t>
        </is>
      </c>
      <c r="B564" s="11" t="inlineStr">
        <is>
          <t>International Paper Company</t>
        </is>
      </c>
      <c r="C564" s="11" t="inlineStr">
        <is>
          <t>Packaging &amp; Containers</t>
        </is>
      </c>
      <c r="D564" s="11" t="inlineStr">
        <is>
          <t>United States</t>
        </is>
      </c>
      <c r="E564" s="12" t="n">
        <v>17.68</v>
      </c>
      <c r="F564" s="13" t="n">
        <v>33.38</v>
      </c>
      <c r="G564" s="13" t="n">
        <v>45.4</v>
      </c>
      <c r="H564" s="14">
        <f>IF(AND(ISNUMBER(F564),ISNUMBER(G564),F564&gt;0),G564/F564-1,"")</f>
        <v/>
      </c>
      <c r="I564" s="13" t="n">
        <v>35</v>
      </c>
      <c r="J564" s="14">
        <f>IF(AND(ISNUMBER(F564),ISNUMBER(I564),F564&gt;0),I564/F564-1,"")</f>
        <v/>
      </c>
      <c r="K564" s="13" t="n">
        <v>62</v>
      </c>
      <c r="L564" s="14">
        <f>IF(AND(ISNUMBER(F564),ISNUMBER(K564),F564&gt;0),K564/F564-1,"")</f>
        <v/>
      </c>
      <c r="M564" s="15" t="n">
        <v>10</v>
      </c>
      <c r="N564" s="16" t="n">
        <v>1.85</v>
      </c>
      <c r="O564" s="17">
        <f>IF(AND(ISNUMBER(F564),ISNUMBER(N564),F564&gt;0),N564/F564,"")</f>
        <v/>
      </c>
      <c r="P564" s="18" t="n">
        <v>46342</v>
      </c>
      <c r="Q564" s="18" t="n">
        <v>46323</v>
      </c>
      <c r="R564" s="16" t="n">
        <v>-5.17</v>
      </c>
      <c r="S564" s="19">
        <f>IF(AND(ISNUMBER(F564),ISNUMBER(R564),R564&gt;0),F564/R564,"")</f>
        <v/>
      </c>
      <c r="T564" s="18" t="n">
        <v>46323</v>
      </c>
    </row>
    <row r="565">
      <c r="A565" s="20" t="inlineStr">
        <is>
          <t>U</t>
        </is>
      </c>
      <c r="B565" s="20" t="inlineStr">
        <is>
          <t>Unity Software Inc.</t>
        </is>
      </c>
      <c r="C565" s="20" t="inlineStr">
        <is>
          <t>Software - Application</t>
        </is>
      </c>
      <c r="D565" s="20" t="inlineStr">
        <is>
          <t>United States</t>
        </is>
      </c>
      <c r="E565" s="21" t="n">
        <v>17.65</v>
      </c>
      <c r="F565" s="22" t="n">
        <v>40.1</v>
      </c>
      <c r="G565" s="22" t="n">
        <v>50.4144</v>
      </c>
      <c r="H565" s="23">
        <f>IF(AND(ISNUMBER(F565),ISNUMBER(G565),F565&gt;0),G565/F565-1,"")</f>
        <v/>
      </c>
      <c r="I565" s="22" t="n">
        <v>35</v>
      </c>
      <c r="J565" s="23">
        <f>IF(AND(ISNUMBER(F565),ISNUMBER(I565),F565&gt;0),I565/F565-1,"")</f>
        <v/>
      </c>
      <c r="K565" s="22" t="n">
        <v>55</v>
      </c>
      <c r="L565" s="23">
        <f>IF(AND(ISNUMBER(F565),ISNUMBER(K565),F565&gt;0),K565/F565-1,"")</f>
        <v/>
      </c>
      <c r="M565" s="24" t="n">
        <v>25</v>
      </c>
      <c r="N565" s="25" t="n"/>
      <c r="O565" s="26">
        <f>IF(AND(ISNUMBER(F565),ISNUMBER(N565),F565&gt;0),N565/F565,"")</f>
        <v/>
      </c>
      <c r="P565" s="27" t="n"/>
      <c r="Q565" s="27" t="n">
        <v>46331</v>
      </c>
      <c r="R565" s="25" t="n">
        <v>-1.36</v>
      </c>
      <c r="S565" s="28">
        <f>IF(AND(ISNUMBER(F565),ISNUMBER(R565),R565&gt;0),F565/R565,"")</f>
        <v/>
      </c>
      <c r="T565" s="27" t="n">
        <v>46323</v>
      </c>
    </row>
    <row r="566">
      <c r="A566" s="11" t="inlineStr">
        <is>
          <t>NWS</t>
        </is>
      </c>
      <c r="B566" s="11" t="inlineStr">
        <is>
          <t>News Corporation</t>
        </is>
      </c>
      <c r="C566" s="11" t="inlineStr">
        <is>
          <t>Entertainment</t>
        </is>
      </c>
      <c r="D566" s="11" t="inlineStr">
        <is>
          <t>United States</t>
        </is>
      </c>
      <c r="E566" s="12" t="n">
        <v>17.64</v>
      </c>
      <c r="F566" s="13" t="n">
        <v>32.76</v>
      </c>
      <c r="G566" s="13" t="n"/>
      <c r="H566" s="14">
        <f>IF(AND(ISNUMBER(F566),ISNUMBER(G566),F566&gt;0),G566/F566-1,"")</f>
        <v/>
      </c>
      <c r="I566" s="13" t="n"/>
      <c r="J566" s="14">
        <f>IF(AND(ISNUMBER(F566),ISNUMBER(I566),F566&gt;0),I566/F566-1,"")</f>
        <v/>
      </c>
      <c r="K566" s="13" t="n"/>
      <c r="L566" s="14">
        <f>IF(AND(ISNUMBER(F566),ISNUMBER(K566),F566&gt;0),K566/F566-1,"")</f>
        <v/>
      </c>
      <c r="M566" s="15" t="n"/>
      <c r="N566" s="16" t="n">
        <v>0.2</v>
      </c>
      <c r="O566" s="17">
        <f>IF(AND(ISNUMBER(F566),ISNUMBER(N566),F566&gt;0),N566/F566,"")</f>
        <v/>
      </c>
      <c r="P566" s="18" t="n">
        <v>46274</v>
      </c>
      <c r="Q566" s="18" t="n">
        <v>46330</v>
      </c>
      <c r="R566" s="16" t="n">
        <v>1.03</v>
      </c>
      <c r="S566" s="19">
        <f>IF(AND(ISNUMBER(F566),ISNUMBER(R566),R566&gt;0),F566/R566,"")</f>
        <v/>
      </c>
      <c r="T566" s="18" t="n">
        <v>46323</v>
      </c>
    </row>
    <row r="567">
      <c r="A567" s="20" t="inlineStr">
        <is>
          <t>HST</t>
        </is>
      </c>
      <c r="B567" s="20" t="inlineStr">
        <is>
          <t>Host Hotels &amp; Resorts, Inc.</t>
        </is>
      </c>
      <c r="C567" s="20" t="inlineStr">
        <is>
          <t>Reit - Hotel &amp; Motel</t>
        </is>
      </c>
      <c r="D567" s="20" t="inlineStr">
        <is>
          <t>United States</t>
        </is>
      </c>
      <c r="E567" s="21" t="n">
        <v>17.52</v>
      </c>
      <c r="F567" s="22" t="n">
        <v>25.22</v>
      </c>
      <c r="G567" s="22" t="n">
        <v>25.81533</v>
      </c>
      <c r="H567" s="23">
        <f>IF(AND(ISNUMBER(F567),ISNUMBER(G567),F567&gt;0),G567/F567-1,"")</f>
        <v/>
      </c>
      <c r="I567" s="22" t="n">
        <v>23</v>
      </c>
      <c r="J567" s="23">
        <f>IF(AND(ISNUMBER(F567),ISNUMBER(I567),F567&gt;0),I567/F567-1,"")</f>
        <v/>
      </c>
      <c r="K567" s="22" t="n">
        <v>29</v>
      </c>
      <c r="L567" s="23">
        <f>IF(AND(ISNUMBER(F567),ISNUMBER(K567),F567&gt;0),K567/F567-1,"")</f>
        <v/>
      </c>
      <c r="M567" s="24" t="n">
        <v>20</v>
      </c>
      <c r="N567" s="25" t="n">
        <v>0.8</v>
      </c>
      <c r="O567" s="26">
        <f>IF(AND(ISNUMBER(F567),ISNUMBER(N567),F567&gt;0),N567/F567,"")</f>
        <v/>
      </c>
      <c r="P567" s="27" t="n">
        <v>46295</v>
      </c>
      <c r="Q567" s="27" t="n">
        <v>46330</v>
      </c>
      <c r="R567" s="25" t="n">
        <v>1.5</v>
      </c>
      <c r="S567" s="28">
        <f>IF(AND(ISNUMBER(F567),ISNUMBER(R567),R567&gt;0),F567/R567,"")</f>
        <v/>
      </c>
      <c r="T567" s="27" t="n">
        <v>46323</v>
      </c>
    </row>
    <row r="568">
      <c r="A568" s="11" t="inlineStr">
        <is>
          <t>J</t>
        </is>
      </c>
      <c r="B568" s="11" t="inlineStr">
        <is>
          <t>Jacobs Solutions Inc.</t>
        </is>
      </c>
      <c r="C568" s="11" t="inlineStr">
        <is>
          <t>Engineering &amp; Construction</t>
        </is>
      </c>
      <c r="D568" s="11" t="inlineStr">
        <is>
          <t>United States</t>
        </is>
      </c>
      <c r="E568" s="12" t="n">
        <v>17.36</v>
      </c>
      <c r="F568" s="13" t="n">
        <v>148.34</v>
      </c>
      <c r="G568" s="13" t="n">
        <v>162.8</v>
      </c>
      <c r="H568" s="14">
        <f>IF(AND(ISNUMBER(F568),ISNUMBER(G568),F568&gt;0),G568/F568-1,"")</f>
        <v/>
      </c>
      <c r="I568" s="13" t="n">
        <v>144</v>
      </c>
      <c r="J568" s="14">
        <f>IF(AND(ISNUMBER(F568),ISNUMBER(I568),F568&gt;0),I568/F568-1,"")</f>
        <v/>
      </c>
      <c r="K568" s="13" t="n">
        <v>188</v>
      </c>
      <c r="L568" s="14">
        <f>IF(AND(ISNUMBER(F568),ISNUMBER(K568),F568&gt;0),K568/F568-1,"")</f>
        <v/>
      </c>
      <c r="M568" s="15" t="n">
        <v>15</v>
      </c>
      <c r="N568" s="16" t="n">
        <v>1.44</v>
      </c>
      <c r="O568" s="17">
        <f>IF(AND(ISNUMBER(F568),ISNUMBER(N568),F568&gt;0),N568/F568,"")</f>
        <v/>
      </c>
      <c r="P568" s="18" t="n">
        <v>46255</v>
      </c>
      <c r="Q568" s="18" t="n">
        <v>46349</v>
      </c>
      <c r="R568" s="16" t="n">
        <v>3.01</v>
      </c>
      <c r="S568" s="19">
        <f>IF(AND(ISNUMBER(F568),ISNUMBER(R568),R568&gt;0),F568/R568,"")</f>
        <v/>
      </c>
      <c r="T568" s="18" t="n">
        <v>46323</v>
      </c>
    </row>
    <row r="569">
      <c r="A569" s="20" t="inlineStr">
        <is>
          <t>CRL</t>
        </is>
      </c>
      <c r="B569" s="20" t="inlineStr">
        <is>
          <t>Charles River Laboratories Inte</t>
        </is>
      </c>
      <c r="C569" s="20" t="inlineStr">
        <is>
          <t>Diagnostics &amp; Research</t>
        </is>
      </c>
      <c r="D569" s="20" t="inlineStr">
        <is>
          <t>United States</t>
        </is>
      </c>
      <c r="E569" s="21" t="n">
        <v>17.28</v>
      </c>
      <c r="F569" s="22" t="n">
        <v>358.84</v>
      </c>
      <c r="G569" s="22" t="n">
        <v>318.86667</v>
      </c>
      <c r="H569" s="23">
        <f>IF(AND(ISNUMBER(F569),ISNUMBER(G569),F569&gt;0),G569/F569-1,"")</f>
        <v/>
      </c>
      <c r="I569" s="22" t="n">
        <v>145</v>
      </c>
      <c r="J569" s="23">
        <f>IF(AND(ISNUMBER(F569),ISNUMBER(I569),F569&gt;0),I569/F569-1,"")</f>
        <v/>
      </c>
      <c r="K569" s="22" t="n">
        <v>390</v>
      </c>
      <c r="L569" s="23">
        <f>IF(AND(ISNUMBER(F569),ISNUMBER(K569),F569&gt;0),K569/F569-1,"")</f>
        <v/>
      </c>
      <c r="M569" s="24" t="n">
        <v>15</v>
      </c>
      <c r="N569" s="25" t="n"/>
      <c r="O569" s="26">
        <f>IF(AND(ISNUMBER(F569),ISNUMBER(N569),F569&gt;0),N569/F569,"")</f>
        <v/>
      </c>
      <c r="P569" s="27" t="n"/>
      <c r="Q569" s="27" t="n">
        <v>46330</v>
      </c>
      <c r="R569" s="25" t="n">
        <v>-4.8</v>
      </c>
      <c r="S569" s="28">
        <f>IF(AND(ISNUMBER(F569),ISNUMBER(R569),R569&gt;0),F569/R569,"")</f>
        <v/>
      </c>
      <c r="T569" s="27" t="n">
        <v>46323</v>
      </c>
    </row>
    <row r="570">
      <c r="A570" s="11" t="inlineStr">
        <is>
          <t>SQM</t>
        </is>
      </c>
      <c r="B570" s="11" t="inlineStr">
        <is>
          <t>Sociedad Quimica y Minera S.A.</t>
        </is>
      </c>
      <c r="C570" s="11" t="inlineStr">
        <is>
          <t>Specialty Chemicals</t>
        </is>
      </c>
      <c r="D570" s="11" t="inlineStr">
        <is>
          <t>Chile</t>
        </is>
      </c>
      <c r="E570" s="12" t="n">
        <v>17.22</v>
      </c>
      <c r="F570" s="13" t="n">
        <v>60.3</v>
      </c>
      <c r="G570" s="13" t="n">
        <v>82.16943999999999</v>
      </c>
      <c r="H570" s="14">
        <f>IF(AND(ISNUMBER(F570),ISNUMBER(G570),F570&gt;0),G570/F570-1,"")</f>
        <v/>
      </c>
      <c r="I570" s="13" t="n">
        <v>44.35</v>
      </c>
      <c r="J570" s="14">
        <f>IF(AND(ISNUMBER(F570),ISNUMBER(I570),F570&gt;0),I570/F570-1,"")</f>
        <v/>
      </c>
      <c r="K570" s="13" t="n">
        <v>110</v>
      </c>
      <c r="L570" s="14">
        <f>IF(AND(ISNUMBER(F570),ISNUMBER(K570),F570&gt;0),K570/F570-1,"")</f>
        <v/>
      </c>
      <c r="M570" s="15" t="n">
        <v>18</v>
      </c>
      <c r="N570" s="16" t="n">
        <v>2.43</v>
      </c>
      <c r="O570" s="17">
        <f>IF(AND(ISNUMBER(F570),ISNUMBER(N570),F570&gt;0),N570/F570,"")</f>
        <v/>
      </c>
      <c r="P570" s="18" t="n">
        <v>46273</v>
      </c>
      <c r="Q570" s="18" t="n">
        <v>46343</v>
      </c>
      <c r="R570" s="16" t="n">
        <v>4.86</v>
      </c>
      <c r="S570" s="19">
        <f>IF(AND(ISNUMBER(F570),ISNUMBER(R570),R570&gt;0),F570/R570,"")</f>
        <v/>
      </c>
      <c r="T570" s="18" t="n">
        <v>46323</v>
      </c>
    </row>
    <row r="571">
      <c r="A571" s="20" t="inlineStr">
        <is>
          <t>RCI</t>
        </is>
      </c>
      <c r="B571" s="20" t="inlineStr">
        <is>
          <t>Rogers Communication, Inc.</t>
        </is>
      </c>
      <c r="C571" s="20" t="inlineStr">
        <is>
          <t>Telecom Services</t>
        </is>
      </c>
      <c r="D571" s="20" t="inlineStr">
        <is>
          <t>Canada</t>
        </is>
      </c>
      <c r="E571" s="21" t="n">
        <v>17.16</v>
      </c>
      <c r="F571" s="22" t="n">
        <v>31.77</v>
      </c>
      <c r="G571" s="22" t="n">
        <v>39.066444</v>
      </c>
      <c r="H571" s="23">
        <f>IF(AND(ISNUMBER(F571),ISNUMBER(G571),F571&gt;0),G571/F571-1,"")</f>
        <v/>
      </c>
      <c r="I571" s="22" t="n">
        <v>34.90372</v>
      </c>
      <c r="J571" s="23">
        <f>IF(AND(ISNUMBER(F571),ISNUMBER(I571),F571&gt;0),I571/F571-1,"")</f>
        <v/>
      </c>
      <c r="K571" s="22" t="n">
        <v>42.78103</v>
      </c>
      <c r="L571" s="23">
        <f>IF(AND(ISNUMBER(F571),ISNUMBER(K571),F571&gt;0),K571/F571-1,"")</f>
        <v/>
      </c>
      <c r="M571" s="24" t="n">
        <v>3</v>
      </c>
      <c r="N571" s="25" t="n">
        <v>1.43</v>
      </c>
      <c r="O571" s="26">
        <f>IF(AND(ISNUMBER(F571),ISNUMBER(N571),F571&gt;0),N571/F571,"")</f>
        <v/>
      </c>
      <c r="P571" s="27" t="n">
        <v>46364</v>
      </c>
      <c r="Q571" s="27" t="n">
        <v>46318</v>
      </c>
      <c r="R571" s="25" t="n">
        <v>1.16</v>
      </c>
      <c r="S571" s="28">
        <f>IF(AND(ISNUMBER(F571),ISNUMBER(R571),R571&gt;0),F571/R571,"")</f>
        <v/>
      </c>
      <c r="T571" s="27" t="n">
        <v>46323</v>
      </c>
    </row>
    <row r="572">
      <c r="A572" s="11" t="inlineStr">
        <is>
          <t>RGA</t>
        </is>
      </c>
      <c r="B572" s="11" t="inlineStr">
        <is>
          <t>Reinsurance Group of America, I</t>
        </is>
      </c>
      <c r="C572" s="11" t="inlineStr">
        <is>
          <t>Insurance - Reinsurance</t>
        </is>
      </c>
      <c r="D572" s="11" t="inlineStr">
        <is>
          <t>United States</t>
        </is>
      </c>
      <c r="E572" s="12" t="n">
        <v>17.16</v>
      </c>
      <c r="F572" s="13" t="n">
        <v>262.72</v>
      </c>
      <c r="G572" s="13" t="n">
        <v>279.77777</v>
      </c>
      <c r="H572" s="14">
        <f>IF(AND(ISNUMBER(F572),ISNUMBER(G572),F572&gt;0),G572/F572-1,"")</f>
        <v/>
      </c>
      <c r="I572" s="13" t="n">
        <v>236</v>
      </c>
      <c r="J572" s="14">
        <f>IF(AND(ISNUMBER(F572),ISNUMBER(I572),F572&gt;0),I572/F572-1,"")</f>
        <v/>
      </c>
      <c r="K572" s="13" t="n">
        <v>302</v>
      </c>
      <c r="L572" s="14">
        <f>IF(AND(ISNUMBER(F572),ISNUMBER(K572),F572&gt;0),K572/F572-1,"")</f>
        <v/>
      </c>
      <c r="M572" s="15" t="n">
        <v>9</v>
      </c>
      <c r="N572" s="16" t="n">
        <v>3.92</v>
      </c>
      <c r="O572" s="17">
        <f>IF(AND(ISNUMBER(F572),ISNUMBER(N572),F572&gt;0),N572/F572,"")</f>
        <v/>
      </c>
      <c r="P572" s="18" t="n">
        <v>46252</v>
      </c>
      <c r="Q572" s="18" t="n">
        <v>46331</v>
      </c>
      <c r="R572" s="16" t="n">
        <v>22.71</v>
      </c>
      <c r="S572" s="19">
        <f>IF(AND(ISNUMBER(F572),ISNUMBER(R572),R572&gt;0),F572/R572,"")</f>
        <v/>
      </c>
      <c r="T572" s="18" t="n">
        <v>46323</v>
      </c>
    </row>
    <row r="573">
      <c r="A573" s="20" t="inlineStr">
        <is>
          <t>RIVN</t>
        </is>
      </c>
      <c r="B573" s="20" t="inlineStr">
        <is>
          <t>Rivian Automotive, Inc.</t>
        </is>
      </c>
      <c r="C573" s="20" t="inlineStr">
        <is>
          <t>Auto Manufacturers</t>
        </is>
      </c>
      <c r="D573" s="20" t="inlineStr">
        <is>
          <t>United States</t>
        </is>
      </c>
      <c r="E573" s="21" t="n">
        <v>17.11</v>
      </c>
      <c r="F573" s="22" t="n">
        <v>11.82</v>
      </c>
      <c r="G573" s="22" t="n">
        <v>19</v>
      </c>
      <c r="H573" s="23">
        <f>IF(AND(ISNUMBER(F573),ISNUMBER(G573),F573&gt;0),G573/F573-1,"")</f>
        <v/>
      </c>
      <c r="I573" s="22" t="n">
        <v>13</v>
      </c>
      <c r="J573" s="23">
        <f>IF(AND(ISNUMBER(F573),ISNUMBER(I573),F573&gt;0),I573/F573-1,"")</f>
        <v/>
      </c>
      <c r="K573" s="22" t="n">
        <v>25</v>
      </c>
      <c r="L573" s="23">
        <f>IF(AND(ISNUMBER(F573),ISNUMBER(K573),F573&gt;0),K573/F573-1,"")</f>
        <v/>
      </c>
      <c r="M573" s="24" t="n">
        <v>25</v>
      </c>
      <c r="N573" s="25" t="n"/>
      <c r="O573" s="26">
        <f>IF(AND(ISNUMBER(F573),ISNUMBER(N573),F573&gt;0),N573/F573,"")</f>
        <v/>
      </c>
      <c r="P573" s="27" t="n"/>
      <c r="Q573" s="27" t="n">
        <v>46324</v>
      </c>
      <c r="R573" s="25" t="n">
        <v>-2.58</v>
      </c>
      <c r="S573" s="28">
        <f>IF(AND(ISNUMBER(F573),ISNUMBER(R573),R573&gt;0),F573/R573,"")</f>
        <v/>
      </c>
      <c r="T573" s="27" t="n">
        <v>46323</v>
      </c>
    </row>
    <row r="574">
      <c r="A574" s="11" t="inlineStr">
        <is>
          <t>KKPNY</t>
        </is>
      </c>
      <c r="B574" s="11" t="inlineStr">
        <is>
          <t>Royal KPN NV</t>
        </is>
      </c>
      <c r="C574" s="11" t="inlineStr">
        <is>
          <t>Telecom Services</t>
        </is>
      </c>
      <c r="D574" s="11" t="inlineStr">
        <is>
          <t>Netherlands</t>
        </is>
      </c>
      <c r="E574" s="12" t="n">
        <v>17.01</v>
      </c>
      <c r="F574" s="13" t="n">
        <v>4.51</v>
      </c>
      <c r="G574" s="13" t="n">
        <v>4.69</v>
      </c>
      <c r="H574" s="14">
        <f>IF(AND(ISNUMBER(F574),ISNUMBER(G574),F574&gt;0),G574/F574-1,"")</f>
        <v/>
      </c>
      <c r="I574" s="13" t="n">
        <v>3.6</v>
      </c>
      <c r="J574" s="14">
        <f>IF(AND(ISNUMBER(F574),ISNUMBER(I574),F574&gt;0),I574/F574-1,"")</f>
        <v/>
      </c>
      <c r="K574" s="13" t="n">
        <v>5.78</v>
      </c>
      <c r="L574" s="14">
        <f>IF(AND(ISNUMBER(F574),ISNUMBER(K574),F574&gt;0),K574/F574-1,"")</f>
        <v/>
      </c>
      <c r="M574" s="15" t="n">
        <v>2</v>
      </c>
      <c r="N574" s="16" t="n">
        <v>0.22</v>
      </c>
      <c r="O574" s="17">
        <f>IF(AND(ISNUMBER(F574),ISNUMBER(N574),F574&gt;0),N574/F574,"")</f>
        <v/>
      </c>
      <c r="P574" s="18" t="n">
        <v>46237</v>
      </c>
      <c r="Q574" s="18" t="n">
        <v>45861</v>
      </c>
      <c r="R574" s="16" t="n">
        <v>0.26</v>
      </c>
      <c r="S574" s="19">
        <f>IF(AND(ISNUMBER(F574),ISNUMBER(R574),R574&gt;0),F574/R574,"")</f>
        <v/>
      </c>
      <c r="T574" s="18" t="n">
        <v>46323</v>
      </c>
    </row>
    <row r="575">
      <c r="A575" s="20" t="inlineStr">
        <is>
          <t>BALL</t>
        </is>
      </c>
      <c r="B575" s="20" t="inlineStr">
        <is>
          <t>Ball Corporation</t>
        </is>
      </c>
      <c r="C575" s="20" t="inlineStr">
        <is>
          <t>Packaging &amp; Containers</t>
        </is>
      </c>
      <c r="D575" s="20" t="inlineStr">
        <is>
          <t>United States</t>
        </is>
      </c>
      <c r="E575" s="21" t="n">
        <v>16.97</v>
      </c>
      <c r="F575" s="22" t="n">
        <v>64.09999999999999</v>
      </c>
      <c r="G575" s="22" t="n">
        <v>71.53846</v>
      </c>
      <c r="H575" s="23">
        <f>IF(AND(ISNUMBER(F575),ISNUMBER(G575),F575&gt;0),G575/F575-1,"")</f>
        <v/>
      </c>
      <c r="I575" s="22" t="n">
        <v>63</v>
      </c>
      <c r="J575" s="23">
        <f>IF(AND(ISNUMBER(F575),ISNUMBER(I575),F575&gt;0),I575/F575-1,"")</f>
        <v/>
      </c>
      <c r="K575" s="22" t="n">
        <v>79</v>
      </c>
      <c r="L575" s="23">
        <f>IF(AND(ISNUMBER(F575),ISNUMBER(K575),F575&gt;0),K575/F575-1,"")</f>
        <v/>
      </c>
      <c r="M575" s="24" t="n">
        <v>13</v>
      </c>
      <c r="N575" s="25" t="n">
        <v>0.8</v>
      </c>
      <c r="O575" s="26">
        <f>IF(AND(ISNUMBER(F575),ISNUMBER(N575),F575&gt;0),N575/F575,"")</f>
        <v/>
      </c>
      <c r="P575" s="27" t="n">
        <v>46266</v>
      </c>
      <c r="Q575" s="27" t="n">
        <v>46329</v>
      </c>
      <c r="R575" s="25" t="n">
        <v>3.49</v>
      </c>
      <c r="S575" s="28">
        <f>IF(AND(ISNUMBER(F575),ISNUMBER(R575),R575&gt;0),F575/R575,"")</f>
        <v/>
      </c>
      <c r="T575" s="27" t="n">
        <v>46323</v>
      </c>
    </row>
    <row r="576">
      <c r="A576" s="11" t="inlineStr">
        <is>
          <t>TSCO</t>
        </is>
      </c>
      <c r="B576" s="11" t="inlineStr">
        <is>
          <t>Tractor Supply Company</t>
        </is>
      </c>
      <c r="C576" s="11" t="inlineStr">
        <is>
          <t>Specialty Retail</t>
        </is>
      </c>
      <c r="D576" s="11" t="inlineStr">
        <is>
          <t>United States</t>
        </is>
      </c>
      <c r="E576" s="12" t="n">
        <v>16.8</v>
      </c>
      <c r="F576" s="13" t="n">
        <v>32.24</v>
      </c>
      <c r="G576" s="13" t="n">
        <v>37.33333</v>
      </c>
      <c r="H576" s="14">
        <f>IF(AND(ISNUMBER(F576),ISNUMBER(G576),F576&gt;0),G576/F576-1,"")</f>
        <v/>
      </c>
      <c r="I576" s="13" t="n">
        <v>31</v>
      </c>
      <c r="J576" s="14">
        <f>IF(AND(ISNUMBER(F576),ISNUMBER(I576),F576&gt;0),I576/F576-1,"")</f>
        <v/>
      </c>
      <c r="K576" s="13" t="n">
        <v>43</v>
      </c>
      <c r="L576" s="14">
        <f>IF(AND(ISNUMBER(F576),ISNUMBER(K576),F576&gt;0),K576/F576-1,"")</f>
        <v/>
      </c>
      <c r="M576" s="15" t="n">
        <v>27</v>
      </c>
      <c r="N576" s="16" t="n">
        <v>0.96</v>
      </c>
      <c r="O576" s="17">
        <f>IF(AND(ISNUMBER(F576),ISNUMBER(N576),F576&gt;0),N576/F576,"")</f>
        <v/>
      </c>
      <c r="P576" s="18" t="n">
        <v>46258</v>
      </c>
      <c r="Q576" s="18" t="n">
        <v>46317</v>
      </c>
      <c r="R576" s="16" t="n">
        <v>1.86</v>
      </c>
      <c r="S576" s="19">
        <f>IF(AND(ISNUMBER(F576),ISNUMBER(R576),R576&gt;0),F576/R576,"")</f>
        <v/>
      </c>
      <c r="T576" s="18" t="n">
        <v>46323</v>
      </c>
    </row>
    <row r="577">
      <c r="A577" s="20" t="inlineStr">
        <is>
          <t>GPC</t>
        </is>
      </c>
      <c r="B577" s="20" t="inlineStr">
        <is>
          <t>Genuine Parts Company</t>
        </is>
      </c>
      <c r="C577" s="20" t="inlineStr">
        <is>
          <t>Auto Parts</t>
        </is>
      </c>
      <c r="D577" s="20" t="inlineStr">
        <is>
          <t>United States</t>
        </is>
      </c>
      <c r="E577" s="21" t="n">
        <v>16.79</v>
      </c>
      <c r="F577" s="22" t="n">
        <v>121.8</v>
      </c>
      <c r="G577" s="22" t="n">
        <v>140</v>
      </c>
      <c r="H577" s="23">
        <f>IF(AND(ISNUMBER(F577),ISNUMBER(G577),F577&gt;0),G577/F577-1,"")</f>
        <v/>
      </c>
      <c r="I577" s="22" t="n">
        <v>122</v>
      </c>
      <c r="J577" s="23">
        <f>IF(AND(ISNUMBER(F577),ISNUMBER(I577),F577&gt;0),I577/F577-1,"")</f>
        <v/>
      </c>
      <c r="K577" s="22" t="n">
        <v>170</v>
      </c>
      <c r="L577" s="23">
        <f>IF(AND(ISNUMBER(F577),ISNUMBER(K577),F577&gt;0),K577/F577-1,"")</f>
        <v/>
      </c>
      <c r="M577" s="24" t="n">
        <v>9</v>
      </c>
      <c r="N577" s="25" t="n">
        <v>4.25</v>
      </c>
      <c r="O577" s="26">
        <f>IF(AND(ISNUMBER(F577),ISNUMBER(N577),F577&gt;0),N577/F577,"")</f>
        <v/>
      </c>
      <c r="P577" s="27" t="n">
        <v>46269</v>
      </c>
      <c r="Q577" s="27" t="n">
        <v>46315</v>
      </c>
      <c r="R577" s="25" t="n">
        <v>0.26</v>
      </c>
      <c r="S577" s="28">
        <f>IF(AND(ISNUMBER(F577),ISNUMBER(R577),R577&gt;0),F577/R577,"")</f>
        <v/>
      </c>
      <c r="T577" s="27" t="n">
        <v>46323</v>
      </c>
    </row>
    <row r="578">
      <c r="A578" s="11" t="inlineStr">
        <is>
          <t>HSAI</t>
        </is>
      </c>
      <c r="B578" s="11" t="inlineStr">
        <is>
          <t>Hesai Group</t>
        </is>
      </c>
      <c r="C578" s="11" t="inlineStr">
        <is>
          <t>Auto Parts</t>
        </is>
      </c>
      <c r="D578" s="11" t="inlineStr">
        <is>
          <t>China</t>
        </is>
      </c>
      <c r="E578" s="12" t="n">
        <v>16.78</v>
      </c>
      <c r="F578" s="13" t="n">
        <v>13.35</v>
      </c>
      <c r="G578" s="13" t="n">
        <v>26.658375</v>
      </c>
      <c r="H578" s="14">
        <f>IF(AND(ISNUMBER(F578),ISNUMBER(G578),F578&gt;0),G578/F578-1,"")</f>
        <v/>
      </c>
      <c r="I578" s="13" t="n">
        <v>15.507192</v>
      </c>
      <c r="J578" s="14">
        <f>IF(AND(ISNUMBER(F578),ISNUMBER(I578),F578&gt;0),I578/F578-1,"")</f>
        <v/>
      </c>
      <c r="K578" s="13" t="n">
        <v>36.41313</v>
      </c>
      <c r="L578" s="14">
        <f>IF(AND(ISNUMBER(F578),ISNUMBER(K578),F578&gt;0),K578/F578-1,"")</f>
        <v/>
      </c>
      <c r="M578" s="15" t="n">
        <v>18</v>
      </c>
      <c r="N578" s="16" t="n"/>
      <c r="O578" s="17">
        <f>IF(AND(ISNUMBER(F578),ISNUMBER(N578),F578&gt;0),N578/F578,"")</f>
        <v/>
      </c>
      <c r="P578" s="18" t="n"/>
      <c r="Q578" s="18" t="n">
        <v>46336</v>
      </c>
      <c r="R578" s="16" t="n">
        <v>0.47</v>
      </c>
      <c r="S578" s="19">
        <f>IF(AND(ISNUMBER(F578),ISNUMBER(R578),R578&gt;0),F578/R578,"")</f>
        <v/>
      </c>
      <c r="T578" s="18" t="n">
        <v>46323</v>
      </c>
    </row>
    <row r="579">
      <c r="A579" s="20" t="inlineStr">
        <is>
          <t>VNOM</t>
        </is>
      </c>
      <c r="B579" s="20" t="inlineStr">
        <is>
          <t>Viper Energy, Inc.</t>
        </is>
      </c>
      <c r="C579" s="20" t="inlineStr">
        <is>
          <t>Oil &amp; Gas Midstream</t>
        </is>
      </c>
      <c r="D579" s="20" t="inlineStr">
        <is>
          <t>United States</t>
        </is>
      </c>
      <c r="E579" s="21" t="n">
        <v>16.68</v>
      </c>
      <c r="F579" s="22" t="n">
        <v>46.44</v>
      </c>
      <c r="G579" s="22" t="n">
        <v>55.35</v>
      </c>
      <c r="H579" s="23">
        <f>IF(AND(ISNUMBER(F579),ISNUMBER(G579),F579&gt;0),G579/F579-1,"")</f>
        <v/>
      </c>
      <c r="I579" s="22" t="n">
        <v>45</v>
      </c>
      <c r="J579" s="23">
        <f>IF(AND(ISNUMBER(F579),ISNUMBER(I579),F579&gt;0),I579/F579-1,"")</f>
        <v/>
      </c>
      <c r="K579" s="22" t="n">
        <v>65</v>
      </c>
      <c r="L579" s="23">
        <f>IF(AND(ISNUMBER(F579),ISNUMBER(K579),F579&gt;0),K579/F579-1,"")</f>
        <v/>
      </c>
      <c r="M579" s="24" t="n">
        <v>20</v>
      </c>
      <c r="N579" s="25" t="n">
        <v>2.45</v>
      </c>
      <c r="O579" s="26">
        <f>IF(AND(ISNUMBER(F579),ISNUMBER(N579),F579&gt;0),N579/F579,"")</f>
        <v/>
      </c>
      <c r="P579" s="27" t="n">
        <v>46247</v>
      </c>
      <c r="Q579" s="27" t="n">
        <v>46328</v>
      </c>
      <c r="R579" s="25" t="n">
        <v>0.02</v>
      </c>
      <c r="S579" s="28">
        <f>IF(AND(ISNUMBER(F579),ISNUMBER(R579),R579&gt;0),F579/R579,"")</f>
        <v/>
      </c>
      <c r="T579" s="27" t="n">
        <v>46323</v>
      </c>
    </row>
    <row r="580">
      <c r="A580" s="11" t="inlineStr">
        <is>
          <t>CHRW</t>
        </is>
      </c>
      <c r="B580" s="11" t="inlineStr">
        <is>
          <t>C.H. Robinson Worldwide, Inc.</t>
        </is>
      </c>
      <c r="C580" s="11" t="inlineStr">
        <is>
          <t>Integrated Freight &amp; Logistics</t>
        </is>
      </c>
      <c r="D580" s="11" t="inlineStr">
        <is>
          <t>United States</t>
        </is>
      </c>
      <c r="E580" s="12" t="n">
        <v>16.58</v>
      </c>
      <c r="F580" s="13" t="n">
        <v>143.59</v>
      </c>
      <c r="G580" s="13" t="n">
        <v>192.13043</v>
      </c>
      <c r="H580" s="14">
        <f>IF(AND(ISNUMBER(F580),ISNUMBER(G580),F580&gt;0),G580/F580-1,"")</f>
        <v/>
      </c>
      <c r="I580" s="13" t="n">
        <v>131</v>
      </c>
      <c r="J580" s="14">
        <f>IF(AND(ISNUMBER(F580),ISNUMBER(I580),F580&gt;0),I580/F580-1,"")</f>
        <v/>
      </c>
      <c r="K580" s="13" t="n">
        <v>235</v>
      </c>
      <c r="L580" s="14">
        <f>IF(AND(ISNUMBER(F580),ISNUMBER(K580),F580&gt;0),K580/F580-1,"")</f>
        <v/>
      </c>
      <c r="M580" s="15" t="n">
        <v>23</v>
      </c>
      <c r="N580" s="16" t="n">
        <v>2.52</v>
      </c>
      <c r="O580" s="17">
        <f>IF(AND(ISNUMBER(F580),ISNUMBER(N580),F580&gt;0),N580/F580,"")</f>
        <v/>
      </c>
      <c r="P580" s="18" t="n">
        <v>46269</v>
      </c>
      <c r="Q580" s="18" t="n">
        <v>46323</v>
      </c>
      <c r="R580" s="16" t="n">
        <v>5.24</v>
      </c>
      <c r="S580" s="19">
        <f>IF(AND(ISNUMBER(F580),ISNUMBER(R580),R580&gt;0),F580/R580,"")</f>
        <v/>
      </c>
      <c r="T580" s="18" t="n">
        <v>46323</v>
      </c>
    </row>
    <row r="581">
      <c r="A581" s="20" t="inlineStr">
        <is>
          <t>CLH</t>
        </is>
      </c>
      <c r="B581" s="20" t="inlineStr">
        <is>
          <t>Clean Harbors, Inc.</t>
        </is>
      </c>
      <c r="C581" s="20" t="inlineStr">
        <is>
          <t>Waste Management</t>
        </is>
      </c>
      <c r="D581" s="20" t="inlineStr">
        <is>
          <t>United States</t>
        </is>
      </c>
      <c r="E581" s="21" t="n">
        <v>16.52</v>
      </c>
      <c r="F581" s="22" t="n">
        <v>312.92</v>
      </c>
      <c r="G581" s="22" t="n">
        <v>364.66666</v>
      </c>
      <c r="H581" s="23">
        <f>IF(AND(ISNUMBER(F581),ISNUMBER(G581),F581&gt;0),G581/F581-1,"")</f>
        <v/>
      </c>
      <c r="I581" s="22" t="n">
        <v>332</v>
      </c>
      <c r="J581" s="23">
        <f>IF(AND(ISNUMBER(F581),ISNUMBER(I581),F581&gt;0),I581/F581-1,"")</f>
        <v/>
      </c>
      <c r="K581" s="22" t="n">
        <v>390</v>
      </c>
      <c r="L581" s="23">
        <f>IF(AND(ISNUMBER(F581),ISNUMBER(K581),F581&gt;0),K581/F581-1,"")</f>
        <v/>
      </c>
      <c r="M581" s="24" t="n">
        <v>15</v>
      </c>
      <c r="N581" s="25" t="n"/>
      <c r="O581" s="26">
        <f>IF(AND(ISNUMBER(F581),ISNUMBER(N581),F581&gt;0),N581/F581,"")</f>
        <v/>
      </c>
      <c r="P581" s="27" t="n"/>
      <c r="Q581" s="27" t="n">
        <v>46323</v>
      </c>
      <c r="R581" s="25" t="n">
        <v>8.25</v>
      </c>
      <c r="S581" s="28">
        <f>IF(AND(ISNUMBER(F581),ISNUMBER(R581),R581&gt;0),F581/R581,"")</f>
        <v/>
      </c>
      <c r="T581" s="27" t="n">
        <v>46323</v>
      </c>
    </row>
    <row r="582">
      <c r="A582" s="11" t="inlineStr">
        <is>
          <t>GIB</t>
        </is>
      </c>
      <c r="B582" s="11" t="inlineStr">
        <is>
          <t>CGI Inc.</t>
        </is>
      </c>
      <c r="C582" s="11" t="inlineStr">
        <is>
          <t>Information Technology Services</t>
        </is>
      </c>
      <c r="D582" s="11" t="inlineStr">
        <is>
          <t>Canada</t>
        </is>
      </c>
      <c r="E582" s="12" t="n">
        <v>16.49</v>
      </c>
      <c r="F582" s="13" t="n">
        <v>79.63</v>
      </c>
      <c r="G582" s="13" t="n">
        <v>82.80727400000001</v>
      </c>
      <c r="H582" s="14">
        <f>IF(AND(ISNUMBER(F582),ISNUMBER(G582),F582&gt;0),G582/F582-1,"")</f>
        <v/>
      </c>
      <c r="I582" s="13" t="n">
        <v>74.13799</v>
      </c>
      <c r="J582" s="14">
        <f>IF(AND(ISNUMBER(F582),ISNUMBER(I582),F582&gt;0),I582/F582-1,"")</f>
        <v/>
      </c>
      <c r="K582" s="13" t="n">
        <v>89.711395</v>
      </c>
      <c r="L582" s="14">
        <f>IF(AND(ISNUMBER(F582),ISNUMBER(K582),F582&gt;0),K582/F582-1,"")</f>
        <v/>
      </c>
      <c r="M582" s="15" t="n">
        <v>3</v>
      </c>
      <c r="N582" s="16" t="n">
        <v>0.49</v>
      </c>
      <c r="O582" s="17">
        <f>IF(AND(ISNUMBER(F582),ISNUMBER(N582),F582&gt;0),N582/F582,"")</f>
        <v/>
      </c>
      <c r="P582" s="18" t="n">
        <v>46248</v>
      </c>
      <c r="Q582" s="18" t="n">
        <v>46337</v>
      </c>
      <c r="R582" s="16" t="n">
        <v>5.82</v>
      </c>
      <c r="S582" s="19">
        <f>IF(AND(ISNUMBER(F582),ISNUMBER(R582),R582&gt;0),F582/R582,"")</f>
        <v/>
      </c>
      <c r="T582" s="18" t="n">
        <v>46323</v>
      </c>
    </row>
    <row r="583">
      <c r="A583" s="20" t="inlineStr">
        <is>
          <t>AS</t>
        </is>
      </c>
      <c r="B583" s="20" t="inlineStr">
        <is>
          <t>Amer Sports, Inc.</t>
        </is>
      </c>
      <c r="C583" s="20" t="inlineStr">
        <is>
          <t>Leisure</t>
        </is>
      </c>
      <c r="D583" s="20" t="inlineStr">
        <is>
          <t>Finland</t>
        </is>
      </c>
      <c r="E583" s="21" t="n">
        <v>16.4</v>
      </c>
      <c r="F583" s="22" t="n">
        <v>28.19</v>
      </c>
      <c r="G583" s="22" t="n">
        <v>47.24</v>
      </c>
      <c r="H583" s="23">
        <f>IF(AND(ISNUMBER(F583),ISNUMBER(G583),F583&gt;0),G583/F583-1,"")</f>
        <v/>
      </c>
      <c r="I583" s="22" t="n">
        <v>31</v>
      </c>
      <c r="J583" s="23">
        <f>IF(AND(ISNUMBER(F583),ISNUMBER(I583),F583&gt;0),I583/F583-1,"")</f>
        <v/>
      </c>
      <c r="K583" s="22" t="n">
        <v>67</v>
      </c>
      <c r="L583" s="23">
        <f>IF(AND(ISNUMBER(F583),ISNUMBER(K583),F583&gt;0),K583/F583-1,"")</f>
        <v/>
      </c>
      <c r="M583" s="24" t="n">
        <v>26</v>
      </c>
      <c r="N583" s="25" t="n"/>
      <c r="O583" s="26">
        <f>IF(AND(ISNUMBER(F583),ISNUMBER(N583),F583&gt;0),N583/F583,"")</f>
        <v/>
      </c>
      <c r="P583" s="27" t="n"/>
      <c r="Q583" s="27" t="n">
        <v>46343</v>
      </c>
      <c r="R583" s="25" t="n">
        <v>0.95</v>
      </c>
      <c r="S583" s="28">
        <f>IF(AND(ISNUMBER(F583),ISNUMBER(R583),R583&gt;0),F583/R583,"")</f>
        <v/>
      </c>
      <c r="T583" s="27" t="n">
        <v>46323</v>
      </c>
    </row>
    <row r="584">
      <c r="A584" s="11" t="inlineStr">
        <is>
          <t>TLN</t>
        </is>
      </c>
      <c r="B584" s="11" t="inlineStr">
        <is>
          <t>Talen Energy Corporation</t>
        </is>
      </c>
      <c r="C584" s="11" t="inlineStr">
        <is>
          <t>Utilities - Independent Power Producers</t>
        </is>
      </c>
      <c r="D584" s="11" t="inlineStr">
        <is>
          <t>United States</t>
        </is>
      </c>
      <c r="E584" s="12" t="n">
        <v>16.35</v>
      </c>
      <c r="F584" s="13" t="n">
        <v>345.73</v>
      </c>
      <c r="G584" s="13" t="n">
        <v>453.515</v>
      </c>
      <c r="H584" s="14">
        <f>IF(AND(ISNUMBER(F584),ISNUMBER(G584),F584&gt;0),G584/F584-1,"")</f>
        <v/>
      </c>
      <c r="I584" s="13" t="n">
        <v>307</v>
      </c>
      <c r="J584" s="14">
        <f>IF(AND(ISNUMBER(F584),ISNUMBER(I584),F584&gt;0),I584/F584-1,"")</f>
        <v/>
      </c>
      <c r="K584" s="13" t="n">
        <v>560</v>
      </c>
      <c r="L584" s="14">
        <f>IF(AND(ISNUMBER(F584),ISNUMBER(K584),F584&gt;0),K584/F584-1,"")</f>
        <v/>
      </c>
      <c r="M584" s="15" t="n">
        <v>20</v>
      </c>
      <c r="N584" s="16" t="n"/>
      <c r="O584" s="17">
        <f>IF(AND(ISNUMBER(F584),ISNUMBER(N584),F584&gt;0),N584/F584,"")</f>
        <v/>
      </c>
      <c r="P584" s="18" t="n"/>
      <c r="Q584" s="18" t="n">
        <v>46329</v>
      </c>
      <c r="R584" s="16" t="n">
        <v>-4.13</v>
      </c>
      <c r="S584" s="19">
        <f>IF(AND(ISNUMBER(F584),ISNUMBER(R584),R584&gt;0),F584/R584,"")</f>
        <v/>
      </c>
      <c r="T584" s="18" t="n">
        <v>46323</v>
      </c>
    </row>
    <row r="585">
      <c r="A585" s="20" t="inlineStr">
        <is>
          <t>ASTS</t>
        </is>
      </c>
      <c r="B585" s="20" t="inlineStr">
        <is>
          <t>AST SpaceMobile, Inc.</t>
        </is>
      </c>
      <c r="C585" s="20" t="inlineStr">
        <is>
          <t>Communication Equipment</t>
        </is>
      </c>
      <c r="D585" s="20" t="inlineStr">
        <is>
          <t>United States</t>
        </is>
      </c>
      <c r="E585" s="21" t="n">
        <v>16.33</v>
      </c>
      <c r="F585" s="22" t="n">
        <v>41.96</v>
      </c>
      <c r="G585" s="22" t="n">
        <v>74.68333</v>
      </c>
      <c r="H585" s="23">
        <f>IF(AND(ISNUMBER(F585),ISNUMBER(G585),F585&gt;0),G585/F585-1,"")</f>
        <v/>
      </c>
      <c r="I585" s="22" t="n">
        <v>42.5</v>
      </c>
      <c r="J585" s="23">
        <f>IF(AND(ISNUMBER(F585),ISNUMBER(I585),F585&gt;0),I585/F585-1,"")</f>
        <v/>
      </c>
      <c r="K585" s="22" t="n">
        <v>108</v>
      </c>
      <c r="L585" s="23">
        <f>IF(AND(ISNUMBER(F585),ISNUMBER(K585),F585&gt;0),K585/F585-1,"")</f>
        <v/>
      </c>
      <c r="M585" s="24" t="n">
        <v>12</v>
      </c>
      <c r="N585" s="25" t="n"/>
      <c r="O585" s="26">
        <f>IF(AND(ISNUMBER(F585),ISNUMBER(N585),F585&gt;0),N585/F585,"")</f>
        <v/>
      </c>
      <c r="P585" s="27" t="n"/>
      <c r="Q585" s="27" t="n">
        <v>46335</v>
      </c>
      <c r="R585" s="25" t="n">
        <v>-2.13</v>
      </c>
      <c r="S585" s="28">
        <f>IF(AND(ISNUMBER(F585),ISNUMBER(R585),R585&gt;0),F585/R585,"")</f>
        <v/>
      </c>
      <c r="T585" s="27" t="n">
        <v>46323</v>
      </c>
    </row>
    <row r="586">
      <c r="A586" s="11" t="inlineStr">
        <is>
          <t>CHKP</t>
        </is>
      </c>
      <c r="B586" s="11" t="inlineStr">
        <is>
          <t>Check Point Software Technologi</t>
        </is>
      </c>
      <c r="C586" s="11" t="inlineStr">
        <is>
          <t>Software - Infrastructure</t>
        </is>
      </c>
      <c r="D586" s="11" t="inlineStr">
        <is>
          <t>Israel</t>
        </is>
      </c>
      <c r="E586" s="12" t="n">
        <v>16.32</v>
      </c>
      <c r="F586" s="13" t="n">
        <v>159.84</v>
      </c>
      <c r="G586" s="13" t="n">
        <v>147.11548</v>
      </c>
      <c r="H586" s="14">
        <f>IF(AND(ISNUMBER(F586),ISNUMBER(G586),F586&gt;0),G586/F586-1,"")</f>
        <v/>
      </c>
      <c r="I586" s="13" t="n">
        <v>105</v>
      </c>
      <c r="J586" s="14">
        <f>IF(AND(ISNUMBER(F586),ISNUMBER(I586),F586&gt;0),I586/F586-1,"")</f>
        <v/>
      </c>
      <c r="K586" s="13" t="n">
        <v>201</v>
      </c>
      <c r="L586" s="14">
        <f>IF(AND(ISNUMBER(F586),ISNUMBER(K586),F586&gt;0),K586/F586-1,"")</f>
        <v/>
      </c>
      <c r="M586" s="15" t="n">
        <v>31</v>
      </c>
      <c r="N586" s="16" t="n"/>
      <c r="O586" s="17">
        <f>IF(AND(ISNUMBER(F586),ISNUMBER(N586),F586&gt;0),N586/F586,"")</f>
        <v/>
      </c>
      <c r="P586" s="18" t="n"/>
      <c r="Q586" s="18" t="n">
        <v>46328</v>
      </c>
      <c r="R586" s="16" t="n">
        <v>9.77</v>
      </c>
      <c r="S586" s="19">
        <f>IF(AND(ISNUMBER(F586),ISNUMBER(R586),R586&gt;0),F586/R586,"")</f>
        <v/>
      </c>
      <c r="T586" s="18" t="n">
        <v>46323</v>
      </c>
    </row>
    <row r="587">
      <c r="A587" s="20" t="inlineStr">
        <is>
          <t>GFL</t>
        </is>
      </c>
      <c r="B587" s="20" t="inlineStr">
        <is>
          <t>GFL Environmental Inc. Subordin</t>
        </is>
      </c>
      <c r="C587" s="20" t="inlineStr">
        <is>
          <t>Waste Management</t>
        </is>
      </c>
      <c r="D587" s="20" t="inlineStr">
        <is>
          <t>United States</t>
        </is>
      </c>
      <c r="E587" s="21" t="n">
        <v>16.24</v>
      </c>
      <c r="F587" s="22" t="n">
        <v>45</v>
      </c>
      <c r="G587" s="22" t="n">
        <v>51.28362</v>
      </c>
      <c r="H587" s="23">
        <f>IF(AND(ISNUMBER(F587),ISNUMBER(G587),F587&gt;0),G587/F587-1,"")</f>
        <v/>
      </c>
      <c r="I587" s="22" t="n">
        <v>40.569668</v>
      </c>
      <c r="J587" s="23">
        <f>IF(AND(ISNUMBER(F587),ISNUMBER(I587),F587&gt;0),I587/F587-1,"")</f>
        <v/>
      </c>
      <c r="K587" s="22" t="n">
        <v>63.895626</v>
      </c>
      <c r="L587" s="23">
        <f>IF(AND(ISNUMBER(F587),ISNUMBER(K587),F587&gt;0),K587/F587-1,"")</f>
        <v/>
      </c>
      <c r="M587" s="24" t="n">
        <v>13</v>
      </c>
      <c r="N587" s="25" t="n">
        <v>0.07000000000000001</v>
      </c>
      <c r="O587" s="26">
        <f>IF(AND(ISNUMBER(F587),ISNUMBER(N587),F587&gt;0),N587/F587,"")</f>
        <v/>
      </c>
      <c r="P587" s="27" t="n">
        <v>46309</v>
      </c>
      <c r="Q587" s="27" t="n">
        <v>46323</v>
      </c>
      <c r="R587" s="25" t="n">
        <v>-0.46</v>
      </c>
      <c r="S587" s="28">
        <f>IF(AND(ISNUMBER(F587),ISNUMBER(R587),R587&gt;0),F587/R587,"")</f>
        <v/>
      </c>
      <c r="T587" s="27" t="n">
        <v>46323</v>
      </c>
    </row>
    <row r="588">
      <c r="A588" s="11" t="inlineStr">
        <is>
          <t>EXEL</t>
        </is>
      </c>
      <c r="B588" s="11" t="inlineStr">
        <is>
          <t>Exelixis, Inc.</t>
        </is>
      </c>
      <c r="C588" s="11" t="inlineStr">
        <is>
          <t>Biotechnology</t>
        </is>
      </c>
      <c r="D588" s="11" t="inlineStr">
        <is>
          <t>United States</t>
        </is>
      </c>
      <c r="E588" s="12" t="n">
        <v>16.19</v>
      </c>
      <c r="F588" s="13" t="n">
        <v>65.34999999999999</v>
      </c>
      <c r="G588" s="13" t="n">
        <v>55.53333</v>
      </c>
      <c r="H588" s="14">
        <f>IF(AND(ISNUMBER(F588),ISNUMBER(G588),F588&gt;0),G588/F588-1,"")</f>
        <v/>
      </c>
      <c r="I588" s="13" t="n">
        <v>41</v>
      </c>
      <c r="J588" s="14">
        <f>IF(AND(ISNUMBER(F588),ISNUMBER(I588),F588&gt;0),I588/F588-1,"")</f>
        <v/>
      </c>
      <c r="K588" s="13" t="n">
        <v>70</v>
      </c>
      <c r="L588" s="14">
        <f>IF(AND(ISNUMBER(F588),ISNUMBER(K588),F588&gt;0),K588/F588-1,"")</f>
        <v/>
      </c>
      <c r="M588" s="15" t="n">
        <v>15</v>
      </c>
      <c r="N588" s="16" t="n"/>
      <c r="O588" s="17">
        <f>IF(AND(ISNUMBER(F588),ISNUMBER(N588),F588&gt;0),N588/F588,"")</f>
        <v/>
      </c>
      <c r="P588" s="18" t="n"/>
      <c r="Q588" s="18" t="n">
        <v>46324</v>
      </c>
      <c r="R588" s="16" t="n">
        <v>3.17</v>
      </c>
      <c r="S588" s="19">
        <f>IF(AND(ISNUMBER(F588),ISNUMBER(R588),R588&gt;0),F588/R588,"")</f>
        <v/>
      </c>
      <c r="T588" s="18" t="n">
        <v>46323</v>
      </c>
    </row>
    <row r="589">
      <c r="A589" s="20" t="inlineStr">
        <is>
          <t>ASND</t>
        </is>
      </c>
      <c r="B589" s="20" t="inlineStr">
        <is>
          <t>Ascendis Pharma A/S</t>
        </is>
      </c>
      <c r="C589" s="20" t="inlineStr">
        <is>
          <t>Biotechnology</t>
        </is>
      </c>
      <c r="D589" s="20" t="inlineStr">
        <is>
          <t>Denmark</t>
        </is>
      </c>
      <c r="E589" s="21" t="n">
        <v>16.18</v>
      </c>
      <c r="F589" s="22" t="n">
        <v>245.85</v>
      </c>
      <c r="G589" s="22" t="n">
        <v>302.89325</v>
      </c>
      <c r="H589" s="23">
        <f>IF(AND(ISNUMBER(F589),ISNUMBER(G589),F589&gt;0),G589/F589-1,"")</f>
        <v/>
      </c>
      <c r="I589" s="22" t="n">
        <v>260.26486</v>
      </c>
      <c r="J589" s="23">
        <f>IF(AND(ISNUMBER(F589),ISNUMBER(I589),F589&gt;0),I589/F589-1,"")</f>
        <v/>
      </c>
      <c r="K589" s="22" t="n">
        <v>341.24417</v>
      </c>
      <c r="L589" s="23">
        <f>IF(AND(ISNUMBER(F589),ISNUMBER(K589),F589&gt;0),K589/F589-1,"")</f>
        <v/>
      </c>
      <c r="M589" s="24" t="n">
        <v>22</v>
      </c>
      <c r="N589" s="25" t="n"/>
      <c r="O589" s="26">
        <f>IF(AND(ISNUMBER(F589),ISNUMBER(N589),F589&gt;0),N589/F589,"")</f>
        <v/>
      </c>
      <c r="P589" s="27" t="n"/>
      <c r="Q589" s="27" t="n">
        <v>46142</v>
      </c>
      <c r="R589" s="25" t="n">
        <v>13.05</v>
      </c>
      <c r="S589" s="28">
        <f>IF(AND(ISNUMBER(F589),ISNUMBER(R589),R589&gt;0),F589/R589,"")</f>
        <v/>
      </c>
      <c r="T589" s="27" t="n">
        <v>46323</v>
      </c>
    </row>
    <row r="590">
      <c r="A590" s="11" t="inlineStr">
        <is>
          <t>CLPBY</t>
        </is>
      </c>
      <c r="B590" s="11" t="inlineStr">
        <is>
          <t>Coloplast AS</t>
        </is>
      </c>
      <c r="C590" s="11" t="inlineStr">
        <is>
          <t>Medical Instruments &amp; Supplies</t>
        </is>
      </c>
      <c r="D590" s="11" t="inlineStr">
        <is>
          <t>Denmark</t>
        </is>
      </c>
      <c r="E590" s="12" t="n">
        <v>16.16</v>
      </c>
      <c r="F590" s="13" t="n">
        <v>7.17</v>
      </c>
      <c r="G590" s="13" t="n">
        <v>8.3325</v>
      </c>
      <c r="H590" s="14">
        <f>IF(AND(ISNUMBER(F590),ISNUMBER(G590),F590&gt;0),G590/F590-1,"")</f>
        <v/>
      </c>
      <c r="I590" s="13" t="n">
        <v>6.7</v>
      </c>
      <c r="J590" s="14">
        <f>IF(AND(ISNUMBER(F590),ISNUMBER(I590),F590&gt;0),I590/F590-1,"")</f>
        <v/>
      </c>
      <c r="K590" s="13" t="n">
        <v>12.2</v>
      </c>
      <c r="L590" s="14">
        <f>IF(AND(ISNUMBER(F590),ISNUMBER(K590),F590&gt;0),K590/F590-1,"")</f>
        <v/>
      </c>
      <c r="M590" s="15" t="n">
        <v>4</v>
      </c>
      <c r="N590" s="16" t="n">
        <v>0.36</v>
      </c>
      <c r="O590" s="17">
        <f>IF(AND(ISNUMBER(F590),ISNUMBER(N590),F590&gt;0),N590/F590,"")</f>
        <v/>
      </c>
      <c r="P590" s="18" t="n">
        <v>46164</v>
      </c>
      <c r="Q590" s="18" t="n">
        <v>45888</v>
      </c>
      <c r="R590" s="16" t="n">
        <v>0.19</v>
      </c>
      <c r="S590" s="19">
        <f>IF(AND(ISNUMBER(F590),ISNUMBER(R590),R590&gt;0),F590/R590,"")</f>
        <v/>
      </c>
      <c r="T590" s="18" t="n">
        <v>46323</v>
      </c>
    </row>
    <row r="591">
      <c r="A591" s="20" t="inlineStr">
        <is>
          <t>NWSA</t>
        </is>
      </c>
      <c r="B591" s="20" t="inlineStr">
        <is>
          <t>News Corporation</t>
        </is>
      </c>
      <c r="C591" s="20" t="inlineStr">
        <is>
          <t>Entertainment</t>
        </is>
      </c>
      <c r="D591" s="20" t="inlineStr">
        <is>
          <t>United States</t>
        </is>
      </c>
      <c r="E591" s="21" t="n">
        <v>16.14</v>
      </c>
      <c r="F591" s="22" t="n">
        <v>29.96</v>
      </c>
      <c r="G591" s="22" t="n">
        <v>36.03333</v>
      </c>
      <c r="H591" s="23">
        <f>IF(AND(ISNUMBER(F591),ISNUMBER(G591),F591&gt;0),G591/F591-1,"")</f>
        <v/>
      </c>
      <c r="I591" s="22" t="n">
        <v>30.3</v>
      </c>
      <c r="J591" s="23">
        <f>IF(AND(ISNUMBER(F591),ISNUMBER(I591),F591&gt;0),I591/F591-1,"")</f>
        <v/>
      </c>
      <c r="K591" s="22" t="n">
        <v>43</v>
      </c>
      <c r="L591" s="23">
        <f>IF(AND(ISNUMBER(F591),ISNUMBER(K591),F591&gt;0),K591/F591-1,"")</f>
        <v/>
      </c>
      <c r="M591" s="24" t="n">
        <v>9</v>
      </c>
      <c r="N591" s="25" t="n">
        <v>0.2</v>
      </c>
      <c r="O591" s="26">
        <f>IF(AND(ISNUMBER(F591),ISNUMBER(N591),F591&gt;0),N591/F591,"")</f>
        <v/>
      </c>
      <c r="P591" s="27" t="n">
        <v>46274</v>
      </c>
      <c r="Q591" s="27" t="n">
        <v>46330</v>
      </c>
      <c r="R591" s="25" t="n">
        <v>1.03</v>
      </c>
      <c r="S591" s="28">
        <f>IF(AND(ISNUMBER(F591),ISNUMBER(R591),R591&gt;0),F591/R591,"")</f>
        <v/>
      </c>
      <c r="T591" s="27" t="n">
        <v>46323</v>
      </c>
    </row>
    <row r="592">
      <c r="A592" s="11" t="inlineStr">
        <is>
          <t>LOGI</t>
        </is>
      </c>
      <c r="B592" s="11" t="inlineStr">
        <is>
          <t>Logitech International S.A. - R</t>
        </is>
      </c>
      <c r="C592" s="11" t="inlineStr">
        <is>
          <t>Computer Hardware</t>
        </is>
      </c>
      <c r="D592" s="11" t="inlineStr">
        <is>
          <t>Switzerland</t>
        </is>
      </c>
      <c r="E592" s="12" t="n">
        <v>16.05</v>
      </c>
      <c r="F592" s="13" t="n">
        <v>111.82</v>
      </c>
      <c r="G592" s="13" t="n">
        <v>106.2</v>
      </c>
      <c r="H592" s="14">
        <f>IF(AND(ISNUMBER(F592),ISNUMBER(G592),F592&gt;0),G592/F592-1,"")</f>
        <v/>
      </c>
      <c r="I592" s="13" t="n">
        <v>84</v>
      </c>
      <c r="J592" s="14">
        <f>IF(AND(ISNUMBER(F592),ISNUMBER(I592),F592&gt;0),I592/F592-1,"")</f>
        <v/>
      </c>
      <c r="K592" s="13" t="n">
        <v>141</v>
      </c>
      <c r="L592" s="14">
        <f>IF(AND(ISNUMBER(F592),ISNUMBER(K592),F592&gt;0),K592/F592-1,"")</f>
        <v/>
      </c>
      <c r="M592" s="15" t="n">
        <v>10</v>
      </c>
      <c r="N592" s="16" t="n">
        <v>1.66</v>
      </c>
      <c r="O592" s="17">
        <f>IF(AND(ISNUMBER(F592),ISNUMBER(N592),F592&gt;0),N592/F592,"")</f>
        <v/>
      </c>
      <c r="P592" s="18" t="n">
        <v>46286</v>
      </c>
      <c r="Q592" s="18" t="n">
        <v>46322</v>
      </c>
      <c r="R592" s="16" t="n">
        <v>5.45</v>
      </c>
      <c r="S592" s="19">
        <f>IF(AND(ISNUMBER(F592),ISNUMBER(R592),R592&gt;0),F592/R592,"")</f>
        <v/>
      </c>
      <c r="T592" s="18" t="n">
        <v>46323</v>
      </c>
    </row>
    <row r="593">
      <c r="A593" s="20" t="inlineStr">
        <is>
          <t>KIM</t>
        </is>
      </c>
      <c r="B593" s="20" t="inlineStr">
        <is>
          <t>Kimco Realty Corporation (HC)</t>
        </is>
      </c>
      <c r="C593" s="20" t="inlineStr">
        <is>
          <t>Reit - Retail</t>
        </is>
      </c>
      <c r="D593" s="20" t="inlineStr">
        <is>
          <t>United States</t>
        </is>
      </c>
      <c r="E593" s="21" t="n">
        <v>15.9</v>
      </c>
      <c r="F593" s="22" t="n">
        <v>23.7</v>
      </c>
      <c r="G593" s="22" t="n">
        <v>25.82143</v>
      </c>
      <c r="H593" s="23">
        <f>IF(AND(ISNUMBER(F593),ISNUMBER(G593),F593&gt;0),G593/F593-1,"")</f>
        <v/>
      </c>
      <c r="I593" s="22" t="n">
        <v>23</v>
      </c>
      <c r="J593" s="23">
        <f>IF(AND(ISNUMBER(F593),ISNUMBER(I593),F593&gt;0),I593/F593-1,"")</f>
        <v/>
      </c>
      <c r="K593" s="22" t="n">
        <v>30</v>
      </c>
      <c r="L593" s="23">
        <f>IF(AND(ISNUMBER(F593),ISNUMBER(K593),F593&gt;0),K593/F593-1,"")</f>
        <v/>
      </c>
      <c r="M593" s="24" t="n">
        <v>21</v>
      </c>
      <c r="N593" s="25" t="n">
        <v>1.12</v>
      </c>
      <c r="O593" s="26">
        <f>IF(AND(ISNUMBER(F593),ISNUMBER(N593),F593&gt;0),N593/F593,"")</f>
        <v/>
      </c>
      <c r="P593" s="27" t="n">
        <v>46269</v>
      </c>
      <c r="Q593" s="27" t="n">
        <v>46324</v>
      </c>
      <c r="R593" s="25" t="n">
        <v>0.85</v>
      </c>
      <c r="S593" s="28">
        <f>IF(AND(ISNUMBER(F593),ISNUMBER(R593),R593&gt;0),F593/R593,"")</f>
        <v/>
      </c>
      <c r="T593" s="27" t="n">
        <v>46323</v>
      </c>
    </row>
    <row r="594">
      <c r="A594" s="11" t="inlineStr">
        <is>
          <t>BEN</t>
        </is>
      </c>
      <c r="B594" s="11" t="inlineStr">
        <is>
          <t>Franklin Templeton, Inc.</t>
        </is>
      </c>
      <c r="C594" s="11" t="inlineStr">
        <is>
          <t>Asset Management</t>
        </is>
      </c>
      <c r="D594" s="11" t="inlineStr">
        <is>
          <t>United States</t>
        </is>
      </c>
      <c r="E594" s="12" t="n">
        <v>15.87</v>
      </c>
      <c r="F594" s="13" t="n">
        <v>31.23</v>
      </c>
      <c r="G594" s="13" t="n">
        <v>35.46154</v>
      </c>
      <c r="H594" s="14">
        <f>IF(AND(ISNUMBER(F594),ISNUMBER(G594),F594&gt;0),G594/F594-1,"")</f>
        <v/>
      </c>
      <c r="I594" s="13" t="n">
        <v>26</v>
      </c>
      <c r="J594" s="14">
        <f>IF(AND(ISNUMBER(F594),ISNUMBER(I594),F594&gt;0),I594/F594-1,"")</f>
        <v/>
      </c>
      <c r="K594" s="13" t="n">
        <v>40</v>
      </c>
      <c r="L594" s="14">
        <f>IF(AND(ISNUMBER(F594),ISNUMBER(K594),F594&gt;0),K594/F594-1,"")</f>
        <v/>
      </c>
      <c r="M594" s="15" t="n">
        <v>13</v>
      </c>
      <c r="N594" s="16" t="n">
        <v>1.32</v>
      </c>
      <c r="O594" s="17">
        <f>IF(AND(ISNUMBER(F594),ISNUMBER(N594),F594&gt;0),N594/F594,"")</f>
        <v/>
      </c>
      <c r="P594" s="18" t="n">
        <v>46295</v>
      </c>
      <c r="Q594" s="18" t="n">
        <v>46332</v>
      </c>
      <c r="R594" s="16" t="n">
        <v>1.47</v>
      </c>
      <c r="S594" s="19">
        <f>IF(AND(ISNUMBER(F594),ISNUMBER(R594),R594&gt;0),F594/R594,"")</f>
        <v/>
      </c>
      <c r="T594" s="18" t="n">
        <v>46323</v>
      </c>
    </row>
    <row r="595">
      <c r="A595" s="20" t="inlineStr">
        <is>
          <t>WMG</t>
        </is>
      </c>
      <c r="B595" s="20" t="inlineStr">
        <is>
          <t>Warner Music Group Corp.</t>
        </is>
      </c>
      <c r="C595" s="20" t="inlineStr">
        <is>
          <t>Entertainment</t>
        </is>
      </c>
      <c r="D595" s="20" t="inlineStr">
        <is>
          <t>United States</t>
        </is>
      </c>
      <c r="E595" s="21" t="n">
        <v>15.86</v>
      </c>
      <c r="F595" s="22" t="n">
        <v>30.31</v>
      </c>
      <c r="G595" s="22" t="n">
        <v>38</v>
      </c>
      <c r="H595" s="23">
        <f>IF(AND(ISNUMBER(F595),ISNUMBER(G595),F595&gt;0),G595/F595-1,"")</f>
        <v/>
      </c>
      <c r="I595" s="22" t="n">
        <v>30</v>
      </c>
      <c r="J595" s="23">
        <f>IF(AND(ISNUMBER(F595),ISNUMBER(I595),F595&gt;0),I595/F595-1,"")</f>
        <v/>
      </c>
      <c r="K595" s="22" t="n">
        <v>46</v>
      </c>
      <c r="L595" s="23">
        <f>IF(AND(ISNUMBER(F595),ISNUMBER(K595),F595&gt;0),K595/F595-1,"")</f>
        <v/>
      </c>
      <c r="M595" s="24" t="n">
        <v>17</v>
      </c>
      <c r="N595" s="25" t="n">
        <v>0.8</v>
      </c>
      <c r="O595" s="26">
        <f>IF(AND(ISNUMBER(F595),ISNUMBER(N595),F595&gt;0),N595/F595,"")</f>
        <v/>
      </c>
      <c r="P595" s="27" t="n">
        <v>46254</v>
      </c>
      <c r="Q595" s="27" t="n">
        <v>46345</v>
      </c>
      <c r="R595" s="25" t="n">
        <v>1.25</v>
      </c>
      <c r="S595" s="28">
        <f>IF(AND(ISNUMBER(F595),ISNUMBER(R595),R595&gt;0),F595/R595,"")</f>
        <v/>
      </c>
      <c r="T595" s="27" t="n">
        <v>46323</v>
      </c>
    </row>
    <row r="596">
      <c r="A596" s="11" t="inlineStr">
        <is>
          <t>CRBG</t>
        </is>
      </c>
      <c r="B596" s="11" t="inlineStr">
        <is>
          <t>Corebridge Financial Inc.</t>
        </is>
      </c>
      <c r="C596" s="11" t="inlineStr">
        <is>
          <t>Asset Management</t>
        </is>
      </c>
      <c r="D596" s="11" t="inlineStr">
        <is>
          <t>United States</t>
        </is>
      </c>
      <c r="E596" s="12" t="n">
        <v>15.76</v>
      </c>
      <c r="F596" s="13" t="n">
        <v>35.36</v>
      </c>
      <c r="G596" s="13" t="n">
        <v>40.41667</v>
      </c>
      <c r="H596" s="14">
        <f>IF(AND(ISNUMBER(F596),ISNUMBER(G596),F596&gt;0),G596/F596-1,"")</f>
        <v/>
      </c>
      <c r="I596" s="13" t="n">
        <v>36</v>
      </c>
      <c r="J596" s="14">
        <f>IF(AND(ISNUMBER(F596),ISNUMBER(I596),F596&gt;0),I596/F596-1,"")</f>
        <v/>
      </c>
      <c r="K596" s="13" t="n">
        <v>46</v>
      </c>
      <c r="L596" s="14">
        <f>IF(AND(ISNUMBER(F596),ISNUMBER(K596),F596&gt;0),K596/F596-1,"")</f>
        <v/>
      </c>
      <c r="M596" s="15" t="n">
        <v>12</v>
      </c>
      <c r="N596" s="16" t="n">
        <v>1</v>
      </c>
      <c r="O596" s="17">
        <f>IF(AND(ISNUMBER(F596),ISNUMBER(N596),F596&gt;0),N596/F596,"")</f>
        <v/>
      </c>
      <c r="P596" s="18" t="n">
        <v>46281</v>
      </c>
      <c r="Q596" s="18" t="n">
        <v>46328</v>
      </c>
      <c r="R596" s="16" t="n">
        <v>1.59</v>
      </c>
      <c r="S596" s="19">
        <f>IF(AND(ISNUMBER(F596),ISNUMBER(R596),R596&gt;0),F596/R596,"")</f>
        <v/>
      </c>
      <c r="T596" s="18" t="n">
        <v>46323</v>
      </c>
    </row>
    <row r="597">
      <c r="A597" s="20" t="inlineStr">
        <is>
          <t>RBA</t>
        </is>
      </c>
      <c r="B597" s="20" t="inlineStr">
        <is>
          <t>RB Global, Inc.</t>
        </is>
      </c>
      <c r="C597" s="20" t="inlineStr">
        <is>
          <t>Specialty Business Services</t>
        </is>
      </c>
      <c r="D597" s="20" t="inlineStr">
        <is>
          <t>United States</t>
        </is>
      </c>
      <c r="E597" s="21" t="n">
        <v>15.75</v>
      </c>
      <c r="F597" s="22" t="n">
        <v>85.02</v>
      </c>
      <c r="G597" s="22" t="n">
        <v>128.81818</v>
      </c>
      <c r="H597" s="23">
        <f>IF(AND(ISNUMBER(F597),ISNUMBER(G597),F597&gt;0),G597/F597-1,"")</f>
        <v/>
      </c>
      <c r="I597" s="22" t="n">
        <v>104</v>
      </c>
      <c r="J597" s="23">
        <f>IF(AND(ISNUMBER(F597),ISNUMBER(I597),F597&gt;0),I597/F597-1,"")</f>
        <v/>
      </c>
      <c r="K597" s="22" t="n">
        <v>152</v>
      </c>
      <c r="L597" s="23">
        <f>IF(AND(ISNUMBER(F597),ISNUMBER(K597),F597&gt;0),K597/F597-1,"")</f>
        <v/>
      </c>
      <c r="M597" s="24" t="n">
        <v>11</v>
      </c>
      <c r="N597" s="25" t="n">
        <v>1.32</v>
      </c>
      <c r="O597" s="26">
        <f>IF(AND(ISNUMBER(F597),ISNUMBER(N597),F597&gt;0),N597/F597,"")</f>
        <v/>
      </c>
      <c r="P597" s="27" t="n">
        <v>46259</v>
      </c>
      <c r="Q597" s="27" t="n">
        <v>46335</v>
      </c>
      <c r="R597" s="25" t="n">
        <v>2.32</v>
      </c>
      <c r="S597" s="28">
        <f>IF(AND(ISNUMBER(F597),ISNUMBER(R597),R597&gt;0),F597/R597,"")</f>
        <v/>
      </c>
      <c r="T597" s="27" t="n">
        <v>46323</v>
      </c>
    </row>
    <row r="598">
      <c r="A598" s="11" t="inlineStr">
        <is>
          <t>PKX</t>
        </is>
      </c>
      <c r="B598" s="11" t="inlineStr">
        <is>
          <t>POSCO Holdings Inc.</t>
        </is>
      </c>
      <c r="C598" s="11" t="inlineStr">
        <is>
          <t>Steel</t>
        </is>
      </c>
      <c r="D598" s="11" t="inlineStr">
        <is>
          <t>South Korea</t>
        </is>
      </c>
      <c r="E598" s="12" t="n">
        <v>15.73</v>
      </c>
      <c r="F598" s="13" t="n">
        <v>52</v>
      </c>
      <c r="G598" s="13" t="n">
        <v>68.0386</v>
      </c>
      <c r="H598" s="14">
        <f>IF(AND(ISNUMBER(F598),ISNUMBER(G598),F598&gt;0),G598/F598-1,"")</f>
        <v/>
      </c>
      <c r="I598" s="13" t="n">
        <v>68.0386</v>
      </c>
      <c r="J598" s="14">
        <f>IF(AND(ISNUMBER(F598),ISNUMBER(I598),F598&gt;0),I598/F598-1,"")</f>
        <v/>
      </c>
      <c r="K598" s="13" t="n">
        <v>68.0386</v>
      </c>
      <c r="L598" s="14">
        <f>IF(AND(ISNUMBER(F598),ISNUMBER(K598),F598&gt;0),K598/F598-1,"")</f>
        <v/>
      </c>
      <c r="M598" s="15" t="n">
        <v>1</v>
      </c>
      <c r="N598" s="16" t="n">
        <v>1.55</v>
      </c>
      <c r="O598" s="17">
        <f>IF(AND(ISNUMBER(F598),ISNUMBER(N598),F598&gt;0),N598/F598,"")</f>
        <v/>
      </c>
      <c r="P598" s="18" t="n">
        <v>46258</v>
      </c>
      <c r="Q598" s="18" t="n">
        <v>46328</v>
      </c>
      <c r="R598" s="16" t="n">
        <v>3.14</v>
      </c>
      <c r="S598" s="19">
        <f>IF(AND(ISNUMBER(F598),ISNUMBER(R598),R598&gt;0),F598/R598,"")</f>
        <v/>
      </c>
      <c r="T598" s="18" t="n">
        <v>46323</v>
      </c>
    </row>
    <row r="599">
      <c r="A599" s="20" t="inlineStr">
        <is>
          <t>TYL</t>
        </is>
      </c>
      <c r="B599" s="20" t="inlineStr">
        <is>
          <t>Tyler Technologies, Inc.</t>
        </is>
      </c>
      <c r="C599" s="20" t="inlineStr">
        <is>
          <t>Software - Application</t>
        </is>
      </c>
      <c r="D599" s="20" t="inlineStr">
        <is>
          <t>United States</t>
        </is>
      </c>
      <c r="E599" s="21" t="n">
        <v>15.51</v>
      </c>
      <c r="F599" s="22" t="n">
        <v>378.62</v>
      </c>
      <c r="G599" s="22" t="n">
        <v>434.77274</v>
      </c>
      <c r="H599" s="23">
        <f>IF(AND(ISNUMBER(F599),ISNUMBER(G599),F599&gt;0),G599/F599-1,"")</f>
        <v/>
      </c>
      <c r="I599" s="22" t="n">
        <v>345</v>
      </c>
      <c r="J599" s="23">
        <f>IF(AND(ISNUMBER(F599),ISNUMBER(I599),F599&gt;0),I599/F599-1,"")</f>
        <v/>
      </c>
      <c r="K599" s="22" t="n">
        <v>525</v>
      </c>
      <c r="L599" s="23">
        <f>IF(AND(ISNUMBER(F599),ISNUMBER(K599),F599&gt;0),K599/F599-1,"")</f>
        <v/>
      </c>
      <c r="M599" s="24" t="n">
        <v>22</v>
      </c>
      <c r="N599" s="25" t="n"/>
      <c r="O599" s="26">
        <f>IF(AND(ISNUMBER(F599),ISNUMBER(N599),F599&gt;0),N599/F599,"")</f>
        <v/>
      </c>
      <c r="P599" s="27" t="n"/>
      <c r="Q599" s="27" t="n">
        <v>46323</v>
      </c>
      <c r="R599" s="25" t="n">
        <v>7.6</v>
      </c>
      <c r="S599" s="28">
        <f>IF(AND(ISNUMBER(F599),ISNUMBER(R599),R599&gt;0),F599/R599,"")</f>
        <v/>
      </c>
      <c r="T599" s="27" t="n">
        <v>46323</v>
      </c>
    </row>
    <row r="600">
      <c r="A600" s="11" t="inlineStr">
        <is>
          <t>W</t>
        </is>
      </c>
      <c r="B600" s="11" t="inlineStr">
        <is>
          <t>Wayfair Inc.</t>
        </is>
      </c>
      <c r="C600" s="11" t="inlineStr">
        <is>
          <t>Internet Retail</t>
        </is>
      </c>
      <c r="D600" s="11" t="inlineStr">
        <is>
          <t>United States</t>
        </is>
      </c>
      <c r="E600" s="12" t="n">
        <v>15.47</v>
      </c>
      <c r="F600" s="13" t="n">
        <v>112.95</v>
      </c>
      <c r="G600" s="13" t="n">
        <v>122.89655</v>
      </c>
      <c r="H600" s="14">
        <f>IF(AND(ISNUMBER(F600),ISNUMBER(G600),F600&gt;0),G600/F600-1,"")</f>
        <v/>
      </c>
      <c r="I600" s="13" t="n">
        <v>80</v>
      </c>
      <c r="J600" s="14">
        <f>IF(AND(ISNUMBER(F600),ISNUMBER(I600),F600&gt;0),I600/F600-1,"")</f>
        <v/>
      </c>
      <c r="K600" s="13" t="n">
        <v>156</v>
      </c>
      <c r="L600" s="14">
        <f>IF(AND(ISNUMBER(F600),ISNUMBER(K600),F600&gt;0),K600/F600-1,"")</f>
        <v/>
      </c>
      <c r="M600" s="15" t="n">
        <v>29</v>
      </c>
      <c r="N600" s="16" t="n"/>
      <c r="O600" s="17">
        <f>IF(AND(ISNUMBER(F600),ISNUMBER(N600),F600&gt;0),N600/F600,"")</f>
        <v/>
      </c>
      <c r="P600" s="18" t="n"/>
      <c r="Q600" s="18" t="n">
        <v>46330</v>
      </c>
      <c r="R600" s="16" t="n">
        <v>-2.47</v>
      </c>
      <c r="S600" s="19">
        <f>IF(AND(ISNUMBER(F600),ISNUMBER(R600),R600&gt;0),F600/R600,"")</f>
        <v/>
      </c>
      <c r="T600" s="18" t="n">
        <v>46323</v>
      </c>
    </row>
    <row r="601">
      <c r="A601" s="20" t="inlineStr">
        <is>
          <t>ALLE</t>
        </is>
      </c>
      <c r="B601" s="20" t="inlineStr">
        <is>
          <t>Allegion plc</t>
        </is>
      </c>
      <c r="C601" s="20" t="inlineStr">
        <is>
          <t>Security &amp; Protection Services</t>
        </is>
      </c>
      <c r="D601" s="20" t="inlineStr">
        <is>
          <t>Ireland</t>
        </is>
      </c>
      <c r="E601" s="21" t="n">
        <v>15.35</v>
      </c>
      <c r="F601" s="22" t="n">
        <v>180.55</v>
      </c>
      <c r="G601" s="22" t="n">
        <v>192.63635</v>
      </c>
      <c r="H601" s="23">
        <f>IF(AND(ISNUMBER(F601),ISNUMBER(G601),F601&gt;0),G601/F601-1,"")</f>
        <v/>
      </c>
      <c r="I601" s="22" t="n">
        <v>170</v>
      </c>
      <c r="J601" s="23">
        <f>IF(AND(ISNUMBER(F601),ISNUMBER(I601),F601&gt;0),I601/F601-1,"")</f>
        <v/>
      </c>
      <c r="K601" s="22" t="n">
        <v>206</v>
      </c>
      <c r="L601" s="23">
        <f>IF(AND(ISNUMBER(F601),ISNUMBER(K601),F601&gt;0),K601/F601-1,"")</f>
        <v/>
      </c>
      <c r="M601" s="24" t="n">
        <v>11</v>
      </c>
      <c r="N601" s="25" t="n">
        <v>2.2</v>
      </c>
      <c r="O601" s="26">
        <f>IF(AND(ISNUMBER(F601),ISNUMBER(N601),F601&gt;0),N601/F601,"")</f>
        <v/>
      </c>
      <c r="P601" s="27" t="n">
        <v>46280</v>
      </c>
      <c r="Q601" s="27" t="n">
        <v>46317</v>
      </c>
      <c r="R601" s="25" t="n">
        <v>8.039999999999999</v>
      </c>
      <c r="S601" s="28">
        <f>IF(AND(ISNUMBER(F601),ISNUMBER(R601),R601&gt;0),F601/R601,"")</f>
        <v/>
      </c>
      <c r="T601" s="27" t="n">
        <v>46323</v>
      </c>
    </row>
    <row r="602">
      <c r="A602" s="11" t="inlineStr">
        <is>
          <t>DOCU</t>
        </is>
      </c>
      <c r="B602" s="11" t="inlineStr">
        <is>
          <t>DocuSign, Inc.</t>
        </is>
      </c>
      <c r="C602" s="11" t="inlineStr">
        <is>
          <t>Software - Application</t>
        </is>
      </c>
      <c r="D602" s="11" t="inlineStr">
        <is>
          <t>United States</t>
        </is>
      </c>
      <c r="E602" s="12" t="n">
        <v>15.33</v>
      </c>
      <c r="F602" s="13" t="n">
        <v>82.04000000000001</v>
      </c>
      <c r="G602" s="13" t="n">
        <v>70.36812</v>
      </c>
      <c r="H602" s="14">
        <f>IF(AND(ISNUMBER(F602),ISNUMBER(G602),F602&gt;0),G602/F602-1,"")</f>
        <v/>
      </c>
      <c r="I602" s="13" t="n">
        <v>46.89</v>
      </c>
      <c r="J602" s="14">
        <f>IF(AND(ISNUMBER(F602),ISNUMBER(I602),F602&gt;0),I602/F602-1,"")</f>
        <v/>
      </c>
      <c r="K602" s="13" t="n">
        <v>86</v>
      </c>
      <c r="L602" s="14">
        <f>IF(AND(ISNUMBER(F602),ISNUMBER(K602),F602&gt;0),K602/F602-1,"")</f>
        <v/>
      </c>
      <c r="M602" s="15" t="n">
        <v>16</v>
      </c>
      <c r="N602" s="16" t="n"/>
      <c r="O602" s="17">
        <f>IF(AND(ISNUMBER(F602),ISNUMBER(N602),F602&gt;0),N602/F602,"")</f>
        <v/>
      </c>
      <c r="P602" s="18" t="n"/>
      <c r="Q602" s="18" t="n">
        <v>46359</v>
      </c>
      <c r="R602" s="16" t="n">
        <v>1.64</v>
      </c>
      <c r="S602" s="19">
        <f>IF(AND(ISNUMBER(F602),ISNUMBER(R602),R602&gt;0),F602/R602,"")</f>
        <v/>
      </c>
      <c r="T602" s="18" t="n">
        <v>46323</v>
      </c>
    </row>
    <row r="603">
      <c r="A603" s="20" t="inlineStr">
        <is>
          <t>YUMC</t>
        </is>
      </c>
      <c r="B603" s="20" t="inlineStr">
        <is>
          <t>Yum China Holdings, Inc.</t>
        </is>
      </c>
      <c r="C603" s="20" t="inlineStr">
        <is>
          <t>Restaurants</t>
        </is>
      </c>
      <c r="D603" s="20" t="inlineStr">
        <is>
          <t>China</t>
        </is>
      </c>
      <c r="E603" s="21" t="n">
        <v>15.3</v>
      </c>
      <c r="F603" s="22" t="n">
        <v>45.43</v>
      </c>
      <c r="G603" s="22" t="n">
        <v>62.165</v>
      </c>
      <c r="H603" s="23">
        <f>IF(AND(ISNUMBER(F603),ISNUMBER(G603),F603&gt;0),G603/F603-1,"")</f>
        <v/>
      </c>
      <c r="I603" s="22" t="n">
        <v>56</v>
      </c>
      <c r="J603" s="23">
        <f>IF(AND(ISNUMBER(F603),ISNUMBER(I603),F603&gt;0),I603/F603-1,"")</f>
        <v/>
      </c>
      <c r="K603" s="22" t="n">
        <v>77</v>
      </c>
      <c r="L603" s="23">
        <f>IF(AND(ISNUMBER(F603),ISNUMBER(K603),F603&gt;0),K603/F603-1,"")</f>
        <v/>
      </c>
      <c r="M603" s="24" t="n">
        <v>20</v>
      </c>
      <c r="N603" s="25" t="n">
        <v>1.16</v>
      </c>
      <c r="O603" s="26">
        <f>IF(AND(ISNUMBER(F603),ISNUMBER(N603),F603&gt;0),N603/F603,"")</f>
        <v/>
      </c>
      <c r="P603" s="27" t="n">
        <v>46261</v>
      </c>
      <c r="Q603" s="27" t="n">
        <v>46329</v>
      </c>
      <c r="R603" s="25" t="n">
        <v>2.73</v>
      </c>
      <c r="S603" s="28">
        <f>IF(AND(ISNUMBER(F603),ISNUMBER(R603),R603&gt;0),F603/R603,"")</f>
        <v/>
      </c>
      <c r="T603" s="27" t="n">
        <v>46323</v>
      </c>
    </row>
    <row r="604">
      <c r="A604" s="11" t="inlineStr">
        <is>
          <t>CX</t>
        </is>
      </c>
      <c r="B604" s="11" t="inlineStr">
        <is>
          <t>Cemex, S.A.B. de C.V. Sponsored</t>
        </is>
      </c>
      <c r="C604" s="11" t="inlineStr">
        <is>
          <t>Building Materials</t>
        </is>
      </c>
      <c r="D604" s="11" t="inlineStr">
        <is>
          <t>Mexico</t>
        </is>
      </c>
      <c r="E604" s="12" t="n">
        <v>15.22</v>
      </c>
      <c r="F604" s="13" t="n">
        <v>10.55</v>
      </c>
      <c r="G604" s="13" t="n">
        <v>14.63667</v>
      </c>
      <c r="H604" s="14">
        <f>IF(AND(ISNUMBER(F604),ISNUMBER(G604),F604&gt;0),G604/F604-1,"")</f>
        <v/>
      </c>
      <c r="I604" s="13" t="n">
        <v>11</v>
      </c>
      <c r="J604" s="14">
        <f>IF(AND(ISNUMBER(F604),ISNUMBER(I604),F604&gt;0),I604/F604-1,"")</f>
        <v/>
      </c>
      <c r="K604" s="13" t="n">
        <v>20</v>
      </c>
      <c r="L604" s="14">
        <f>IF(AND(ISNUMBER(F604),ISNUMBER(K604),F604&gt;0),K604/F604-1,"")</f>
        <v/>
      </c>
      <c r="M604" s="15" t="n">
        <v>15</v>
      </c>
      <c r="N604" s="16" t="n">
        <v>0.12</v>
      </c>
      <c r="O604" s="17">
        <f>IF(AND(ISNUMBER(F604),ISNUMBER(N604),F604&gt;0),N604/F604,"")</f>
        <v/>
      </c>
      <c r="P604" s="18" t="n">
        <v>46280</v>
      </c>
      <c r="Q604" s="18" t="n">
        <v>46321</v>
      </c>
      <c r="R604" s="16" t="n">
        <v>0.03</v>
      </c>
      <c r="S604" s="19">
        <f>IF(AND(ISNUMBER(F604),ISNUMBER(R604),R604&gt;0),F604/R604,"")</f>
        <v/>
      </c>
      <c r="T604" s="18" t="n">
        <v>46323</v>
      </c>
    </row>
    <row r="605">
      <c r="A605" s="20" t="inlineStr">
        <is>
          <t>EVVTY</t>
        </is>
      </c>
      <c r="B605" s="20" t="inlineStr">
        <is>
          <t>Evolution AB</t>
        </is>
      </c>
      <c r="C605" s="20" t="inlineStr">
        <is>
          <t>Gambling</t>
        </is>
      </c>
      <c r="D605" s="20" t="inlineStr">
        <is>
          <t>Sweden</t>
        </is>
      </c>
      <c r="E605" s="21" t="n">
        <v>15.03</v>
      </c>
      <c r="F605" s="22" t="n">
        <v>83.19</v>
      </c>
      <c r="G605" s="22" t="n">
        <v>54</v>
      </c>
      <c r="H605" s="23">
        <f>IF(AND(ISNUMBER(F605),ISNUMBER(G605),F605&gt;0),G605/F605-1,"")</f>
        <v/>
      </c>
      <c r="I605" s="22" t="n">
        <v>54</v>
      </c>
      <c r="J605" s="23">
        <f>IF(AND(ISNUMBER(F605),ISNUMBER(I605),F605&gt;0),I605/F605-1,"")</f>
        <v/>
      </c>
      <c r="K605" s="22" t="n">
        <v>54</v>
      </c>
      <c r="L605" s="23">
        <f>IF(AND(ISNUMBER(F605),ISNUMBER(K605),F605&gt;0),K605/F605-1,"")</f>
        <v/>
      </c>
      <c r="M605" s="24" t="n">
        <v>1</v>
      </c>
      <c r="N605" s="25" t="n"/>
      <c r="O605" s="26">
        <f>IF(AND(ISNUMBER(F605),ISNUMBER(N605),F605&gt;0),N605/F605,"")</f>
        <v/>
      </c>
      <c r="P605" s="27" t="n"/>
      <c r="Q605" s="27" t="n">
        <v>45855</v>
      </c>
      <c r="R605" s="25" t="n">
        <v>6.24</v>
      </c>
      <c r="S605" s="28">
        <f>IF(AND(ISNUMBER(F605),ISNUMBER(R605),R605&gt;0),F605/R605,"")</f>
        <v/>
      </c>
      <c r="T605" s="27" t="n">
        <v>46323</v>
      </c>
    </row>
    <row r="606">
      <c r="A606" s="11" t="inlineStr">
        <is>
          <t>FICO</t>
        </is>
      </c>
      <c r="B606" s="11" t="inlineStr">
        <is>
          <t>Fair Isaac Corporation</t>
        </is>
      </c>
      <c r="C606" s="11" t="inlineStr">
        <is>
          <t>Software - Application</t>
        </is>
      </c>
      <c r="D606" s="11" t="inlineStr">
        <is>
          <t>United States</t>
        </is>
      </c>
      <c r="E606" s="12" t="n">
        <v>14.94</v>
      </c>
      <c r="F606" s="13" t="n">
        <v>691.74</v>
      </c>
      <c r="G606" s="13" t="n">
        <v>936.5247000000001</v>
      </c>
      <c r="H606" s="14">
        <f>IF(AND(ISNUMBER(F606),ISNUMBER(G606),F606&gt;0),G606/F606-1,"")</f>
        <v/>
      </c>
      <c r="I606" s="13" t="n">
        <v>490</v>
      </c>
      <c r="J606" s="14">
        <f>IF(AND(ISNUMBER(F606),ISNUMBER(I606),F606&gt;0),I606/F606-1,"")</f>
        <v/>
      </c>
      <c r="K606" s="13" t="n">
        <v>1675</v>
      </c>
      <c r="L606" s="14">
        <f>IF(AND(ISNUMBER(F606),ISNUMBER(K606),F606&gt;0),K606/F606-1,"")</f>
        <v/>
      </c>
      <c r="M606" s="15" t="n">
        <v>19</v>
      </c>
      <c r="N606" s="16" t="n"/>
      <c r="O606" s="17">
        <f>IF(AND(ISNUMBER(F606),ISNUMBER(N606),F606&gt;0),N606/F606,"")</f>
        <v/>
      </c>
      <c r="P606" s="18" t="n"/>
      <c r="Q606" s="18" t="n">
        <v>46330</v>
      </c>
      <c r="R606" s="16" t="n">
        <v>34.54</v>
      </c>
      <c r="S606" s="19">
        <f>IF(AND(ISNUMBER(F606),ISNUMBER(R606),R606&gt;0),F606/R606,"")</f>
        <v/>
      </c>
      <c r="T606" s="18" t="n">
        <v>46323</v>
      </c>
    </row>
    <row r="607">
      <c r="A607" s="20" t="inlineStr">
        <is>
          <t>EQH</t>
        </is>
      </c>
      <c r="B607" s="20" t="inlineStr">
        <is>
          <t>Equitable Holdings, Inc.</t>
        </is>
      </c>
      <c r="C607" s="20" t="inlineStr">
        <is>
          <t>Asset Management</t>
        </is>
      </c>
      <c r="D607" s="20" t="inlineStr">
        <is>
          <t>United States</t>
        </is>
      </c>
      <c r="E607" s="21" t="n">
        <v>14.89</v>
      </c>
      <c r="F607" s="22" t="n">
        <v>54.59</v>
      </c>
      <c r="G607" s="22" t="n">
        <v>64</v>
      </c>
      <c r="H607" s="23">
        <f>IF(AND(ISNUMBER(F607),ISNUMBER(G607),F607&gt;0),G607/F607-1,"")</f>
        <v/>
      </c>
      <c r="I607" s="22" t="n">
        <v>58</v>
      </c>
      <c r="J607" s="23">
        <f>IF(AND(ISNUMBER(F607),ISNUMBER(I607),F607&gt;0),I607/F607-1,"")</f>
        <v/>
      </c>
      <c r="K607" s="22" t="n">
        <v>68</v>
      </c>
      <c r="L607" s="23">
        <f>IF(AND(ISNUMBER(F607),ISNUMBER(K607),F607&gt;0),K607/F607-1,"")</f>
        <v/>
      </c>
      <c r="M607" s="24" t="n">
        <v>11</v>
      </c>
      <c r="N607" s="25" t="n">
        <v>1.14</v>
      </c>
      <c r="O607" s="26">
        <f>IF(AND(ISNUMBER(F607),ISNUMBER(N607),F607&gt;0),N607/F607,"")</f>
        <v/>
      </c>
      <c r="P607" s="27" t="n">
        <v>46237</v>
      </c>
      <c r="Q607" s="27" t="n">
        <v>46328</v>
      </c>
      <c r="R607" s="25" t="n">
        <v>-3.37</v>
      </c>
      <c r="S607" s="28">
        <f>IF(AND(ISNUMBER(F607),ISNUMBER(R607),R607&gt;0),F607/R607,"")</f>
        <v/>
      </c>
      <c r="T607" s="27" t="n">
        <v>46323</v>
      </c>
    </row>
    <row r="608">
      <c r="A608" s="11" t="inlineStr">
        <is>
          <t>NBIX</t>
        </is>
      </c>
      <c r="B608" s="11" t="inlineStr">
        <is>
          <t>Neurocrine Biosciences, Inc.</t>
        </is>
      </c>
      <c r="C608" s="11" t="inlineStr">
        <is>
          <t>Drug Manufacturers - Specialty &amp; Generic</t>
        </is>
      </c>
      <c r="D608" s="11" t="inlineStr">
        <is>
          <t>United States</t>
        </is>
      </c>
      <c r="E608" s="12" t="n">
        <v>14.84</v>
      </c>
      <c r="F608" s="13" t="n">
        <v>146</v>
      </c>
      <c r="G608" s="13" t="n">
        <v>206.2175</v>
      </c>
      <c r="H608" s="14">
        <f>IF(AND(ISNUMBER(F608),ISNUMBER(G608),F608&gt;0),G608/F608-1,"")</f>
        <v/>
      </c>
      <c r="I608" s="13" t="n">
        <v>150</v>
      </c>
      <c r="J608" s="14">
        <f>IF(AND(ISNUMBER(F608),ISNUMBER(I608),F608&gt;0),I608/F608-1,"")</f>
        <v/>
      </c>
      <c r="K608" s="13" t="n">
        <v>253</v>
      </c>
      <c r="L608" s="14">
        <f>IF(AND(ISNUMBER(F608),ISNUMBER(K608),F608&gt;0),K608/F608-1,"")</f>
        <v/>
      </c>
      <c r="M608" s="15" t="n">
        <v>28</v>
      </c>
      <c r="N608" s="16" t="n"/>
      <c r="O608" s="17">
        <f>IF(AND(ISNUMBER(F608),ISNUMBER(N608),F608&gt;0),N608/F608,"")</f>
        <v/>
      </c>
      <c r="P608" s="18" t="n"/>
      <c r="Q608" s="18" t="n">
        <v>46328</v>
      </c>
      <c r="R608" s="16" t="n">
        <v>6.82</v>
      </c>
      <c r="S608" s="19">
        <f>IF(AND(ISNUMBER(F608),ISNUMBER(R608),R608&gt;0),F608/R608,"")</f>
        <v/>
      </c>
      <c r="T608" s="18" t="n">
        <v>46323</v>
      </c>
    </row>
    <row r="609">
      <c r="A609" s="20" t="inlineStr">
        <is>
          <t>BURL</t>
        </is>
      </c>
      <c r="B609" s="20" t="inlineStr">
        <is>
          <t>Burlington Stores, Inc.</t>
        </is>
      </c>
      <c r="C609" s="20" t="inlineStr">
        <is>
          <t>Apparel Retail</t>
        </is>
      </c>
      <c r="D609" s="20" t="inlineStr">
        <is>
          <t>United States</t>
        </is>
      </c>
      <c r="E609" s="21" t="n">
        <v>14.77</v>
      </c>
      <c r="F609" s="22" t="n">
        <v>235.15</v>
      </c>
      <c r="G609" s="22" t="n">
        <v>366.4375</v>
      </c>
      <c r="H609" s="23">
        <f>IF(AND(ISNUMBER(F609),ISNUMBER(G609),F609&gt;0),G609/F609-1,"")</f>
        <v/>
      </c>
      <c r="I609" s="22" t="n">
        <v>300</v>
      </c>
      <c r="J609" s="23">
        <f>IF(AND(ISNUMBER(F609),ISNUMBER(I609),F609&gt;0),I609/F609-1,"")</f>
        <v/>
      </c>
      <c r="K609" s="22" t="n">
        <v>440</v>
      </c>
      <c r="L609" s="23">
        <f>IF(AND(ISNUMBER(F609),ISNUMBER(K609),F609&gt;0),K609/F609-1,"")</f>
        <v/>
      </c>
      <c r="M609" s="24" t="n">
        <v>16</v>
      </c>
      <c r="N609" s="25" t="n"/>
      <c r="O609" s="26">
        <f>IF(AND(ISNUMBER(F609),ISNUMBER(N609),F609&gt;0),N609/F609,"")</f>
        <v/>
      </c>
      <c r="P609" s="27" t="n"/>
      <c r="Q609" s="27" t="n">
        <v>46353</v>
      </c>
      <c r="R609" s="25" t="n">
        <v>11.13</v>
      </c>
      <c r="S609" s="28">
        <f>IF(AND(ISNUMBER(F609),ISNUMBER(R609),R609&gt;0),F609/R609,"")</f>
        <v/>
      </c>
      <c r="T609" s="27" t="n">
        <v>46323</v>
      </c>
    </row>
    <row r="610">
      <c r="A610" s="11" t="inlineStr">
        <is>
          <t>OHI</t>
        </is>
      </c>
      <c r="B610" s="11" t="inlineStr">
        <is>
          <t>Omega Healthcare Investors, Inc</t>
        </is>
      </c>
      <c r="C610" s="11" t="inlineStr">
        <is>
          <t>Reit - Healthcare Facilities</t>
        </is>
      </c>
      <c r="D610" s="11" t="inlineStr">
        <is>
          <t>United States</t>
        </is>
      </c>
      <c r="E610" s="12" t="n">
        <v>14.73</v>
      </c>
      <c r="F610" s="13" t="n">
        <v>46.13</v>
      </c>
      <c r="G610" s="13" t="n">
        <v>51.36842</v>
      </c>
      <c r="H610" s="14">
        <f>IF(AND(ISNUMBER(F610),ISNUMBER(G610),F610&gt;0),G610/F610-1,"")</f>
        <v/>
      </c>
      <c r="I610" s="13" t="n">
        <v>45</v>
      </c>
      <c r="J610" s="14">
        <f>IF(AND(ISNUMBER(F610),ISNUMBER(I610),F610&gt;0),I610/F610-1,"")</f>
        <v/>
      </c>
      <c r="K610" s="13" t="n">
        <v>61</v>
      </c>
      <c r="L610" s="14">
        <f>IF(AND(ISNUMBER(F610),ISNUMBER(K610),F610&gt;0),K610/F610-1,"")</f>
        <v/>
      </c>
      <c r="M610" s="15" t="n">
        <v>19</v>
      </c>
      <c r="N610" s="16" t="n">
        <v>2.72</v>
      </c>
      <c r="O610" s="17">
        <f>IF(AND(ISNUMBER(F610),ISNUMBER(N610),F610&gt;0),N610/F610,"")</f>
        <v/>
      </c>
      <c r="P610" s="18" t="n">
        <v>46237</v>
      </c>
      <c r="Q610" s="18" t="n">
        <v>46329</v>
      </c>
      <c r="R610" s="16" t="n">
        <v>2.8</v>
      </c>
      <c r="S610" s="19">
        <f>IF(AND(ISNUMBER(F610),ISNUMBER(R610),R610&gt;0),F610/R610,"")</f>
        <v/>
      </c>
      <c r="T610" s="18" t="n">
        <v>46323</v>
      </c>
    </row>
    <row r="611">
      <c r="A611" s="20" t="inlineStr">
        <is>
          <t>TRMB</t>
        </is>
      </c>
      <c r="B611" s="20" t="inlineStr">
        <is>
          <t>Trimble Inc.</t>
        </is>
      </c>
      <c r="C611" s="20" t="inlineStr">
        <is>
          <t>Scientific &amp; Technical Instruments</t>
        </is>
      </c>
      <c r="D611" s="20" t="inlineStr">
        <is>
          <t>United States</t>
        </is>
      </c>
      <c r="E611" s="21" t="n">
        <v>14.73</v>
      </c>
      <c r="F611" s="22" t="n">
        <v>63.16</v>
      </c>
      <c r="G611" s="22" t="n">
        <v>79.40000000000001</v>
      </c>
      <c r="H611" s="23">
        <f>IF(AND(ISNUMBER(F611),ISNUMBER(G611),F611&gt;0),G611/F611-1,"")</f>
        <v/>
      </c>
      <c r="I611" s="22" t="n">
        <v>61</v>
      </c>
      <c r="J611" s="23">
        <f>IF(AND(ISNUMBER(F611),ISNUMBER(I611),F611&gt;0),I611/F611-1,"")</f>
        <v/>
      </c>
      <c r="K611" s="22" t="n">
        <v>94</v>
      </c>
      <c r="L611" s="23">
        <f>IF(AND(ISNUMBER(F611),ISNUMBER(K611),F611&gt;0),K611/F611-1,"")</f>
        <v/>
      </c>
      <c r="M611" s="24" t="n">
        <v>10</v>
      </c>
      <c r="N611" s="25" t="n"/>
      <c r="O611" s="26">
        <f>IF(AND(ISNUMBER(F611),ISNUMBER(N611),F611&gt;0),N611/F611,"")</f>
        <v/>
      </c>
      <c r="P611" s="27" t="n"/>
      <c r="Q611" s="27" t="n">
        <v>46330</v>
      </c>
      <c r="R611" s="25" t="n">
        <v>-0.48</v>
      </c>
      <c r="S611" s="28">
        <f>IF(AND(ISNUMBER(F611),ISNUMBER(R611),R611&gt;0),F611/R611,"")</f>
        <v/>
      </c>
      <c r="T611" s="27" t="n">
        <v>46323</v>
      </c>
    </row>
    <row r="612">
      <c r="A612" s="11" t="inlineStr">
        <is>
          <t>SITM</t>
        </is>
      </c>
      <c r="B612" s="11" t="inlineStr">
        <is>
          <t>SiTime Corporation</t>
        </is>
      </c>
      <c r="C612" s="11" t="inlineStr">
        <is>
          <t>Semiconductors</t>
        </is>
      </c>
      <c r="D612" s="11" t="inlineStr">
        <is>
          <t>United States</t>
        </is>
      </c>
      <c r="E612" s="12" t="n">
        <v>14.71</v>
      </c>
      <c r="F612" s="13" t="n">
        <v>490.94</v>
      </c>
      <c r="G612" s="13" t="n">
        <v>832.2727</v>
      </c>
      <c r="H612" s="14">
        <f>IF(AND(ISNUMBER(F612),ISNUMBER(G612),F612&gt;0),G612/F612-1,"")</f>
        <v/>
      </c>
      <c r="I612" s="13" t="n">
        <v>730</v>
      </c>
      <c r="J612" s="14">
        <f>IF(AND(ISNUMBER(F612),ISNUMBER(I612),F612&gt;0),I612/F612-1,"")</f>
        <v/>
      </c>
      <c r="K612" s="13" t="n">
        <v>900</v>
      </c>
      <c r="L612" s="14">
        <f>IF(AND(ISNUMBER(F612),ISNUMBER(K612),F612&gt;0),K612/F612-1,"")</f>
        <v/>
      </c>
      <c r="M612" s="15" t="n">
        <v>11</v>
      </c>
      <c r="N612" s="16" t="n"/>
      <c r="O612" s="17">
        <f>IF(AND(ISNUMBER(F612),ISNUMBER(N612),F612&gt;0),N612/F612,"")</f>
        <v/>
      </c>
      <c r="P612" s="18" t="n"/>
      <c r="Q612" s="18" t="n">
        <v>46330</v>
      </c>
      <c r="R612" s="16" t="n">
        <v>0.5600000000000001</v>
      </c>
      <c r="S612" s="19">
        <f>IF(AND(ISNUMBER(F612),ISNUMBER(R612),R612&gt;0),F612/R612,"")</f>
        <v/>
      </c>
      <c r="T612" s="18" t="n">
        <v>46323</v>
      </c>
    </row>
    <row r="613">
      <c r="A613" s="20" t="inlineStr">
        <is>
          <t>LSCC</t>
        </is>
      </c>
      <c r="B613" s="20" t="inlineStr">
        <is>
          <t>Lattice Semiconductor Corporati</t>
        </is>
      </c>
      <c r="C613" s="20" t="inlineStr">
        <is>
          <t>Semiconductors</t>
        </is>
      </c>
      <c r="D613" s="20" t="inlineStr">
        <is>
          <t>United States</t>
        </is>
      </c>
      <c r="E613" s="21" t="n">
        <v>14.7</v>
      </c>
      <c r="F613" s="22" t="n">
        <v>103.52</v>
      </c>
      <c r="G613" s="22" t="n">
        <v>158</v>
      </c>
      <c r="H613" s="23">
        <f>IF(AND(ISNUMBER(F613),ISNUMBER(G613),F613&gt;0),G613/F613-1,"")</f>
        <v/>
      </c>
      <c r="I613" s="22" t="n">
        <v>125</v>
      </c>
      <c r="J613" s="23">
        <f>IF(AND(ISNUMBER(F613),ISNUMBER(I613),F613&gt;0),I613/F613-1,"")</f>
        <v/>
      </c>
      <c r="K613" s="22" t="n">
        <v>180</v>
      </c>
      <c r="L613" s="23">
        <f>IF(AND(ISNUMBER(F613),ISNUMBER(K613),F613&gt;0),K613/F613-1,"")</f>
        <v/>
      </c>
      <c r="M613" s="24" t="n">
        <v>13</v>
      </c>
      <c r="N613" s="25" t="n"/>
      <c r="O613" s="26">
        <f>IF(AND(ISNUMBER(F613),ISNUMBER(N613),F613&gt;0),N613/F613,"")</f>
        <v/>
      </c>
      <c r="P613" s="27" t="n"/>
      <c r="Q613" s="27" t="n">
        <v>46328</v>
      </c>
      <c r="R613" s="25" t="n">
        <v>0.25</v>
      </c>
      <c r="S613" s="28">
        <f>IF(AND(ISNUMBER(F613),ISNUMBER(R613),R613&gt;0),F613/R613,"")</f>
        <v/>
      </c>
      <c r="T613" s="27" t="n">
        <v>46323</v>
      </c>
    </row>
    <row r="614">
      <c r="A614" s="11" t="inlineStr">
        <is>
          <t>ARMK</t>
        </is>
      </c>
      <c r="B614" s="11" t="inlineStr">
        <is>
          <t>Aramark</t>
        </is>
      </c>
      <c r="C614" s="11" t="inlineStr">
        <is>
          <t>Specialty Business Services</t>
        </is>
      </c>
      <c r="D614" s="11" t="inlineStr">
        <is>
          <t>United States</t>
        </is>
      </c>
      <c r="E614" s="12" t="n">
        <v>14.64</v>
      </c>
      <c r="F614" s="13" t="n">
        <v>55.52</v>
      </c>
      <c r="G614" s="13" t="n">
        <v>68.53125</v>
      </c>
      <c r="H614" s="14">
        <f>IF(AND(ISNUMBER(F614),ISNUMBER(G614),F614&gt;0),G614/F614-1,"")</f>
        <v/>
      </c>
      <c r="I614" s="13" t="n">
        <v>47</v>
      </c>
      <c r="J614" s="14">
        <f>IF(AND(ISNUMBER(F614),ISNUMBER(I614),F614&gt;0),I614/F614-1,"")</f>
        <v/>
      </c>
      <c r="K614" s="13" t="n">
        <v>75.5</v>
      </c>
      <c r="L614" s="14">
        <f>IF(AND(ISNUMBER(F614),ISNUMBER(K614),F614&gt;0),K614/F614-1,"")</f>
        <v/>
      </c>
      <c r="M614" s="15" t="n">
        <v>16</v>
      </c>
      <c r="N614" s="16" t="n">
        <v>0.48</v>
      </c>
      <c r="O614" s="17">
        <f>IF(AND(ISNUMBER(F614),ISNUMBER(N614),F614&gt;0),N614/F614,"")</f>
        <v/>
      </c>
      <c r="P614" s="18" t="n">
        <v>46253</v>
      </c>
      <c r="Q614" s="18" t="n">
        <v>46342</v>
      </c>
      <c r="R614" s="16" t="n">
        <v>1.43</v>
      </c>
      <c r="S614" s="19">
        <f>IF(AND(ISNUMBER(F614),ISNUMBER(R614),R614&gt;0),F614/R614,"")</f>
        <v/>
      </c>
      <c r="T614" s="18" t="n">
        <v>46323</v>
      </c>
    </row>
    <row r="615">
      <c r="A615" s="20" t="inlineStr">
        <is>
          <t>CDE</t>
        </is>
      </c>
      <c r="B615" s="20" t="inlineStr">
        <is>
          <t>Coeur Mining, Inc.</t>
        </is>
      </c>
      <c r="C615" s="20" t="inlineStr">
        <is>
          <t>Gold</t>
        </is>
      </c>
      <c r="D615" s="20" t="inlineStr">
        <is>
          <t>United States</t>
        </is>
      </c>
      <c r="E615" s="21" t="n">
        <v>14.61</v>
      </c>
      <c r="F615" s="22" t="n">
        <v>14.21</v>
      </c>
      <c r="G615" s="22" t="n">
        <v>23.22727</v>
      </c>
      <c r="H615" s="23">
        <f>IF(AND(ISNUMBER(F615),ISNUMBER(G615),F615&gt;0),G615/F615-1,"")</f>
        <v/>
      </c>
      <c r="I615" s="22" t="n">
        <v>18</v>
      </c>
      <c r="J615" s="23">
        <f>IF(AND(ISNUMBER(F615),ISNUMBER(I615),F615&gt;0),I615/F615-1,"")</f>
        <v/>
      </c>
      <c r="K615" s="22" t="n">
        <v>30</v>
      </c>
      <c r="L615" s="23">
        <f>IF(AND(ISNUMBER(F615),ISNUMBER(K615),F615&gt;0),K615/F615-1,"")</f>
        <v/>
      </c>
      <c r="M615" s="24" t="n">
        <v>11</v>
      </c>
      <c r="N615" s="25" t="n">
        <v>0.04</v>
      </c>
      <c r="O615" s="26">
        <f>IF(AND(ISNUMBER(F615),ISNUMBER(N615),F615&gt;0),N615/F615,"")</f>
        <v/>
      </c>
      <c r="P615" s="27" t="n">
        <v>46164</v>
      </c>
      <c r="Q615" s="27" t="n">
        <v>46330</v>
      </c>
      <c r="R615" s="25" t="n">
        <v>1.17</v>
      </c>
      <c r="S615" s="28">
        <f>IF(AND(ISNUMBER(F615),ISNUMBER(R615),R615&gt;0),F615/R615,"")</f>
        <v/>
      </c>
      <c r="T615" s="27" t="n">
        <v>46323</v>
      </c>
    </row>
    <row r="616">
      <c r="A616" s="11" t="inlineStr">
        <is>
          <t>HALO</t>
        </is>
      </c>
      <c r="B616" s="11" t="inlineStr">
        <is>
          <t>Halozyme Therapeutics, Inc.</t>
        </is>
      </c>
      <c r="C616" s="11" t="inlineStr">
        <is>
          <t>Biotechnology</t>
        </is>
      </c>
      <c r="D616" s="11" t="inlineStr">
        <is>
          <t>United States</t>
        </is>
      </c>
      <c r="E616" s="12" t="n">
        <v>14.58</v>
      </c>
      <c r="F616" s="13" t="n">
        <v>128.5</v>
      </c>
      <c r="G616" s="13" t="n">
        <v>108.77778</v>
      </c>
      <c r="H616" s="14">
        <f>IF(AND(ISNUMBER(F616),ISNUMBER(G616),F616&gt;0),G616/F616-1,"")</f>
        <v/>
      </c>
      <c r="I616" s="13" t="n">
        <v>78</v>
      </c>
      <c r="J616" s="14">
        <f>IF(AND(ISNUMBER(F616),ISNUMBER(I616),F616&gt;0),I616/F616-1,"")</f>
        <v/>
      </c>
      <c r="K616" s="13" t="n">
        <v>130</v>
      </c>
      <c r="L616" s="14">
        <f>IF(AND(ISNUMBER(F616),ISNUMBER(K616),F616&gt;0),K616/F616-1,"")</f>
        <v/>
      </c>
      <c r="M616" s="15" t="n">
        <v>9</v>
      </c>
      <c r="N616" s="16" t="n"/>
      <c r="O616" s="17">
        <f>IF(AND(ISNUMBER(F616),ISNUMBER(N616),F616&gt;0),N616/F616,"")</f>
        <v/>
      </c>
      <c r="P616" s="18" t="n"/>
      <c r="Q616" s="18" t="n">
        <v>46331</v>
      </c>
      <c r="R616" s="16" t="n">
        <v>3.42</v>
      </c>
      <c r="S616" s="19">
        <f>IF(AND(ISNUMBER(F616),ISNUMBER(R616),R616&gt;0),F616/R616,"")</f>
        <v/>
      </c>
      <c r="T616" s="18" t="n">
        <v>46323</v>
      </c>
    </row>
    <row r="617">
      <c r="A617" s="20" t="inlineStr">
        <is>
          <t>GEN</t>
        </is>
      </c>
      <c r="B617" s="20" t="inlineStr">
        <is>
          <t>Gen Digital Inc.</t>
        </is>
      </c>
      <c r="C617" s="20" t="inlineStr">
        <is>
          <t>Software - Infrastructure</t>
        </is>
      </c>
      <c r="D617" s="20" t="inlineStr">
        <is>
          <t>United States</t>
        </is>
      </c>
      <c r="E617" s="21" t="n">
        <v>14.52</v>
      </c>
      <c r="F617" s="22" t="n">
        <v>24.25</v>
      </c>
      <c r="G617" s="22" t="n">
        <v>31.475</v>
      </c>
      <c r="H617" s="23">
        <f>IF(AND(ISNUMBER(F617),ISNUMBER(G617),F617&gt;0),G617/F617-1,"")</f>
        <v/>
      </c>
      <c r="I617" s="22" t="n">
        <v>24</v>
      </c>
      <c r="J617" s="23">
        <f>IF(AND(ISNUMBER(F617),ISNUMBER(I617),F617&gt;0),I617/F617-1,"")</f>
        <v/>
      </c>
      <c r="K617" s="22" t="n">
        <v>46</v>
      </c>
      <c r="L617" s="23">
        <f>IF(AND(ISNUMBER(F617),ISNUMBER(K617),F617&gt;0),K617/F617-1,"")</f>
        <v/>
      </c>
      <c r="M617" s="24" t="n">
        <v>10</v>
      </c>
      <c r="N617" s="25" t="n">
        <v>0.5</v>
      </c>
      <c r="O617" s="26">
        <f>IF(AND(ISNUMBER(F617),ISNUMBER(N617),F617&gt;0),N617/F617,"")</f>
        <v/>
      </c>
      <c r="P617" s="27" t="n">
        <v>46251</v>
      </c>
      <c r="Q617" s="27" t="n">
        <v>46323</v>
      </c>
      <c r="R617" s="25" t="n">
        <v>1.71</v>
      </c>
      <c r="S617" s="28">
        <f>IF(AND(ISNUMBER(F617),ISNUMBER(R617),R617&gt;0),F617/R617,"")</f>
        <v/>
      </c>
      <c r="T617" s="27" t="n">
        <v>46323</v>
      </c>
    </row>
    <row r="618">
      <c r="A618" s="11" t="inlineStr">
        <is>
          <t>FUTU</t>
        </is>
      </c>
      <c r="B618" s="11" t="inlineStr">
        <is>
          <t>Futu Holdings Limited</t>
        </is>
      </c>
      <c r="C618" s="11" t="inlineStr">
        <is>
          <t>Capital Markets</t>
        </is>
      </c>
      <c r="D618" s="11" t="inlineStr">
        <is>
          <t>Hong Kong</t>
        </is>
      </c>
      <c r="E618" s="12" t="n">
        <v>14.35</v>
      </c>
      <c r="F618" s="13" t="n">
        <v>102.36</v>
      </c>
      <c r="G618" s="13" t="n">
        <v>160.95953</v>
      </c>
      <c r="H618" s="14">
        <f>IF(AND(ISNUMBER(F618),ISNUMBER(G618),F618&gt;0),G618/F618-1,"")</f>
        <v/>
      </c>
      <c r="I618" s="13" t="n">
        <v>121.90421</v>
      </c>
      <c r="J618" s="14">
        <f>IF(AND(ISNUMBER(F618),ISNUMBER(I618),F618&gt;0),I618/F618-1,"")</f>
        <v/>
      </c>
      <c r="K618" s="13" t="n">
        <v>236.88942</v>
      </c>
      <c r="L618" s="14">
        <f>IF(AND(ISNUMBER(F618),ISNUMBER(K618),F618&gt;0),K618/F618-1,"")</f>
        <v/>
      </c>
      <c r="M618" s="15" t="n">
        <v>18</v>
      </c>
      <c r="N618" s="16" t="n">
        <v>2.6</v>
      </c>
      <c r="O618" s="17">
        <f>IF(AND(ISNUMBER(F618),ISNUMBER(N618),F618&gt;0),N618/F618,"")</f>
        <v/>
      </c>
      <c r="P618" s="18" t="n">
        <v>46128</v>
      </c>
      <c r="Q618" s="18" t="n">
        <v>46343</v>
      </c>
      <c r="R618" s="16" t="n">
        <v>10.08</v>
      </c>
      <c r="S618" s="19">
        <f>IF(AND(ISNUMBER(F618),ISNUMBER(R618),R618&gt;0),F618/R618,"")</f>
        <v/>
      </c>
      <c r="T618" s="18" t="n">
        <v>46323</v>
      </c>
    </row>
    <row r="619">
      <c r="A619" s="20" t="inlineStr">
        <is>
          <t>MKSI</t>
        </is>
      </c>
      <c r="B619" s="20" t="inlineStr">
        <is>
          <t>MKS Inc.</t>
        </is>
      </c>
      <c r="C619" s="20" t="inlineStr">
        <is>
          <t>Scientific &amp; Technical Instruments</t>
        </is>
      </c>
      <c r="D619" s="20" t="inlineStr">
        <is>
          <t>United States</t>
        </is>
      </c>
      <c r="E619" s="21" t="n">
        <v>14.35</v>
      </c>
      <c r="F619" s="22" t="n">
        <v>212.16</v>
      </c>
      <c r="G619" s="22" t="n">
        <v>406.92856</v>
      </c>
      <c r="H619" s="23">
        <f>IF(AND(ISNUMBER(F619),ISNUMBER(G619),F619&gt;0),G619/F619-1,"")</f>
        <v/>
      </c>
      <c r="I619" s="22" t="n">
        <v>270</v>
      </c>
      <c r="J619" s="23">
        <f>IF(AND(ISNUMBER(F619),ISNUMBER(I619),F619&gt;0),I619/F619-1,"")</f>
        <v/>
      </c>
      <c r="K619" s="22" t="n">
        <v>600</v>
      </c>
      <c r="L619" s="23">
        <f>IF(AND(ISNUMBER(F619),ISNUMBER(K619),F619&gt;0),K619/F619-1,"")</f>
        <v/>
      </c>
      <c r="M619" s="24" t="n">
        <v>14</v>
      </c>
      <c r="N619" s="25" t="n">
        <v>1</v>
      </c>
      <c r="O619" s="26">
        <f>IF(AND(ISNUMBER(F619),ISNUMBER(N619),F619&gt;0),N619/F619,"")</f>
        <v/>
      </c>
      <c r="P619" s="27" t="n">
        <v>46259</v>
      </c>
      <c r="Q619" s="27" t="n">
        <v>46330</v>
      </c>
      <c r="R619" s="25" t="n">
        <v>6.29</v>
      </c>
      <c r="S619" s="28">
        <f>IF(AND(ISNUMBER(F619),ISNUMBER(R619),R619&gt;0),F619/R619,"")</f>
        <v/>
      </c>
      <c r="T619" s="27" t="n">
        <v>46323</v>
      </c>
    </row>
    <row r="620">
      <c r="A620" s="11" t="inlineStr">
        <is>
          <t>AKAM</t>
        </is>
      </c>
      <c r="B620" s="11" t="inlineStr">
        <is>
          <t>Akamai Technologies, Inc.</t>
        </is>
      </c>
      <c r="C620" s="11" t="inlineStr">
        <is>
          <t>Software - Infrastructure</t>
        </is>
      </c>
      <c r="D620" s="11" t="inlineStr">
        <is>
          <t>United States</t>
        </is>
      </c>
      <c r="E620" s="12" t="n">
        <v>14.31</v>
      </c>
      <c r="F620" s="13" t="n">
        <v>99.59</v>
      </c>
      <c r="G620" s="13" t="n">
        <v>154.9641</v>
      </c>
      <c r="H620" s="14">
        <f>IF(AND(ISNUMBER(F620),ISNUMBER(G620),F620&gt;0),G620/F620-1,"")</f>
        <v/>
      </c>
      <c r="I620" s="13" t="n">
        <v>93</v>
      </c>
      <c r="J620" s="14">
        <f>IF(AND(ISNUMBER(F620),ISNUMBER(I620),F620&gt;0),I620/F620-1,"")</f>
        <v/>
      </c>
      <c r="K620" s="13" t="n">
        <v>225</v>
      </c>
      <c r="L620" s="14">
        <f>IF(AND(ISNUMBER(F620),ISNUMBER(K620),F620&gt;0),K620/F620-1,"")</f>
        <v/>
      </c>
      <c r="M620" s="15" t="n">
        <v>22</v>
      </c>
      <c r="N620" s="16" t="n"/>
      <c r="O620" s="17">
        <f>IF(AND(ISNUMBER(F620),ISNUMBER(N620),F620&gt;0),N620/F620,"")</f>
        <v/>
      </c>
      <c r="P620" s="18" t="n"/>
      <c r="Q620" s="18" t="n">
        <v>46331</v>
      </c>
      <c r="R620" s="16" t="n">
        <v>2.76</v>
      </c>
      <c r="S620" s="19">
        <f>IF(AND(ISNUMBER(F620),ISNUMBER(R620),R620&gt;0),F620/R620,"")</f>
        <v/>
      </c>
      <c r="T620" s="18" t="n">
        <v>46323</v>
      </c>
    </row>
    <row r="621">
      <c r="A621" s="20" t="inlineStr">
        <is>
          <t>CRS</t>
        </is>
      </c>
      <c r="B621" s="20" t="inlineStr">
        <is>
          <t>Carpenter Technology Corporatio</t>
        </is>
      </c>
      <c r="C621" s="20" t="inlineStr">
        <is>
          <t>Metal Fabrication</t>
        </is>
      </c>
      <c r="D621" s="20" t="inlineStr">
        <is>
          <t>United States</t>
        </is>
      </c>
      <c r="E621" s="21" t="n">
        <v>14.29</v>
      </c>
      <c r="F621" s="22" t="n">
        <v>288.49</v>
      </c>
      <c r="G621" s="22" t="n">
        <v>438</v>
      </c>
      <c r="H621" s="23">
        <f>IF(AND(ISNUMBER(F621),ISNUMBER(G621),F621&gt;0),G621/F621-1,"")</f>
        <v/>
      </c>
      <c r="I621" s="22" t="n">
        <v>315</v>
      </c>
      <c r="J621" s="23">
        <f>IF(AND(ISNUMBER(F621),ISNUMBER(I621),F621&gt;0),I621/F621-1,"")</f>
        <v/>
      </c>
      <c r="K621" s="22" t="n">
        <v>520</v>
      </c>
      <c r="L621" s="23">
        <f>IF(AND(ISNUMBER(F621),ISNUMBER(K621),F621&gt;0),K621/F621-1,"")</f>
        <v/>
      </c>
      <c r="M621" s="24" t="n">
        <v>7</v>
      </c>
      <c r="N621" s="25" t="n">
        <v>0.8</v>
      </c>
      <c r="O621" s="26">
        <f>IF(AND(ISNUMBER(F621),ISNUMBER(N621),F621&gt;0),N621/F621,"")</f>
        <v/>
      </c>
      <c r="P621" s="27" t="n">
        <v>46315</v>
      </c>
      <c r="Q621" s="27" t="n">
        <v>46317</v>
      </c>
      <c r="R621" s="25" t="n">
        <v>11.34</v>
      </c>
      <c r="S621" s="28">
        <f>IF(AND(ISNUMBER(F621),ISNUMBER(R621),R621&gt;0),F621/R621,"")</f>
        <v/>
      </c>
      <c r="T621" s="27" t="n">
        <v>46323</v>
      </c>
    </row>
    <row r="622">
      <c r="A622" s="11" t="inlineStr">
        <is>
          <t>CART</t>
        </is>
      </c>
      <c r="B622" s="11" t="inlineStr">
        <is>
          <t>Maplebear Inc.</t>
        </is>
      </c>
      <c r="C622" s="11" t="inlineStr">
        <is>
          <t>Internet Retail</t>
        </is>
      </c>
      <c r="D622" s="11" t="inlineStr">
        <is>
          <t>United States</t>
        </is>
      </c>
      <c r="E622" s="12" t="n">
        <v>14.26</v>
      </c>
      <c r="F622" s="13" t="n">
        <v>60.08</v>
      </c>
      <c r="G622" s="13" t="n">
        <v>58.28571</v>
      </c>
      <c r="H622" s="14">
        <f>IF(AND(ISNUMBER(F622),ISNUMBER(G622),F622&gt;0),G622/F622-1,"")</f>
        <v/>
      </c>
      <c r="I622" s="13" t="n">
        <v>45</v>
      </c>
      <c r="J622" s="14">
        <f>IF(AND(ISNUMBER(F622),ISNUMBER(I622),F622&gt;0),I622/F622-1,"")</f>
        <v/>
      </c>
      <c r="K622" s="13" t="n">
        <v>77</v>
      </c>
      <c r="L622" s="14">
        <f>IF(AND(ISNUMBER(F622),ISNUMBER(K622),F622&gt;0),K622/F622-1,"")</f>
        <v/>
      </c>
      <c r="M622" s="15" t="n">
        <v>28</v>
      </c>
      <c r="N622" s="16" t="n"/>
      <c r="O622" s="17">
        <f>IF(AND(ISNUMBER(F622),ISNUMBER(N622),F622&gt;0),N622/F622,"")</f>
        <v/>
      </c>
      <c r="P622" s="18" t="n"/>
      <c r="Q622" s="18" t="n">
        <v>46331</v>
      </c>
      <c r="R622" s="16" t="n">
        <v>1.83</v>
      </c>
      <c r="S622" s="19">
        <f>IF(AND(ISNUMBER(F622),ISNUMBER(R622),R622&gt;0),F622/R622,"")</f>
        <v/>
      </c>
      <c r="T622" s="18" t="n">
        <v>46323</v>
      </c>
    </row>
    <row r="623">
      <c r="A623" s="20" t="inlineStr">
        <is>
          <t>RNR</t>
        </is>
      </c>
      <c r="B623" s="20" t="inlineStr">
        <is>
          <t>RenaissanceRe Holdings Ltd.</t>
        </is>
      </c>
      <c r="C623" s="20" t="inlineStr">
        <is>
          <t>Insurance - Reinsurance</t>
        </is>
      </c>
      <c r="D623" s="20" t="inlineStr">
        <is>
          <t>Bermuda</t>
        </is>
      </c>
      <c r="E623" s="21" t="n">
        <v>14.18</v>
      </c>
      <c r="F623" s="22" t="n">
        <v>341.22</v>
      </c>
      <c r="G623" s="22" t="n">
        <v>347.3125</v>
      </c>
      <c r="H623" s="23">
        <f>IF(AND(ISNUMBER(F623),ISNUMBER(G623),F623&gt;0),G623/F623-1,"")</f>
        <v/>
      </c>
      <c r="I623" s="22" t="n">
        <v>312</v>
      </c>
      <c r="J623" s="23">
        <f>IF(AND(ISNUMBER(F623),ISNUMBER(I623),F623&gt;0),I623/F623-1,"")</f>
        <v/>
      </c>
      <c r="K623" s="22" t="n">
        <v>428</v>
      </c>
      <c r="L623" s="23">
        <f>IF(AND(ISNUMBER(F623),ISNUMBER(K623),F623&gt;0),K623/F623-1,"")</f>
        <v/>
      </c>
      <c r="M623" s="24" t="n">
        <v>16</v>
      </c>
      <c r="N623" s="25" t="n">
        <v>1.64</v>
      </c>
      <c r="O623" s="26">
        <f>IF(AND(ISNUMBER(F623),ISNUMBER(N623),F623&gt;0),N623/F623,"")</f>
        <v/>
      </c>
      <c r="P623" s="27" t="n">
        <v>46280</v>
      </c>
      <c r="Q623" s="27" t="n">
        <v>46322</v>
      </c>
      <c r="R623" s="25" t="n">
        <v>57.91</v>
      </c>
      <c r="S623" s="28">
        <f>IF(AND(ISNUMBER(F623),ISNUMBER(R623),R623&gt;0),F623/R623,"")</f>
        <v/>
      </c>
      <c r="T623" s="27" t="n">
        <v>46323</v>
      </c>
    </row>
    <row r="624">
      <c r="A624" s="11" t="inlineStr">
        <is>
          <t>MTZ</t>
        </is>
      </c>
      <c r="B624" s="11" t="inlineStr">
        <is>
          <t>MasTec, Inc.</t>
        </is>
      </c>
      <c r="C624" s="11" t="inlineStr">
        <is>
          <t>Engineering &amp; Construction</t>
        </is>
      </c>
      <c r="D624" s="11" t="inlineStr">
        <is>
          <t>United States</t>
        </is>
      </c>
      <c r="E624" s="12" t="n">
        <v>14.17</v>
      </c>
      <c r="F624" s="13" t="n">
        <v>176.5</v>
      </c>
      <c r="G624" s="13" t="n">
        <v>360.14285</v>
      </c>
      <c r="H624" s="14">
        <f>IF(AND(ISNUMBER(F624),ISNUMBER(G624),F624&gt;0),G624/F624-1,"")</f>
        <v/>
      </c>
      <c r="I624" s="13" t="n">
        <v>240</v>
      </c>
      <c r="J624" s="14">
        <f>IF(AND(ISNUMBER(F624),ISNUMBER(I624),F624&gt;0),I624/F624-1,"")</f>
        <v/>
      </c>
      <c r="K624" s="13" t="n">
        <v>518</v>
      </c>
      <c r="L624" s="14">
        <f>IF(AND(ISNUMBER(F624),ISNUMBER(K624),F624&gt;0),K624/F624-1,"")</f>
        <v/>
      </c>
      <c r="M624" s="15" t="n">
        <v>21</v>
      </c>
      <c r="N624" s="16" t="n"/>
      <c r="O624" s="17">
        <f>IF(AND(ISNUMBER(F624),ISNUMBER(N624),F624&gt;0),N624/F624,"")</f>
        <v/>
      </c>
      <c r="P624" s="18" t="n"/>
      <c r="Q624" s="18" t="n">
        <v>46324</v>
      </c>
      <c r="R624" s="16" t="n">
        <v>6.33</v>
      </c>
      <c r="S624" s="19">
        <f>IF(AND(ISNUMBER(F624),ISNUMBER(R624),R624&gt;0),F624/R624,"")</f>
        <v/>
      </c>
      <c r="T624" s="18" t="n">
        <v>46323</v>
      </c>
    </row>
    <row r="625">
      <c r="A625" s="20" t="inlineStr">
        <is>
          <t>IONQ</t>
        </is>
      </c>
      <c r="B625" s="20" t="inlineStr">
        <is>
          <t>IonQ, Inc.</t>
        </is>
      </c>
      <c r="C625" s="20" t="inlineStr">
        <is>
          <t>Computer Hardware</t>
        </is>
      </c>
      <c r="D625" s="20" t="inlineStr">
        <is>
          <t>United States</t>
        </is>
      </c>
      <c r="E625" s="21" t="n">
        <v>14.15</v>
      </c>
      <c r="F625" s="22" t="n">
        <v>32.95</v>
      </c>
      <c r="G625" s="22" t="n">
        <v>64.06071</v>
      </c>
      <c r="H625" s="23">
        <f>IF(AND(ISNUMBER(F625),ISNUMBER(G625),F625&gt;0),G625/F625-1,"")</f>
        <v/>
      </c>
      <c r="I625" s="22" t="n">
        <v>41.85</v>
      </c>
      <c r="J625" s="23">
        <f>IF(AND(ISNUMBER(F625),ISNUMBER(I625),F625&gt;0),I625/F625-1,"")</f>
        <v/>
      </c>
      <c r="K625" s="22" t="n">
        <v>100</v>
      </c>
      <c r="L625" s="23">
        <f>IF(AND(ISNUMBER(F625),ISNUMBER(K625),F625&gt;0),K625/F625-1,"")</f>
        <v/>
      </c>
      <c r="M625" s="24" t="n">
        <v>14</v>
      </c>
      <c r="N625" s="25" t="n"/>
      <c r="O625" s="26">
        <f>IF(AND(ISNUMBER(F625),ISNUMBER(N625),F625&gt;0),N625/F625,"")</f>
        <v/>
      </c>
      <c r="P625" s="27" t="n"/>
      <c r="Q625" s="27" t="n">
        <v>46331</v>
      </c>
      <c r="R625" s="25" t="n">
        <v>-3.43</v>
      </c>
      <c r="S625" s="28">
        <f>IF(AND(ISNUMBER(F625),ISNUMBER(R625),R625&gt;0),F625/R625,"")</f>
        <v/>
      </c>
      <c r="T625" s="27" t="n">
        <v>46323</v>
      </c>
    </row>
    <row r="626">
      <c r="A626" s="11" t="inlineStr">
        <is>
          <t>SOLV</t>
        </is>
      </c>
      <c r="B626" s="11" t="inlineStr">
        <is>
          <t>Solventum Corporation</t>
        </is>
      </c>
      <c r="C626" s="11" t="inlineStr">
        <is>
          <t>Medical Instruments &amp; Supplies</t>
        </is>
      </c>
      <c r="D626" s="11" t="inlineStr">
        <is>
          <t>United States</t>
        </is>
      </c>
      <c r="E626" s="12" t="n">
        <v>14.13</v>
      </c>
      <c r="F626" s="13" t="n">
        <v>82.98</v>
      </c>
      <c r="G626" s="13" t="n">
        <v>94.69231000000001</v>
      </c>
      <c r="H626" s="14">
        <f>IF(AND(ISNUMBER(F626),ISNUMBER(G626),F626&gt;0),G626/F626-1,"")</f>
        <v/>
      </c>
      <c r="I626" s="13" t="n">
        <v>71</v>
      </c>
      <c r="J626" s="14">
        <f>IF(AND(ISNUMBER(F626),ISNUMBER(I626),F626&gt;0),I626/F626-1,"")</f>
        <v/>
      </c>
      <c r="K626" s="13" t="n">
        <v>113</v>
      </c>
      <c r="L626" s="14">
        <f>IF(AND(ISNUMBER(F626),ISNUMBER(K626),F626&gt;0),K626/F626-1,"")</f>
        <v/>
      </c>
      <c r="M626" s="15" t="n">
        <v>13</v>
      </c>
      <c r="N626" s="16" t="n"/>
      <c r="O626" s="17">
        <f>IF(AND(ISNUMBER(F626),ISNUMBER(N626),F626&gt;0),N626/F626,"")</f>
        <v/>
      </c>
      <c r="P626" s="18" t="n"/>
      <c r="Q626" s="18" t="n">
        <v>46331</v>
      </c>
      <c r="R626" s="16" t="n">
        <v>8.17</v>
      </c>
      <c r="S626" s="19">
        <f>IF(AND(ISNUMBER(F626),ISNUMBER(R626),R626&gt;0),F626/R626,"")</f>
        <v/>
      </c>
      <c r="T626" s="18" t="n">
        <v>46323</v>
      </c>
    </row>
    <row r="627">
      <c r="A627" s="20" t="inlineStr">
        <is>
          <t>AIZ</t>
        </is>
      </c>
      <c r="B627" s="20" t="inlineStr">
        <is>
          <t>Assurant, Inc.</t>
        </is>
      </c>
      <c r="C627" s="20" t="inlineStr">
        <is>
          <t>Insurance - Property &amp; Casualty</t>
        </is>
      </c>
      <c r="D627" s="20" t="inlineStr">
        <is>
          <t>United States</t>
        </is>
      </c>
      <c r="E627" s="21" t="n">
        <v>14.12</v>
      </c>
      <c r="F627" s="22" t="n">
        <v>286.3</v>
      </c>
      <c r="G627" s="22" t="n">
        <v>326.66666</v>
      </c>
      <c r="H627" s="23">
        <f>IF(AND(ISNUMBER(F627),ISNUMBER(G627),F627&gt;0),G627/F627-1,"")</f>
        <v/>
      </c>
      <c r="I627" s="22" t="n">
        <v>300</v>
      </c>
      <c r="J627" s="23">
        <f>IF(AND(ISNUMBER(F627),ISNUMBER(I627),F627&gt;0),I627/F627-1,"")</f>
        <v/>
      </c>
      <c r="K627" s="22" t="n">
        <v>355</v>
      </c>
      <c r="L627" s="23">
        <f>IF(AND(ISNUMBER(F627),ISNUMBER(K627),F627&gt;0),K627/F627-1,"")</f>
        <v/>
      </c>
      <c r="M627" s="24" t="n">
        <v>6</v>
      </c>
      <c r="N627" s="25" t="n">
        <v>3.52</v>
      </c>
      <c r="O627" s="26">
        <f>IF(AND(ISNUMBER(F627),ISNUMBER(N627),F627&gt;0),N627/F627,"")</f>
        <v/>
      </c>
      <c r="P627" s="27" t="n">
        <v>46265</v>
      </c>
      <c r="Q627" s="27" t="n">
        <v>46329</v>
      </c>
      <c r="R627" s="25" t="n">
        <v>20.89</v>
      </c>
      <c r="S627" s="28">
        <f>IF(AND(ISNUMBER(F627),ISNUMBER(R627),R627&gt;0),F627/R627,"")</f>
        <v/>
      </c>
      <c r="T627" s="27" t="n">
        <v>46323</v>
      </c>
    </row>
    <row r="628">
      <c r="A628" s="11" t="inlineStr">
        <is>
          <t>UNM</t>
        </is>
      </c>
      <c r="B628" s="11" t="inlineStr">
        <is>
          <t>Unum Group</t>
        </is>
      </c>
      <c r="C628" s="11" t="inlineStr">
        <is>
          <t>Insurance - Life</t>
        </is>
      </c>
      <c r="D628" s="11" t="inlineStr">
        <is>
          <t>United States</t>
        </is>
      </c>
      <c r="E628" s="12" t="n">
        <v>14.11</v>
      </c>
      <c r="F628" s="13" t="n">
        <v>89.16</v>
      </c>
      <c r="G628" s="13" t="n">
        <v>102.15385</v>
      </c>
      <c r="H628" s="14">
        <f>IF(AND(ISNUMBER(F628),ISNUMBER(G628),F628&gt;0),G628/F628-1,"")</f>
        <v/>
      </c>
      <c r="I628" s="13" t="n">
        <v>92</v>
      </c>
      <c r="J628" s="14">
        <f>IF(AND(ISNUMBER(F628),ISNUMBER(I628),F628&gt;0),I628/F628-1,"")</f>
        <v/>
      </c>
      <c r="K628" s="13" t="n">
        <v>122</v>
      </c>
      <c r="L628" s="14">
        <f>IF(AND(ISNUMBER(F628),ISNUMBER(K628),F628&gt;0),K628/F628-1,"")</f>
        <v/>
      </c>
      <c r="M628" s="15" t="n">
        <v>13</v>
      </c>
      <c r="N628" s="16" t="n">
        <v>2.02</v>
      </c>
      <c r="O628" s="17">
        <f>IF(AND(ISNUMBER(F628),ISNUMBER(N628),F628&gt;0),N628/F628,"")</f>
        <v/>
      </c>
      <c r="P628" s="18" t="n">
        <v>46325</v>
      </c>
      <c r="Q628" s="18" t="n">
        <v>46329</v>
      </c>
      <c r="R628" s="16" t="n">
        <v>4.28</v>
      </c>
      <c r="S628" s="19">
        <f>IF(AND(ISNUMBER(F628),ISNUMBER(R628),R628&gt;0),F628/R628,"")</f>
        <v/>
      </c>
      <c r="T628" s="18" t="n">
        <v>46323</v>
      </c>
    </row>
    <row r="629">
      <c r="A629" s="20" t="inlineStr">
        <is>
          <t>IT</t>
        </is>
      </c>
      <c r="B629" s="20" t="inlineStr">
        <is>
          <t>Gartner, Inc.</t>
        </is>
      </c>
      <c r="C629" s="20" t="inlineStr">
        <is>
          <t>Information Technology Services</t>
        </is>
      </c>
      <c r="D629" s="20" t="inlineStr">
        <is>
          <t>United States</t>
        </is>
      </c>
      <c r="E629" s="21" t="n">
        <v>13.95</v>
      </c>
      <c r="F629" s="22" t="n">
        <v>220.93</v>
      </c>
      <c r="G629" s="22" t="n">
        <v>193.76923</v>
      </c>
      <c r="H629" s="23">
        <f>IF(AND(ISNUMBER(F629),ISNUMBER(G629),F629&gt;0),G629/F629-1,"")</f>
        <v/>
      </c>
      <c r="I629" s="22" t="n">
        <v>150</v>
      </c>
      <c r="J629" s="23">
        <f>IF(AND(ISNUMBER(F629),ISNUMBER(I629),F629&gt;0),I629/F629-1,"")</f>
        <v/>
      </c>
      <c r="K629" s="22" t="n">
        <v>235</v>
      </c>
      <c r="L629" s="23">
        <f>IF(AND(ISNUMBER(F629),ISNUMBER(K629),F629&gt;0),K629/F629-1,"")</f>
        <v/>
      </c>
      <c r="M629" s="24" t="n">
        <v>13</v>
      </c>
      <c r="N629" s="25" t="n"/>
      <c r="O629" s="26">
        <f>IF(AND(ISNUMBER(F629),ISNUMBER(N629),F629&gt;0),N629/F629,"")</f>
        <v/>
      </c>
      <c r="P629" s="27" t="n"/>
      <c r="Q629" s="27" t="n">
        <v>46329</v>
      </c>
      <c r="R629" s="25" t="n">
        <v>11.06</v>
      </c>
      <c r="S629" s="28">
        <f>IF(AND(ISNUMBER(F629),ISNUMBER(R629),R629&gt;0),F629/R629,"")</f>
        <v/>
      </c>
      <c r="T629" s="27" t="n">
        <v>46323</v>
      </c>
    </row>
    <row r="630">
      <c r="A630" s="11" t="inlineStr">
        <is>
          <t>DKS</t>
        </is>
      </c>
      <c r="B630" s="11" t="inlineStr">
        <is>
          <t>Dick's Sporting Goods Inc</t>
        </is>
      </c>
      <c r="C630" s="11" t="inlineStr">
        <is>
          <t>Specialty Retail</t>
        </is>
      </c>
      <c r="D630" s="11" t="inlineStr">
        <is>
          <t>United States</t>
        </is>
      </c>
      <c r="E630" s="12" t="n">
        <v>13.94</v>
      </c>
      <c r="F630" s="13" t="n">
        <v>141.5</v>
      </c>
      <c r="G630" s="13" t="n">
        <v>160.83043</v>
      </c>
      <c r="H630" s="14">
        <f>IF(AND(ISNUMBER(F630),ISNUMBER(G630),F630&gt;0),G630/F630-1,"")</f>
        <v/>
      </c>
      <c r="I630" s="13" t="n">
        <v>99</v>
      </c>
      <c r="J630" s="14">
        <f>IF(AND(ISNUMBER(F630),ISNUMBER(I630),F630&gt;0),I630/F630-1,"")</f>
        <v/>
      </c>
      <c r="K630" s="13" t="n">
        <v>205</v>
      </c>
      <c r="L630" s="14">
        <f>IF(AND(ISNUMBER(F630),ISNUMBER(K630),F630&gt;0),K630/F630-1,"")</f>
        <v/>
      </c>
      <c r="M630" s="15" t="n">
        <v>23</v>
      </c>
      <c r="N630" s="16" t="n">
        <v>5</v>
      </c>
      <c r="O630" s="17">
        <f>IF(AND(ISNUMBER(F630),ISNUMBER(N630),F630&gt;0),N630/F630,"")</f>
        <v/>
      </c>
      <c r="P630" s="18" t="n">
        <v>46276</v>
      </c>
      <c r="Q630" s="18" t="n">
        <v>46350</v>
      </c>
      <c r="R630" s="16" t="n">
        <v>9.210000000000001</v>
      </c>
      <c r="S630" s="19">
        <f>IF(AND(ISNUMBER(F630),ISNUMBER(R630),R630&gt;0),F630/R630,"")</f>
        <v/>
      </c>
      <c r="T630" s="18" t="n">
        <v>46323</v>
      </c>
    </row>
    <row r="631">
      <c r="A631" s="20" t="inlineStr">
        <is>
          <t>GWRE</t>
        </is>
      </c>
      <c r="B631" s="20" t="inlineStr">
        <is>
          <t>Guidewire Software, Inc.</t>
        </is>
      </c>
      <c r="C631" s="20" t="inlineStr">
        <is>
          <t>Software - Application</t>
        </is>
      </c>
      <c r="D631" s="20" t="inlineStr">
        <is>
          <t>United States</t>
        </is>
      </c>
      <c r="E631" s="21" t="n">
        <v>13.87</v>
      </c>
      <c r="F631" s="22" t="n">
        <v>169.15</v>
      </c>
      <c r="G631" s="22" t="n">
        <v>213.2857</v>
      </c>
      <c r="H631" s="23">
        <f>IF(AND(ISNUMBER(F631),ISNUMBER(G631),F631&gt;0),G631/F631-1,"")</f>
        <v/>
      </c>
      <c r="I631" s="22" t="n">
        <v>170</v>
      </c>
      <c r="J631" s="23">
        <f>IF(AND(ISNUMBER(F631),ISNUMBER(I631),F631&gt;0),I631/F631-1,"")</f>
        <v/>
      </c>
      <c r="K631" s="22" t="n">
        <v>258</v>
      </c>
      <c r="L631" s="23">
        <f>IF(AND(ISNUMBER(F631),ISNUMBER(K631),F631&gt;0),K631/F631-1,"")</f>
        <v/>
      </c>
      <c r="M631" s="24" t="n">
        <v>14</v>
      </c>
      <c r="N631" s="25" t="n"/>
      <c r="O631" s="26">
        <f>IF(AND(ISNUMBER(F631),ISNUMBER(N631),F631&gt;0),N631/F631,"")</f>
        <v/>
      </c>
      <c r="P631" s="27" t="n"/>
      <c r="Q631" s="27" t="n">
        <v>46359</v>
      </c>
      <c r="R631" s="25" t="n">
        <v>1.63</v>
      </c>
      <c r="S631" s="28">
        <f>IF(AND(ISNUMBER(F631),ISNUMBER(R631),R631&gt;0),F631/R631,"")</f>
        <v/>
      </c>
      <c r="T631" s="27" t="n">
        <v>46323</v>
      </c>
    </row>
    <row r="632">
      <c r="A632" s="11" t="inlineStr">
        <is>
          <t>TME</t>
        </is>
      </c>
      <c r="B632" s="11" t="inlineStr">
        <is>
          <t>Tencent Music Entertainment Gro</t>
        </is>
      </c>
      <c r="C632" s="11" t="inlineStr">
        <is>
          <t>Internet Content &amp; Information</t>
        </is>
      </c>
      <c r="D632" s="11" t="inlineStr">
        <is>
          <t>China</t>
        </is>
      </c>
      <c r="E632" s="12" t="n">
        <v>13.84</v>
      </c>
      <c r="F632" s="13" t="n">
        <v>8.49</v>
      </c>
      <c r="G632" s="13" t="n">
        <v>12.688244</v>
      </c>
      <c r="H632" s="14">
        <f>IF(AND(ISNUMBER(F632),ISNUMBER(G632),F632&gt;0),G632/F632-1,"")</f>
        <v/>
      </c>
      <c r="I632" s="13" t="n">
        <v>9.105377000000001</v>
      </c>
      <c r="J632" s="14">
        <f>IF(AND(ISNUMBER(F632),ISNUMBER(I632),F632&gt;0),I632/F632-1,"")</f>
        <v/>
      </c>
      <c r="K632" s="13" t="n">
        <v>24.164103</v>
      </c>
      <c r="L632" s="14">
        <f>IF(AND(ISNUMBER(F632),ISNUMBER(K632),F632&gt;0),K632/F632-1,"")</f>
        <v/>
      </c>
      <c r="M632" s="15" t="n">
        <v>28</v>
      </c>
      <c r="N632" s="16" t="n">
        <v>0.24</v>
      </c>
      <c r="O632" s="17">
        <f>IF(AND(ISNUMBER(F632),ISNUMBER(N632),F632&gt;0),N632/F632,"")</f>
        <v/>
      </c>
      <c r="P632" s="18" t="n">
        <v>46114</v>
      </c>
      <c r="Q632" s="18" t="n">
        <v>46343</v>
      </c>
      <c r="R632" s="16" t="n">
        <v>0.82</v>
      </c>
      <c r="S632" s="19">
        <f>IF(AND(ISNUMBER(F632),ISNUMBER(R632),R632&gt;0),F632/R632,"")</f>
        <v/>
      </c>
      <c r="T632" s="18" t="n">
        <v>46323</v>
      </c>
    </row>
    <row r="633">
      <c r="A633" s="20" t="inlineStr">
        <is>
          <t>JLL</t>
        </is>
      </c>
      <c r="B633" s="20" t="inlineStr">
        <is>
          <t>Jones Lang LaSalle Incorporated</t>
        </is>
      </c>
      <c r="C633" s="20" t="inlineStr">
        <is>
          <t>Real Estate Services</t>
        </is>
      </c>
      <c r="D633" s="20" t="inlineStr">
        <is>
          <t>United States</t>
        </is>
      </c>
      <c r="E633" s="21" t="n">
        <v>13.8</v>
      </c>
      <c r="F633" s="22" t="n">
        <v>299.93</v>
      </c>
      <c r="G633" s="22" t="n">
        <v>406.8</v>
      </c>
      <c r="H633" s="23">
        <f>IF(AND(ISNUMBER(F633),ISNUMBER(G633),F633&gt;0),G633/F633-1,"")</f>
        <v/>
      </c>
      <c r="I633" s="22" t="n">
        <v>332</v>
      </c>
      <c r="J633" s="23">
        <f>IF(AND(ISNUMBER(F633),ISNUMBER(I633),F633&gt;0),I633/F633-1,"")</f>
        <v/>
      </c>
      <c r="K633" s="22" t="n">
        <v>447</v>
      </c>
      <c r="L633" s="23">
        <f>IF(AND(ISNUMBER(F633),ISNUMBER(K633),F633&gt;0),K633/F633-1,"")</f>
        <v/>
      </c>
      <c r="M633" s="24" t="n">
        <v>10</v>
      </c>
      <c r="N633" s="25" t="n"/>
      <c r="O633" s="26">
        <f>IF(AND(ISNUMBER(F633),ISNUMBER(N633),F633&gt;0),N633/F633,"")</f>
        <v/>
      </c>
      <c r="P633" s="27" t="n"/>
      <c r="Q633" s="27" t="n">
        <v>46323</v>
      </c>
      <c r="R633" s="25" t="n">
        <v>20.85</v>
      </c>
      <c r="S633" s="28">
        <f>IF(AND(ISNUMBER(F633),ISNUMBER(R633),R633&gt;0),F633/R633,"")</f>
        <v/>
      </c>
      <c r="T633" s="27" t="n">
        <v>46323</v>
      </c>
    </row>
    <row r="634">
      <c r="A634" s="11" t="inlineStr">
        <is>
          <t>AVY</t>
        </is>
      </c>
      <c r="B634" s="11" t="inlineStr">
        <is>
          <t>Avery Dennison Corporation</t>
        </is>
      </c>
      <c r="C634" s="11" t="inlineStr">
        <is>
          <t>Packaging &amp; Containers</t>
        </is>
      </c>
      <c r="D634" s="11" t="inlineStr">
        <is>
          <t>United States</t>
        </is>
      </c>
      <c r="E634" s="12" t="n">
        <v>13.77</v>
      </c>
      <c r="F634" s="13" t="n">
        <v>181.71</v>
      </c>
      <c r="G634" s="13" t="n">
        <v>199.5</v>
      </c>
      <c r="H634" s="14">
        <f>IF(AND(ISNUMBER(F634),ISNUMBER(G634),F634&gt;0),G634/F634-1,"")</f>
        <v/>
      </c>
      <c r="I634" s="13" t="n">
        <v>181</v>
      </c>
      <c r="J634" s="14">
        <f>IF(AND(ISNUMBER(F634),ISNUMBER(I634),F634&gt;0),I634/F634-1,"")</f>
        <v/>
      </c>
      <c r="K634" s="13" t="n">
        <v>225</v>
      </c>
      <c r="L634" s="14">
        <f>IF(AND(ISNUMBER(F634),ISNUMBER(K634),F634&gt;0),K634/F634-1,"")</f>
        <v/>
      </c>
      <c r="M634" s="15" t="n">
        <v>10</v>
      </c>
      <c r="N634" s="16" t="n">
        <v>4</v>
      </c>
      <c r="O634" s="17">
        <f>IF(AND(ISNUMBER(F634),ISNUMBER(N634),F634&gt;0),N634/F634,"")</f>
        <v/>
      </c>
      <c r="P634" s="18" t="n">
        <v>46358</v>
      </c>
      <c r="Q634" s="18" t="n">
        <v>46324</v>
      </c>
      <c r="R634" s="16" t="n">
        <v>9.130000000000001</v>
      </c>
      <c r="S634" s="19">
        <f>IF(AND(ISNUMBER(F634),ISNUMBER(R634),R634&gt;0),F634/R634,"")</f>
        <v/>
      </c>
      <c r="T634" s="18" t="n">
        <v>46323</v>
      </c>
    </row>
    <row r="635">
      <c r="A635" s="20" t="inlineStr">
        <is>
          <t>SUN</t>
        </is>
      </c>
      <c r="B635" s="20" t="inlineStr">
        <is>
          <t>Sunoco LP</t>
        </is>
      </c>
      <c r="C635" s="20" t="inlineStr">
        <is>
          <t>Oil &amp; Gas Refining &amp; Marketing</t>
        </is>
      </c>
      <c r="D635" s="20" t="inlineStr">
        <is>
          <t>United States</t>
        </is>
      </c>
      <c r="E635" s="21" t="n">
        <v>13.74</v>
      </c>
      <c r="F635" s="22" t="n">
        <v>72.94</v>
      </c>
      <c r="G635" s="22" t="n">
        <v>83.42856999999999</v>
      </c>
      <c r="H635" s="23">
        <f>IF(AND(ISNUMBER(F635),ISNUMBER(G635),F635&gt;0),G635/F635-1,"")</f>
        <v/>
      </c>
      <c r="I635" s="22" t="n">
        <v>78</v>
      </c>
      <c r="J635" s="23">
        <f>IF(AND(ISNUMBER(F635),ISNUMBER(I635),F635&gt;0),I635/F635-1,"")</f>
        <v/>
      </c>
      <c r="K635" s="22" t="n">
        <v>90</v>
      </c>
      <c r="L635" s="23">
        <f>IF(AND(ISNUMBER(F635),ISNUMBER(K635),F635&gt;0),K635/F635-1,"")</f>
        <v/>
      </c>
      <c r="M635" s="24" t="n">
        <v>7</v>
      </c>
      <c r="N635" s="25" t="n">
        <v>4.01</v>
      </c>
      <c r="O635" s="26">
        <f>IF(AND(ISNUMBER(F635),ISNUMBER(N635),F635&gt;0),N635/F635,"")</f>
        <v/>
      </c>
      <c r="P635" s="27" t="n">
        <v>46241</v>
      </c>
      <c r="Q635" s="27" t="n">
        <v>46329</v>
      </c>
      <c r="R635" s="25" t="n">
        <v>4.53</v>
      </c>
      <c r="S635" s="28">
        <f>IF(AND(ISNUMBER(F635),ISNUMBER(R635),R635&gt;0),F635/R635,"")</f>
        <v/>
      </c>
      <c r="T635" s="27" t="n">
        <v>46323</v>
      </c>
    </row>
    <row r="636">
      <c r="A636" s="11" t="inlineStr">
        <is>
          <t>MANH</t>
        </is>
      </c>
      <c r="B636" s="11" t="inlineStr">
        <is>
          <t>Manhattan Associates, Inc.</t>
        </is>
      </c>
      <c r="C636" s="11" t="inlineStr">
        <is>
          <t>Software - Application</t>
        </is>
      </c>
      <c r="D636" s="11" t="inlineStr">
        <is>
          <t>United States</t>
        </is>
      </c>
      <c r="E636" s="12" t="n">
        <v>13.64</v>
      </c>
      <c r="F636" s="13" t="n">
        <v>233.98</v>
      </c>
      <c r="G636" s="13" t="n">
        <v>235.9</v>
      </c>
      <c r="H636" s="14">
        <f>IF(AND(ISNUMBER(F636),ISNUMBER(G636),F636&gt;0),G636/F636-1,"")</f>
        <v/>
      </c>
      <c r="I636" s="13" t="n">
        <v>190</v>
      </c>
      <c r="J636" s="14">
        <f>IF(AND(ISNUMBER(F636),ISNUMBER(I636),F636&gt;0),I636/F636-1,"")</f>
        <v/>
      </c>
      <c r="K636" s="13" t="n">
        <v>260</v>
      </c>
      <c r="L636" s="14">
        <f>IF(AND(ISNUMBER(F636),ISNUMBER(K636),F636&gt;0),K636/F636-1,"")</f>
        <v/>
      </c>
      <c r="M636" s="15" t="n">
        <v>10</v>
      </c>
      <c r="N636" s="16" t="n"/>
      <c r="O636" s="17">
        <f>IF(AND(ISNUMBER(F636),ISNUMBER(N636),F636&gt;0),N636/F636,"")</f>
        <v/>
      </c>
      <c r="P636" s="18" t="n"/>
      <c r="Q636" s="18" t="n">
        <v>46322</v>
      </c>
      <c r="R636" s="16" t="n">
        <v>3.51</v>
      </c>
      <c r="S636" s="19">
        <f>IF(AND(ISNUMBER(F636),ISNUMBER(R636),R636&gt;0),F636/R636,"")</f>
        <v/>
      </c>
      <c r="T636" s="18" t="n">
        <v>46323</v>
      </c>
    </row>
    <row r="637">
      <c r="A637" s="20" t="inlineStr">
        <is>
          <t>CHTR</t>
        </is>
      </c>
      <c r="B637" s="20" t="inlineStr">
        <is>
          <t>Charter Communications, Inc.</t>
        </is>
      </c>
      <c r="C637" s="20" t="inlineStr">
        <is>
          <t>Telecom Services</t>
        </is>
      </c>
      <c r="D637" s="20" t="inlineStr">
        <is>
          <t>United States</t>
        </is>
      </c>
      <c r="E637" s="21" t="n">
        <v>13.64</v>
      </c>
      <c r="F637" s="22" t="n">
        <v>104.93</v>
      </c>
      <c r="G637" s="22" t="n">
        <v>173.16667</v>
      </c>
      <c r="H637" s="23">
        <f>IF(AND(ISNUMBER(F637),ISNUMBER(G637),F637&gt;0),G637/F637-1,"")</f>
        <v/>
      </c>
      <c r="I637" s="22" t="n">
        <v>68</v>
      </c>
      <c r="J637" s="23">
        <f>IF(AND(ISNUMBER(F637),ISNUMBER(I637),F637&gt;0),I637/F637-1,"")</f>
        <v/>
      </c>
      <c r="K637" s="22" t="n">
        <v>380</v>
      </c>
      <c r="L637" s="23">
        <f>IF(AND(ISNUMBER(F637),ISNUMBER(K637),F637&gt;0),K637/F637-1,"")</f>
        <v/>
      </c>
      <c r="M637" s="24" t="n">
        <v>18</v>
      </c>
      <c r="N637" s="25" t="n"/>
      <c r="O637" s="26">
        <f>IF(AND(ISNUMBER(F637),ISNUMBER(N637),F637&gt;0),N637/F637,"")</f>
        <v/>
      </c>
      <c r="P637" s="27" t="n"/>
      <c r="Q637" s="27" t="n">
        <v>46332</v>
      </c>
      <c r="R637" s="25" t="n">
        <v>38.41</v>
      </c>
      <c r="S637" s="28">
        <f>IF(AND(ISNUMBER(F637),ISNUMBER(R637),R637&gt;0),F637/R637,"")</f>
        <v/>
      </c>
      <c r="T637" s="27" t="n">
        <v>46323</v>
      </c>
    </row>
    <row r="638">
      <c r="A638" s="11" t="inlineStr">
        <is>
          <t>SJM</t>
        </is>
      </c>
      <c r="B638" s="11" t="inlineStr">
        <is>
          <t>The J.M. Smucker Company</t>
        </is>
      </c>
      <c r="C638" s="11" t="inlineStr">
        <is>
          <t>Packaged Foods</t>
        </is>
      </c>
      <c r="D638" s="11" t="inlineStr">
        <is>
          <t>United States</t>
        </is>
      </c>
      <c r="E638" s="12" t="n">
        <v>13.61</v>
      </c>
      <c r="F638" s="13" t="n">
        <v>127.41</v>
      </c>
      <c r="G638" s="13" t="n">
        <v>141.8125</v>
      </c>
      <c r="H638" s="14">
        <f>IF(AND(ISNUMBER(F638),ISNUMBER(G638),F638&gt;0),G638/F638-1,"")</f>
        <v/>
      </c>
      <c r="I638" s="13" t="n">
        <v>120</v>
      </c>
      <c r="J638" s="14">
        <f>IF(AND(ISNUMBER(F638),ISNUMBER(I638),F638&gt;0),I638/F638-1,"")</f>
        <v/>
      </c>
      <c r="K638" s="13" t="n">
        <v>160</v>
      </c>
      <c r="L638" s="14">
        <f>IF(AND(ISNUMBER(F638),ISNUMBER(K638),F638&gt;0),K638/F638-1,"")</f>
        <v/>
      </c>
      <c r="M638" s="15" t="n">
        <v>16</v>
      </c>
      <c r="N638" s="16" t="n">
        <v>4.48</v>
      </c>
      <c r="O638" s="17">
        <f>IF(AND(ISNUMBER(F638),ISNUMBER(N638),F638&gt;0),N638/F638,"")</f>
        <v/>
      </c>
      <c r="P638" s="18" t="n">
        <v>46339</v>
      </c>
      <c r="Q638" s="18" t="n">
        <v>46350</v>
      </c>
      <c r="R638" s="16" t="n">
        <v>2.14</v>
      </c>
      <c r="S638" s="19">
        <f>IF(AND(ISNUMBER(F638),ISNUMBER(R638),R638&gt;0),F638/R638,"")</f>
        <v/>
      </c>
      <c r="T638" s="18" t="n">
        <v>46323</v>
      </c>
    </row>
    <row r="639">
      <c r="A639" s="20" t="inlineStr">
        <is>
          <t>FLUT</t>
        </is>
      </c>
      <c r="B639" s="20" t="inlineStr">
        <is>
          <t>Flutter Entertainment plc</t>
        </is>
      </c>
      <c r="C639" s="20" t="inlineStr">
        <is>
          <t>Gambling</t>
        </is>
      </c>
      <c r="D639" s="20" t="inlineStr">
        <is>
          <t>United States</t>
        </is>
      </c>
      <c r="E639" s="21" t="n">
        <v>13.58</v>
      </c>
      <c r="F639" s="22" t="n">
        <v>78.26000000000001</v>
      </c>
      <c r="G639" s="22" t="n">
        <v>130.87273</v>
      </c>
      <c r="H639" s="23">
        <f>IF(AND(ISNUMBER(F639),ISNUMBER(G639),F639&gt;0),G639/F639-1,"")</f>
        <v/>
      </c>
      <c r="I639" s="22" t="n">
        <v>85</v>
      </c>
      <c r="J639" s="23">
        <f>IF(AND(ISNUMBER(F639),ISNUMBER(I639),F639&gt;0),I639/F639-1,"")</f>
        <v/>
      </c>
      <c r="K639" s="22" t="n">
        <v>360</v>
      </c>
      <c r="L639" s="23">
        <f>IF(AND(ISNUMBER(F639),ISNUMBER(K639),F639&gt;0),K639/F639-1,"")</f>
        <v/>
      </c>
      <c r="M639" s="24" t="n">
        <v>33</v>
      </c>
      <c r="N639" s="25" t="n"/>
      <c r="O639" s="26">
        <f>IF(AND(ISNUMBER(F639),ISNUMBER(N639),F639&gt;0),N639/F639,"")</f>
        <v/>
      </c>
      <c r="P639" s="27" t="n"/>
      <c r="Q639" s="27" t="n">
        <v>46330</v>
      </c>
      <c r="R639" s="25" t="n">
        <v>-4.26</v>
      </c>
      <c r="S639" s="28">
        <f>IF(AND(ISNUMBER(F639),ISNUMBER(R639),R639&gt;0),F639/R639,"")</f>
        <v/>
      </c>
      <c r="T639" s="27" t="n">
        <v>46323</v>
      </c>
    </row>
    <row r="640">
      <c r="A640" s="11" t="inlineStr">
        <is>
          <t>BBIO</t>
        </is>
      </c>
      <c r="B640" s="11" t="inlineStr">
        <is>
          <t>BridgeBio Pharma, Inc.</t>
        </is>
      </c>
      <c r="C640" s="11" t="inlineStr">
        <is>
          <t>Biotechnology</t>
        </is>
      </c>
      <c r="D640" s="11" t="inlineStr">
        <is>
          <t>United States</t>
        </is>
      </c>
      <c r="E640" s="12" t="n">
        <v>13.56</v>
      </c>
      <c r="F640" s="13" t="n">
        <v>69.37</v>
      </c>
      <c r="G640" s="13" t="n">
        <v>107.80952</v>
      </c>
      <c r="H640" s="14">
        <f>IF(AND(ISNUMBER(F640),ISNUMBER(G640),F640&gt;0),G640/F640-1,"")</f>
        <v/>
      </c>
      <c r="I640" s="13" t="n">
        <v>80</v>
      </c>
      <c r="J640" s="14">
        <f>IF(AND(ISNUMBER(F640),ISNUMBER(I640),F640&gt;0),I640/F640-1,"")</f>
        <v/>
      </c>
      <c r="K640" s="13" t="n">
        <v>156</v>
      </c>
      <c r="L640" s="14">
        <f>IF(AND(ISNUMBER(F640),ISNUMBER(K640),F640&gt;0),K640/F640-1,"")</f>
        <v/>
      </c>
      <c r="M640" s="15" t="n">
        <v>21</v>
      </c>
      <c r="N640" s="16" t="n"/>
      <c r="O640" s="17">
        <f>IF(AND(ISNUMBER(F640),ISNUMBER(N640),F640&gt;0),N640/F640,"")</f>
        <v/>
      </c>
      <c r="P640" s="18" t="n"/>
      <c r="Q640" s="18" t="n">
        <v>46324</v>
      </c>
      <c r="R640" s="16" t="n">
        <v>-3.56</v>
      </c>
      <c r="S640" s="19">
        <f>IF(AND(ISNUMBER(F640),ISNUMBER(R640),R640&gt;0),F640/R640,"")</f>
        <v/>
      </c>
      <c r="T640" s="18" t="n">
        <v>46323</v>
      </c>
    </row>
    <row r="641">
      <c r="A641" s="20" t="inlineStr">
        <is>
          <t>TU</t>
        </is>
      </c>
      <c r="B641" s="20" t="inlineStr">
        <is>
          <t>Telus Corporation</t>
        </is>
      </c>
      <c r="C641" s="20" t="inlineStr">
        <is>
          <t>Telecom Services</t>
        </is>
      </c>
      <c r="D641" s="20" t="inlineStr">
        <is>
          <t>Canada</t>
        </is>
      </c>
      <c r="E641" s="21" t="n">
        <v>13.53</v>
      </c>
      <c r="F641" s="22" t="n">
        <v>8.59</v>
      </c>
      <c r="G641" s="22" t="n">
        <v>10</v>
      </c>
      <c r="H641" s="23">
        <f>IF(AND(ISNUMBER(F641),ISNUMBER(G641),F641&gt;0),G641/F641-1,"")</f>
        <v/>
      </c>
      <c r="I641" s="22" t="n">
        <v>9.5</v>
      </c>
      <c r="J641" s="23">
        <f>IF(AND(ISNUMBER(F641),ISNUMBER(I641),F641&gt;0),I641/F641-1,"")</f>
        <v/>
      </c>
      <c r="K641" s="22" t="n">
        <v>10.5</v>
      </c>
      <c r="L641" s="23">
        <f>IF(AND(ISNUMBER(F641),ISNUMBER(K641),F641&gt;0),K641/F641-1,"")</f>
        <v/>
      </c>
      <c r="M641" s="24" t="n">
        <v>3</v>
      </c>
      <c r="N641" s="25" t="n">
        <v>0.53</v>
      </c>
      <c r="O641" s="26">
        <f>IF(AND(ISNUMBER(F641),ISNUMBER(N641),F641&gt;0),N641/F641,"")</f>
        <v/>
      </c>
      <c r="P641" s="27" t="n">
        <v>46275</v>
      </c>
      <c r="Q641" s="27" t="n">
        <v>46332</v>
      </c>
      <c r="R641" s="25" t="n">
        <v>-0.43</v>
      </c>
      <c r="S641" s="28">
        <f>IF(AND(ISNUMBER(F641),ISNUMBER(R641),R641&gt;0),F641/R641,"")</f>
        <v/>
      </c>
      <c r="T641" s="27" t="n">
        <v>46323</v>
      </c>
    </row>
    <row r="642">
      <c r="A642" s="11" t="inlineStr">
        <is>
          <t>DOC</t>
        </is>
      </c>
      <c r="B642" s="11" t="inlineStr">
        <is>
          <t>Healthpeak Properties, Inc.</t>
        </is>
      </c>
      <c r="C642" s="11" t="inlineStr">
        <is>
          <t>Reit - Healthcare Facilities</t>
        </is>
      </c>
      <c r="D642" s="11" t="inlineStr">
        <is>
          <t>United States</t>
        </is>
      </c>
      <c r="E642" s="12" t="n">
        <v>13.48</v>
      </c>
      <c r="F642" s="13" t="n">
        <v>19.02</v>
      </c>
      <c r="G642" s="13" t="n">
        <v>22.39474</v>
      </c>
      <c r="H642" s="14">
        <f>IF(AND(ISNUMBER(F642),ISNUMBER(G642),F642&gt;0),G642/F642-1,"")</f>
        <v/>
      </c>
      <c r="I642" s="13" t="n">
        <v>17</v>
      </c>
      <c r="J642" s="14">
        <f>IF(AND(ISNUMBER(F642),ISNUMBER(I642),F642&gt;0),I642/F642-1,"")</f>
        <v/>
      </c>
      <c r="K642" s="13" t="n">
        <v>29</v>
      </c>
      <c r="L642" s="14">
        <f>IF(AND(ISNUMBER(F642),ISNUMBER(K642),F642&gt;0),K642/F642-1,"")</f>
        <v/>
      </c>
      <c r="M642" s="15" t="n">
        <v>19</v>
      </c>
      <c r="N642" s="16" t="n">
        <v>1.22</v>
      </c>
      <c r="O642" s="17">
        <f>IF(AND(ISNUMBER(F642),ISNUMBER(N642),F642&gt;0),N642/F642,"")</f>
        <v/>
      </c>
      <c r="P642" s="18" t="n">
        <v>46339</v>
      </c>
      <c r="Q642" s="18" t="n">
        <v>46328</v>
      </c>
      <c r="R642" s="16" t="n">
        <v>0.35</v>
      </c>
      <c r="S642" s="19">
        <f>IF(AND(ISNUMBER(F642),ISNUMBER(R642),R642&gt;0),F642/R642,"")</f>
        <v/>
      </c>
      <c r="T642" s="18" t="n">
        <v>46323</v>
      </c>
    </row>
    <row r="643">
      <c r="A643" s="20" t="inlineStr">
        <is>
          <t>GDDY</t>
        </is>
      </c>
      <c r="B643" s="20" t="inlineStr">
        <is>
          <t>GoDaddy Inc.</t>
        </is>
      </c>
      <c r="C643" s="20" t="inlineStr">
        <is>
          <t>Software - Infrastructure</t>
        </is>
      </c>
      <c r="D643" s="20" t="inlineStr">
        <is>
          <t>United States</t>
        </is>
      </c>
      <c r="E643" s="21" t="n">
        <v>13.45</v>
      </c>
      <c r="F643" s="22" t="n">
        <v>106.21</v>
      </c>
      <c r="G643" s="22" t="n">
        <v>107.375</v>
      </c>
      <c r="H643" s="23">
        <f>IF(AND(ISNUMBER(F643),ISNUMBER(G643),F643&gt;0),G643/F643-1,"")</f>
        <v/>
      </c>
      <c r="I643" s="22" t="n">
        <v>76</v>
      </c>
      <c r="J643" s="23">
        <f>IF(AND(ISNUMBER(F643),ISNUMBER(I643),F643&gt;0),I643/F643-1,"")</f>
        <v/>
      </c>
      <c r="K643" s="22" t="n">
        <v>170</v>
      </c>
      <c r="L643" s="23">
        <f>IF(AND(ISNUMBER(F643),ISNUMBER(K643),F643&gt;0),K643/F643-1,"")</f>
        <v/>
      </c>
      <c r="M643" s="24" t="n">
        <v>16</v>
      </c>
      <c r="N643" s="25" t="n"/>
      <c r="O643" s="26">
        <f>IF(AND(ISNUMBER(F643),ISNUMBER(N643),F643&gt;0),N643/F643,"")</f>
        <v/>
      </c>
      <c r="P643" s="27" t="n"/>
      <c r="Q643" s="27" t="n">
        <v>46324</v>
      </c>
      <c r="R643" s="25" t="n">
        <v>6.72</v>
      </c>
      <c r="S643" s="28">
        <f>IF(AND(ISNUMBER(F643),ISNUMBER(R643),R643&gt;0),F643/R643,"")</f>
        <v/>
      </c>
      <c r="T643" s="27" t="n">
        <v>46323</v>
      </c>
    </row>
    <row r="644">
      <c r="A644" s="11" t="inlineStr">
        <is>
          <t>JAZZ</t>
        </is>
      </c>
      <c r="B644" s="11" t="inlineStr">
        <is>
          <t>Jazz Pharmaceuticals plc</t>
        </is>
      </c>
      <c r="C644" s="11" t="inlineStr">
        <is>
          <t>Biotechnology</t>
        </is>
      </c>
      <c r="D644" s="11" t="inlineStr">
        <is>
          <t>Ireland</t>
        </is>
      </c>
      <c r="E644" s="12" t="n">
        <v>13.42</v>
      </c>
      <c r="F644" s="13" t="n">
        <v>206.78</v>
      </c>
      <c r="G644" s="13" t="n">
        <v>294.27274</v>
      </c>
      <c r="H644" s="14">
        <f>IF(AND(ISNUMBER(F644),ISNUMBER(G644),F644&gt;0),G644/F644-1,"")</f>
        <v/>
      </c>
      <c r="I644" s="13" t="n">
        <v>225</v>
      </c>
      <c r="J644" s="14">
        <f>IF(AND(ISNUMBER(F644),ISNUMBER(I644),F644&gt;0),I644/F644-1,"")</f>
        <v/>
      </c>
      <c r="K644" s="13" t="n">
        <v>337</v>
      </c>
      <c r="L644" s="14">
        <f>IF(AND(ISNUMBER(F644),ISNUMBER(K644),F644&gt;0),K644/F644-1,"")</f>
        <v/>
      </c>
      <c r="M644" s="15" t="n">
        <v>22</v>
      </c>
      <c r="N644" s="16" t="n"/>
      <c r="O644" s="17">
        <f>IF(AND(ISNUMBER(F644),ISNUMBER(N644),F644&gt;0),N644/F644,"")</f>
        <v/>
      </c>
      <c r="P644" s="18" t="n"/>
      <c r="Q644" s="18" t="n">
        <v>46328</v>
      </c>
      <c r="R644" s="16" t="n">
        <v>14.59</v>
      </c>
      <c r="S644" s="19">
        <f>IF(AND(ISNUMBER(F644),ISNUMBER(R644),R644&gt;0),F644/R644,"")</f>
        <v/>
      </c>
      <c r="T644" s="18" t="n">
        <v>46323</v>
      </c>
    </row>
    <row r="645">
      <c r="A645" s="20" t="inlineStr">
        <is>
          <t>TIGO</t>
        </is>
      </c>
      <c r="B645" s="20" t="inlineStr">
        <is>
          <t>Millicom International Cellular</t>
        </is>
      </c>
      <c r="C645" s="20" t="inlineStr">
        <is>
          <t>Telecom Services</t>
        </is>
      </c>
      <c r="D645" s="20" t="inlineStr">
        <is>
          <t>Luxembourg</t>
        </is>
      </c>
      <c r="E645" s="21" t="n">
        <v>13.39</v>
      </c>
      <c r="F645" s="22" t="n">
        <v>79.81999999999999</v>
      </c>
      <c r="G645" s="22" t="n">
        <v>96.3875</v>
      </c>
      <c r="H645" s="23">
        <f>IF(AND(ISNUMBER(F645),ISNUMBER(G645),F645&gt;0),G645/F645-1,"")</f>
        <v/>
      </c>
      <c r="I645" s="22" t="n">
        <v>60.1</v>
      </c>
      <c r="J645" s="23">
        <f>IF(AND(ISNUMBER(F645),ISNUMBER(I645),F645&gt;0),I645/F645-1,"")</f>
        <v/>
      </c>
      <c r="K645" s="22" t="n">
        <v>132</v>
      </c>
      <c r="L645" s="23">
        <f>IF(AND(ISNUMBER(F645),ISNUMBER(K645),F645&gt;0),K645/F645-1,"")</f>
        <v/>
      </c>
      <c r="M645" s="24" t="n">
        <v>8</v>
      </c>
      <c r="N645" s="25" t="n">
        <v>3</v>
      </c>
      <c r="O645" s="26">
        <f>IF(AND(ISNUMBER(F645),ISNUMBER(N645),F645&gt;0),N645/F645,"")</f>
        <v/>
      </c>
      <c r="P645" s="27" t="n">
        <v>46395</v>
      </c>
      <c r="Q645" s="27" t="n">
        <v>46331</v>
      </c>
      <c r="R645" s="25" t="n">
        <v>3.96</v>
      </c>
      <c r="S645" s="28">
        <f>IF(AND(ISNUMBER(F645),ISNUMBER(R645),R645&gt;0),F645/R645,"")</f>
        <v/>
      </c>
      <c r="T645" s="27" t="n">
        <v>46323</v>
      </c>
    </row>
    <row r="646">
      <c r="A646" s="11" t="inlineStr">
        <is>
          <t>BJ</t>
        </is>
      </c>
      <c r="B646" s="11" t="inlineStr">
        <is>
          <t>BJ's Wholesale Club Holdings, I</t>
        </is>
      </c>
      <c r="C646" s="11" t="inlineStr">
        <is>
          <t>Discount Stores</t>
        </is>
      </c>
      <c r="D646" s="11" t="inlineStr">
        <is>
          <t>United States</t>
        </is>
      </c>
      <c r="E646" s="12" t="n">
        <v>13.28</v>
      </c>
      <c r="F646" s="13" t="n">
        <v>105.12</v>
      </c>
      <c r="G646" s="13" t="n">
        <v>104.8</v>
      </c>
      <c r="H646" s="14">
        <f>IF(AND(ISNUMBER(F646),ISNUMBER(G646),F646&gt;0),G646/F646-1,"")</f>
        <v/>
      </c>
      <c r="I646" s="13" t="n">
        <v>82</v>
      </c>
      <c r="J646" s="14">
        <f>IF(AND(ISNUMBER(F646),ISNUMBER(I646),F646&gt;0),I646/F646-1,"")</f>
        <v/>
      </c>
      <c r="K646" s="13" t="n">
        <v>120</v>
      </c>
      <c r="L646" s="14">
        <f>IF(AND(ISNUMBER(F646),ISNUMBER(K646),F646&gt;0),K646/F646-1,"")</f>
        <v/>
      </c>
      <c r="M646" s="15" t="n">
        <v>20</v>
      </c>
      <c r="N646" s="16" t="n"/>
      <c r="O646" s="17">
        <f>IF(AND(ISNUMBER(F646),ISNUMBER(N646),F646&gt;0),N646/F646,"")</f>
        <v/>
      </c>
      <c r="P646" s="18" t="n"/>
      <c r="Q646" s="18" t="n">
        <v>46346</v>
      </c>
      <c r="R646" s="16" t="n">
        <v>4.57</v>
      </c>
      <c r="S646" s="19">
        <f>IF(AND(ISNUMBER(F646),ISNUMBER(R646),R646&gt;0),F646/R646,"")</f>
        <v/>
      </c>
      <c r="T646" s="18" t="n">
        <v>46323</v>
      </c>
    </row>
    <row r="647">
      <c r="A647" s="20" t="inlineStr">
        <is>
          <t>RRC</t>
        </is>
      </c>
      <c r="B647" s="20" t="inlineStr">
        <is>
          <t>Range Resources Corporation</t>
        </is>
      </c>
      <c r="C647" s="20" t="inlineStr">
        <is>
          <t>Oil &amp; Gas E&amp;P</t>
        </is>
      </c>
      <c r="D647" s="20" t="inlineStr">
        <is>
          <t>United States</t>
        </is>
      </c>
      <c r="E647" s="21" t="n">
        <v>13.17</v>
      </c>
      <c r="F647" s="22" t="n">
        <v>56.38</v>
      </c>
      <c r="G647" s="22" t="n">
        <v>48.55</v>
      </c>
      <c r="H647" s="23">
        <f>IF(AND(ISNUMBER(F647),ISNUMBER(G647),F647&gt;0),G647/F647-1,"")</f>
        <v/>
      </c>
      <c r="I647" s="22" t="n">
        <v>40</v>
      </c>
      <c r="J647" s="23">
        <f>IF(AND(ISNUMBER(F647),ISNUMBER(I647),F647&gt;0),I647/F647-1,"")</f>
        <v/>
      </c>
      <c r="K647" s="22" t="n">
        <v>67</v>
      </c>
      <c r="L647" s="23">
        <f>IF(AND(ISNUMBER(F647),ISNUMBER(K647),F647&gt;0),K647/F647-1,"")</f>
        <v/>
      </c>
      <c r="M647" s="24" t="n">
        <v>20</v>
      </c>
      <c r="N647" s="25" t="n">
        <v>0.4</v>
      </c>
      <c r="O647" s="26">
        <f>IF(AND(ISNUMBER(F647),ISNUMBER(N647),F647&gt;0),N647/F647,"")</f>
        <v/>
      </c>
      <c r="P647" s="27" t="n">
        <v>46276</v>
      </c>
      <c r="Q647" s="27" t="n">
        <v>46322</v>
      </c>
      <c r="R647" s="25" t="n">
        <v>3.62</v>
      </c>
      <c r="S647" s="28">
        <f>IF(AND(ISNUMBER(F647),ISNUMBER(R647),R647&gt;0),F647/R647,"")</f>
        <v/>
      </c>
      <c r="T647" s="27" t="n">
        <v>46323</v>
      </c>
    </row>
    <row r="648">
      <c r="A648" s="11" t="inlineStr">
        <is>
          <t>TEM</t>
        </is>
      </c>
      <c r="B648" s="11" t="inlineStr">
        <is>
          <t>Tempus AI, Inc.</t>
        </is>
      </c>
      <c r="C648" s="11" t="inlineStr">
        <is>
          <t>Health Information Services</t>
        </is>
      </c>
      <c r="D648" s="11" t="inlineStr">
        <is>
          <t>United States</t>
        </is>
      </c>
      <c r="E648" s="12" t="n">
        <v>13.15</v>
      </c>
      <c r="F648" s="13" t="n">
        <v>72.15000000000001</v>
      </c>
      <c r="G648" s="13" t="n">
        <v>75.05556</v>
      </c>
      <c r="H648" s="14">
        <f>IF(AND(ISNUMBER(F648),ISNUMBER(G648),F648&gt;0),G648/F648-1,"")</f>
        <v/>
      </c>
      <c r="I648" s="13" t="n">
        <v>35</v>
      </c>
      <c r="J648" s="14">
        <f>IF(AND(ISNUMBER(F648),ISNUMBER(I648),F648&gt;0),I648/F648-1,"")</f>
        <v/>
      </c>
      <c r="K648" s="13" t="n">
        <v>100</v>
      </c>
      <c r="L648" s="14">
        <f>IF(AND(ISNUMBER(F648),ISNUMBER(K648),F648&gt;0),K648/F648-1,"")</f>
        <v/>
      </c>
      <c r="M648" s="15" t="n">
        <v>18</v>
      </c>
      <c r="N648" s="16" t="n"/>
      <c r="O648" s="17">
        <f>IF(AND(ISNUMBER(F648),ISNUMBER(N648),F648&gt;0),N648/F648,"")</f>
        <v/>
      </c>
      <c r="P648" s="18" t="n"/>
      <c r="Q648" s="18" t="n">
        <v>46328</v>
      </c>
      <c r="R648" s="16" t="n">
        <v>-1.44</v>
      </c>
      <c r="S648" s="19">
        <f>IF(AND(ISNUMBER(F648),ISNUMBER(R648),R648&gt;0),F648/R648,"")</f>
        <v/>
      </c>
      <c r="T648" s="18" t="n">
        <v>46323</v>
      </c>
    </row>
    <row r="649">
      <c r="A649" s="20" t="inlineStr">
        <is>
          <t>DTM</t>
        </is>
      </c>
      <c r="B649" s="20" t="inlineStr">
        <is>
          <t>DT Midstream, Inc.</t>
        </is>
      </c>
      <c r="C649" s="20" t="inlineStr">
        <is>
          <t>Oil &amp; Gas Midstream</t>
        </is>
      </c>
      <c r="D649" s="20" t="inlineStr">
        <is>
          <t>United States</t>
        </is>
      </c>
      <c r="E649" s="21" t="n">
        <v>13.11</v>
      </c>
      <c r="F649" s="22" t="n">
        <v>128.54</v>
      </c>
      <c r="G649" s="22" t="n">
        <v>150.4</v>
      </c>
      <c r="H649" s="23">
        <f>IF(AND(ISNUMBER(F649),ISNUMBER(G649),F649&gt;0),G649/F649-1,"")</f>
        <v/>
      </c>
      <c r="I649" s="22" t="n">
        <v>121</v>
      </c>
      <c r="J649" s="23">
        <f>IF(AND(ISNUMBER(F649),ISNUMBER(I649),F649&gt;0),I649/F649-1,"")</f>
        <v/>
      </c>
      <c r="K649" s="22" t="n">
        <v>170</v>
      </c>
      <c r="L649" s="23">
        <f>IF(AND(ISNUMBER(F649),ISNUMBER(K649),F649&gt;0),K649/F649-1,"")</f>
        <v/>
      </c>
      <c r="M649" s="24" t="n">
        <v>15</v>
      </c>
      <c r="N649" s="25" t="n">
        <v>3.52</v>
      </c>
      <c r="O649" s="26">
        <f>IF(AND(ISNUMBER(F649),ISNUMBER(N649),F649&gt;0),N649/F649,"")</f>
        <v/>
      </c>
      <c r="P649" s="27" t="n">
        <v>46286</v>
      </c>
      <c r="Q649" s="27" t="n">
        <v>46324</v>
      </c>
      <c r="R649" s="25" t="n">
        <v>4.57</v>
      </c>
      <c r="S649" s="28">
        <f>IF(AND(ISNUMBER(F649),ISNUMBER(R649),R649&gt;0),F649/R649,"")</f>
        <v/>
      </c>
      <c r="T649" s="27" t="n">
        <v>46323</v>
      </c>
    </row>
    <row r="650">
      <c r="A650" s="11" t="inlineStr">
        <is>
          <t>BF.B</t>
        </is>
      </c>
      <c r="B650" s="11" t="inlineStr">
        <is>
          <t>Brown Forman Inc</t>
        </is>
      </c>
      <c r="C650" s="11" t="inlineStr">
        <is>
          <t>Beverages - Wineries &amp; Distilleries</t>
        </is>
      </c>
      <c r="D650" s="11" t="inlineStr">
        <is>
          <t>United States</t>
        </is>
      </c>
      <c r="E650" s="12" t="n">
        <v>13.08</v>
      </c>
      <c r="F650" s="13" t="n">
        <v>28.51</v>
      </c>
      <c r="G650" s="13" t="n">
        <v>28.25882</v>
      </c>
      <c r="H650" s="14">
        <f>IF(AND(ISNUMBER(F650),ISNUMBER(G650),F650&gt;0),G650/F650-1,"")</f>
        <v/>
      </c>
      <c r="I650" s="13" t="n">
        <v>20</v>
      </c>
      <c r="J650" s="14">
        <f>IF(AND(ISNUMBER(F650),ISNUMBER(I650),F650&gt;0),I650/F650-1,"")</f>
        <v/>
      </c>
      <c r="K650" s="13" t="n">
        <v>35</v>
      </c>
      <c r="L650" s="14">
        <f>IF(AND(ISNUMBER(F650),ISNUMBER(K650),F650&gt;0),K650/F650-1,"")</f>
        <v/>
      </c>
      <c r="M650" s="15" t="n">
        <v>17</v>
      </c>
      <c r="N650" s="16" t="n">
        <v>0.92</v>
      </c>
      <c r="O650" s="17">
        <f>IF(AND(ISNUMBER(F650),ISNUMBER(N650),F650&gt;0),N650/F650,"")</f>
        <v/>
      </c>
      <c r="P650" s="18" t="n">
        <v>46268</v>
      </c>
      <c r="Q650" s="18" t="n">
        <v>46359</v>
      </c>
      <c r="R650" s="16" t="n">
        <v>1.55</v>
      </c>
      <c r="S650" s="19">
        <f>IF(AND(ISNUMBER(F650),ISNUMBER(R650),R650&gt;0),F650/R650,"")</f>
        <v/>
      </c>
      <c r="T650" s="18" t="n">
        <v>46323</v>
      </c>
    </row>
    <row r="651">
      <c r="A651" s="20" t="inlineStr">
        <is>
          <t>CSGP</t>
        </is>
      </c>
      <c r="B651" s="20" t="inlineStr">
        <is>
          <t>CoStar Group, Inc.</t>
        </is>
      </c>
      <c r="C651" s="20" t="inlineStr">
        <is>
          <t>Real Estate Services</t>
        </is>
      </c>
      <c r="D651" s="20" t="inlineStr">
        <is>
          <t>United States</t>
        </is>
      </c>
      <c r="E651" s="21" t="n">
        <v>12.97</v>
      </c>
      <c r="F651" s="22" t="n">
        <v>32.01</v>
      </c>
      <c r="G651" s="22" t="n">
        <v>37.65</v>
      </c>
      <c r="H651" s="23">
        <f>IF(AND(ISNUMBER(F651),ISNUMBER(G651),F651&gt;0),G651/F651-1,"")</f>
        <v/>
      </c>
      <c r="I651" s="22" t="n">
        <v>25</v>
      </c>
      <c r="J651" s="23">
        <f>IF(AND(ISNUMBER(F651),ISNUMBER(I651),F651&gt;0),I651/F651-1,"")</f>
        <v/>
      </c>
      <c r="K651" s="22" t="n">
        <v>53</v>
      </c>
      <c r="L651" s="23">
        <f>IF(AND(ISNUMBER(F651),ISNUMBER(K651),F651&gt;0),K651/F651-1,"")</f>
        <v/>
      </c>
      <c r="M651" s="24" t="n">
        <v>20</v>
      </c>
      <c r="N651" s="25" t="n"/>
      <c r="O651" s="26">
        <f>IF(AND(ISNUMBER(F651),ISNUMBER(N651),F651&gt;0),N651/F651,"")</f>
        <v/>
      </c>
      <c r="P651" s="27" t="n"/>
      <c r="Q651" s="27" t="n">
        <v>46322</v>
      </c>
      <c r="R651" s="25" t="n">
        <v>0.18</v>
      </c>
      <c r="S651" s="28">
        <f>IF(AND(ISNUMBER(F651),ISNUMBER(R651),R651&gt;0),F651/R651,"")</f>
        <v/>
      </c>
      <c r="T651" s="27" t="n">
        <v>46323</v>
      </c>
    </row>
    <row r="652">
      <c r="A652" s="11" t="inlineStr">
        <is>
          <t>AR</t>
        </is>
      </c>
      <c r="B652" s="11" t="inlineStr">
        <is>
          <t>Antero Resources Corporation</t>
        </is>
      </c>
      <c r="C652" s="11" t="inlineStr">
        <is>
          <t>Oil &amp; Gas E&amp;P</t>
        </is>
      </c>
      <c r="D652" s="11" t="inlineStr">
        <is>
          <t>United States</t>
        </is>
      </c>
      <c r="E652" s="12" t="n">
        <v>12.94</v>
      </c>
      <c r="F652" s="13" t="n">
        <v>42.1</v>
      </c>
      <c r="G652" s="13" t="n">
        <v>49.63636</v>
      </c>
      <c r="H652" s="14">
        <f>IF(AND(ISNUMBER(F652),ISNUMBER(G652),F652&gt;0),G652/F652-1,"")</f>
        <v/>
      </c>
      <c r="I652" s="13" t="n">
        <v>40</v>
      </c>
      <c r="J652" s="14">
        <f>IF(AND(ISNUMBER(F652),ISNUMBER(I652),F652&gt;0),I652/F652-1,"")</f>
        <v/>
      </c>
      <c r="K652" s="13" t="n">
        <v>58</v>
      </c>
      <c r="L652" s="14">
        <f>IF(AND(ISNUMBER(F652),ISNUMBER(K652),F652&gt;0),K652/F652-1,"")</f>
        <v/>
      </c>
      <c r="M652" s="15" t="n">
        <v>22</v>
      </c>
      <c r="N652" s="16" t="n"/>
      <c r="O652" s="17">
        <f>IF(AND(ISNUMBER(F652),ISNUMBER(N652),F652&gt;0),N652/F652,"")</f>
        <v/>
      </c>
      <c r="P652" s="18" t="n"/>
      <c r="Q652" s="18" t="n">
        <v>46323</v>
      </c>
      <c r="R652" s="16" t="n">
        <v>3.48</v>
      </c>
      <c r="S652" s="19">
        <f>IF(AND(ISNUMBER(F652),ISNUMBER(R652),R652&gt;0),F652/R652,"")</f>
        <v/>
      </c>
      <c r="T652" s="18" t="n">
        <v>46323</v>
      </c>
    </row>
    <row r="653">
      <c r="A653" s="20" t="inlineStr">
        <is>
          <t>BAX</t>
        </is>
      </c>
      <c r="B653" s="20" t="inlineStr">
        <is>
          <t>Baxter International Inc.</t>
        </is>
      </c>
      <c r="C653" s="20" t="inlineStr">
        <is>
          <t>Medical Instruments &amp; Supplies</t>
        </is>
      </c>
      <c r="D653" s="20" t="inlineStr">
        <is>
          <t>United States</t>
        </is>
      </c>
      <c r="E653" s="21" t="n">
        <v>12.88</v>
      </c>
      <c r="F653" s="22" t="n">
        <v>24.92</v>
      </c>
      <c r="G653" s="22" t="n">
        <v>27.91667</v>
      </c>
      <c r="H653" s="23">
        <f>IF(AND(ISNUMBER(F653),ISNUMBER(G653),F653&gt;0),G653/F653-1,"")</f>
        <v/>
      </c>
      <c r="I653" s="22" t="n">
        <v>20</v>
      </c>
      <c r="J653" s="23">
        <f>IF(AND(ISNUMBER(F653),ISNUMBER(I653),F653&gt;0),I653/F653-1,"")</f>
        <v/>
      </c>
      <c r="K653" s="22" t="n">
        <v>40</v>
      </c>
      <c r="L653" s="23">
        <f>IF(AND(ISNUMBER(F653),ISNUMBER(K653),F653&gt;0),K653/F653-1,"")</f>
        <v/>
      </c>
      <c r="M653" s="24" t="n">
        <v>12</v>
      </c>
      <c r="N653" s="25" t="n">
        <v>0.04</v>
      </c>
      <c r="O653" s="26">
        <f>IF(AND(ISNUMBER(F653),ISNUMBER(N653),F653&gt;0),N653/F653,"")</f>
        <v/>
      </c>
      <c r="P653" s="27" t="n">
        <v>46262</v>
      </c>
      <c r="Q653" s="27" t="n">
        <v>46324</v>
      </c>
      <c r="R653" s="25" t="n">
        <v>-1.88</v>
      </c>
      <c r="S653" s="28">
        <f>IF(AND(ISNUMBER(F653),ISNUMBER(R653),R653&gt;0),F653/R653,"")</f>
        <v/>
      </c>
      <c r="T653" s="27" t="n">
        <v>46323</v>
      </c>
    </row>
    <row r="654">
      <c r="A654" s="11" t="inlineStr">
        <is>
          <t>HUBS</t>
        </is>
      </c>
      <c r="B654" s="11" t="inlineStr">
        <is>
          <t>HubSpot, Inc.</t>
        </is>
      </c>
      <c r="C654" s="11" t="inlineStr">
        <is>
          <t>Software - Application</t>
        </is>
      </c>
      <c r="D654" s="11" t="inlineStr">
        <is>
          <t>United States</t>
        </is>
      </c>
      <c r="E654" s="12" t="n">
        <v>12.84</v>
      </c>
      <c r="F654" s="13" t="n">
        <v>250.79</v>
      </c>
      <c r="G654" s="13" t="n">
        <v>250.44067</v>
      </c>
      <c r="H654" s="14">
        <f>IF(AND(ISNUMBER(F654),ISNUMBER(G654),F654&gt;0),G654/F654-1,"")</f>
        <v/>
      </c>
      <c r="I654" s="13" t="n">
        <v>190</v>
      </c>
      <c r="J654" s="14">
        <f>IF(AND(ISNUMBER(F654),ISNUMBER(I654),F654&gt;0),I654/F654-1,"")</f>
        <v/>
      </c>
      <c r="K654" s="13" t="n">
        <v>320</v>
      </c>
      <c r="L654" s="14">
        <f>IF(AND(ISNUMBER(F654),ISNUMBER(K654),F654&gt;0),K654/F654-1,"")</f>
        <v/>
      </c>
      <c r="M654" s="15" t="n">
        <v>30</v>
      </c>
      <c r="N654" s="16" t="n"/>
      <c r="O654" s="17">
        <f>IF(AND(ISNUMBER(F654),ISNUMBER(N654),F654&gt;0),N654/F654,"")</f>
        <v/>
      </c>
      <c r="P654" s="18" t="n"/>
      <c r="Q654" s="18" t="n">
        <v>46330</v>
      </c>
      <c r="R654" s="16" t="n">
        <v>2.8</v>
      </c>
      <c r="S654" s="19">
        <f>IF(AND(ISNUMBER(F654),ISNUMBER(R654),R654&gt;0),F654/R654,"")</f>
        <v/>
      </c>
      <c r="T654" s="18" t="n">
        <v>46323</v>
      </c>
    </row>
    <row r="655">
      <c r="A655" s="20" t="inlineStr">
        <is>
          <t>SAIL</t>
        </is>
      </c>
      <c r="B655" s="20" t="inlineStr">
        <is>
          <t>SailPoint, Inc.</t>
        </is>
      </c>
      <c r="C655" s="20" t="inlineStr">
        <is>
          <t>Software - Infrastructure</t>
        </is>
      </c>
      <c r="D655" s="20" t="inlineStr">
        <is>
          <t>United States</t>
        </is>
      </c>
      <c r="E655" s="21" t="n">
        <v>12.78</v>
      </c>
      <c r="F655" s="22" t="n">
        <v>22.39</v>
      </c>
      <c r="G655" s="22" t="n">
        <v>21.96154</v>
      </c>
      <c r="H655" s="23">
        <f>IF(AND(ISNUMBER(F655),ISNUMBER(G655),F655&gt;0),G655/F655-1,"")</f>
        <v/>
      </c>
      <c r="I655" s="22" t="n">
        <v>10</v>
      </c>
      <c r="J655" s="23">
        <f>IF(AND(ISNUMBER(F655),ISNUMBER(I655),F655&gt;0),I655/F655-1,"")</f>
        <v/>
      </c>
      <c r="K655" s="22" t="n">
        <v>30</v>
      </c>
      <c r="L655" s="23">
        <f>IF(AND(ISNUMBER(F655),ISNUMBER(K655),F655&gt;0),K655/F655-1,"")</f>
        <v/>
      </c>
      <c r="M655" s="24" t="n">
        <v>26</v>
      </c>
      <c r="N655" s="25" t="n"/>
      <c r="O655" s="26">
        <f>IF(AND(ISNUMBER(F655),ISNUMBER(N655),F655&gt;0),N655/F655,"")</f>
        <v/>
      </c>
      <c r="P655" s="27" t="n"/>
      <c r="Q655" s="27" t="n">
        <v>46274</v>
      </c>
      <c r="R655" s="25" t="n">
        <v>-0.34</v>
      </c>
      <c r="S655" s="28">
        <f>IF(AND(ISNUMBER(F655),ISNUMBER(R655),R655&gt;0),F655/R655,"")</f>
        <v/>
      </c>
      <c r="T655" s="27" t="n">
        <v>46323</v>
      </c>
    </row>
    <row r="656">
      <c r="A656" s="11" t="inlineStr">
        <is>
          <t>MKC</t>
        </is>
      </c>
      <c r="B656" s="11" t="inlineStr">
        <is>
          <t>McCormick &amp; Company, Incorporat</t>
        </is>
      </c>
      <c r="C656" s="11" t="inlineStr">
        <is>
          <t>Packaged Foods</t>
        </is>
      </c>
      <c r="D656" s="11" t="inlineStr">
        <is>
          <t>United States</t>
        </is>
      </c>
      <c r="E656" s="12" t="n">
        <v>12.78</v>
      </c>
      <c r="F656" s="13" t="n">
        <v>47.48</v>
      </c>
      <c r="G656" s="13" t="n">
        <v>54.455</v>
      </c>
      <c r="H656" s="14">
        <f>IF(AND(ISNUMBER(F656),ISNUMBER(G656),F656&gt;0),G656/F656-1,"")</f>
        <v/>
      </c>
      <c r="I656" s="13" t="n">
        <v>47</v>
      </c>
      <c r="J656" s="14">
        <f>IF(AND(ISNUMBER(F656),ISNUMBER(I656),F656&gt;0),I656/F656-1,"")</f>
        <v/>
      </c>
      <c r="K656" s="13" t="n">
        <v>65</v>
      </c>
      <c r="L656" s="14">
        <f>IF(AND(ISNUMBER(F656),ISNUMBER(K656),F656&gt;0),K656/F656-1,"")</f>
        <v/>
      </c>
      <c r="M656" s="15" t="n">
        <v>14</v>
      </c>
      <c r="N656" s="16" t="n">
        <v>1.92</v>
      </c>
      <c r="O656" s="17">
        <f>IF(AND(ISNUMBER(F656),ISNUMBER(N656),F656&gt;0),N656/F656,"")</f>
        <v/>
      </c>
      <c r="P656" s="18" t="n">
        <v>46308</v>
      </c>
      <c r="Q656" s="18" t="n">
        <v>46296</v>
      </c>
      <c r="R656" s="16" t="n">
        <v>5.53</v>
      </c>
      <c r="S656" s="19">
        <f>IF(AND(ISNUMBER(F656),ISNUMBER(R656),R656&gt;0),F656/R656,"")</f>
        <v/>
      </c>
      <c r="T656" s="18" t="n">
        <v>46323</v>
      </c>
    </row>
    <row r="657">
      <c r="A657" s="20" t="inlineStr">
        <is>
          <t>SNN</t>
        </is>
      </c>
      <c r="B657" s="20" t="inlineStr">
        <is>
          <t>Smith &amp; Nephew SNATS, Inc.</t>
        </is>
      </c>
      <c r="C657" s="20" t="inlineStr">
        <is>
          <t>Medical Devices</t>
        </is>
      </c>
      <c r="D657" s="20" t="inlineStr">
        <is>
          <t>United Kingdom</t>
        </is>
      </c>
      <c r="E657" s="21" t="n">
        <v>12.6</v>
      </c>
      <c r="F657" s="22" t="n">
        <v>30.1</v>
      </c>
      <c r="G657" s="22" t="n">
        <v>32.322</v>
      </c>
      <c r="H657" s="23">
        <f>IF(AND(ISNUMBER(F657),ISNUMBER(G657),F657&gt;0),G657/F657-1,"")</f>
        <v/>
      </c>
      <c r="I657" s="22" t="n">
        <v>29</v>
      </c>
      <c r="J657" s="23">
        <f>IF(AND(ISNUMBER(F657),ISNUMBER(I657),F657&gt;0),I657/F657-1,"")</f>
        <v/>
      </c>
      <c r="K657" s="22" t="n">
        <v>38</v>
      </c>
      <c r="L657" s="23">
        <f>IF(AND(ISNUMBER(F657),ISNUMBER(K657),F657&gt;0),K657/F657-1,"")</f>
        <v/>
      </c>
      <c r="M657" s="24" t="n">
        <v>5</v>
      </c>
      <c r="N657" s="25" t="n">
        <v>0.79</v>
      </c>
      <c r="O657" s="26">
        <f>IF(AND(ISNUMBER(F657),ISNUMBER(N657),F657&gt;0),N657/F657,"")</f>
        <v/>
      </c>
      <c r="P657" s="27" t="n">
        <v>46297</v>
      </c>
      <c r="Q657" s="27" t="n">
        <v>46238</v>
      </c>
      <c r="R657" s="25" t="n">
        <v>1.47</v>
      </c>
      <c r="S657" s="28">
        <f>IF(AND(ISNUMBER(F657),ISNUMBER(R657),R657&gt;0),F657/R657,"")</f>
        <v/>
      </c>
      <c r="T657" s="27" t="n">
        <v>46323</v>
      </c>
    </row>
    <row r="658">
      <c r="A658" s="11" t="inlineStr">
        <is>
          <t>CCK</t>
        </is>
      </c>
      <c r="B658" s="11" t="inlineStr">
        <is>
          <t>Crown Holdings, Inc.</t>
        </is>
      </c>
      <c r="C658" s="11" t="inlineStr">
        <is>
          <t>Packaging &amp; Containers</t>
        </is>
      </c>
      <c r="D658" s="11" t="inlineStr">
        <is>
          <t>United States</t>
        </is>
      </c>
      <c r="E658" s="12" t="n">
        <v>12.56</v>
      </c>
      <c r="F658" s="13" t="n">
        <v>116.28</v>
      </c>
      <c r="G658" s="13" t="n">
        <v>136.15385</v>
      </c>
      <c r="H658" s="14">
        <f>IF(AND(ISNUMBER(F658),ISNUMBER(G658),F658&gt;0),G658/F658-1,"")</f>
        <v/>
      </c>
      <c r="I658" s="13" t="n">
        <v>118</v>
      </c>
      <c r="J658" s="14">
        <f>IF(AND(ISNUMBER(F658),ISNUMBER(I658),F658&gt;0),I658/F658-1,"")</f>
        <v/>
      </c>
      <c r="K658" s="13" t="n">
        <v>155</v>
      </c>
      <c r="L658" s="14">
        <f>IF(AND(ISNUMBER(F658),ISNUMBER(K658),F658&gt;0),K658/F658-1,"")</f>
        <v/>
      </c>
      <c r="M658" s="15" t="n">
        <v>13</v>
      </c>
      <c r="N658" s="16" t="n">
        <v>1.4</v>
      </c>
      <c r="O658" s="17">
        <f>IF(AND(ISNUMBER(F658),ISNUMBER(N658),F658&gt;0),N658/F658,"")</f>
        <v/>
      </c>
      <c r="P658" s="18" t="n">
        <v>46331</v>
      </c>
      <c r="Q658" s="18" t="n">
        <v>46314</v>
      </c>
      <c r="R658" s="16" t="n">
        <v>7.17</v>
      </c>
      <c r="S658" s="19">
        <f>IF(AND(ISNUMBER(F658),ISNUMBER(R658),R658&gt;0),F658/R658,"")</f>
        <v/>
      </c>
      <c r="T658" s="18" t="n">
        <v>46323</v>
      </c>
    </row>
    <row r="659">
      <c r="A659" s="20" t="inlineStr">
        <is>
          <t>IVZ</t>
        </is>
      </c>
      <c r="B659" s="20" t="inlineStr">
        <is>
          <t>Invesco Ltd</t>
        </is>
      </c>
      <c r="C659" s="20" t="inlineStr">
        <is>
          <t>Asset Management</t>
        </is>
      </c>
      <c r="D659" s="20" t="inlineStr">
        <is>
          <t>United States</t>
        </is>
      </c>
      <c r="E659" s="21" t="n">
        <v>12.55</v>
      </c>
      <c r="F659" s="22" t="n">
        <v>28.43</v>
      </c>
      <c r="G659" s="22" t="n">
        <v>34.71429</v>
      </c>
      <c r="H659" s="23">
        <f>IF(AND(ISNUMBER(F659),ISNUMBER(G659),F659&gt;0),G659/F659-1,"")</f>
        <v/>
      </c>
      <c r="I659" s="22" t="n">
        <v>30</v>
      </c>
      <c r="J659" s="23">
        <f>IF(AND(ISNUMBER(F659),ISNUMBER(I659),F659&gt;0),I659/F659-1,"")</f>
        <v/>
      </c>
      <c r="K659" s="22" t="n">
        <v>41</v>
      </c>
      <c r="L659" s="23">
        <f>IF(AND(ISNUMBER(F659),ISNUMBER(K659),F659&gt;0),K659/F659-1,"")</f>
        <v/>
      </c>
      <c r="M659" s="24" t="n">
        <v>14</v>
      </c>
      <c r="N659" s="25" t="n">
        <v>0.86</v>
      </c>
      <c r="O659" s="26">
        <f>IF(AND(ISNUMBER(F659),ISNUMBER(N659),F659&gt;0),N659/F659,"")</f>
        <v/>
      </c>
      <c r="P659" s="27" t="n">
        <v>46248</v>
      </c>
      <c r="Q659" s="27" t="n">
        <v>46322</v>
      </c>
      <c r="R659" s="25" t="n">
        <v>-0.68</v>
      </c>
      <c r="S659" s="28">
        <f>IF(AND(ISNUMBER(F659),ISNUMBER(R659),R659&gt;0),F659/R659,"")</f>
        <v/>
      </c>
      <c r="T659" s="27" t="n">
        <v>46323</v>
      </c>
    </row>
    <row r="660">
      <c r="A660" s="11" t="inlineStr">
        <is>
          <t>AFG</t>
        </is>
      </c>
      <c r="B660" s="11" t="inlineStr">
        <is>
          <t>American Financial Group, Inc.</t>
        </is>
      </c>
      <c r="C660" s="11" t="inlineStr">
        <is>
          <t>Insurance - Property &amp; Casualty</t>
        </is>
      </c>
      <c r="D660" s="11" t="inlineStr">
        <is>
          <t>United States</t>
        </is>
      </c>
      <c r="E660" s="12" t="n">
        <v>12.55</v>
      </c>
      <c r="F660" s="13" t="n">
        <v>151.36</v>
      </c>
      <c r="G660" s="13" t="n">
        <v>154.5</v>
      </c>
      <c r="H660" s="14">
        <f>IF(AND(ISNUMBER(F660),ISNUMBER(G660),F660&gt;0),G660/F660-1,"")</f>
        <v/>
      </c>
      <c r="I660" s="13" t="n">
        <v>143</v>
      </c>
      <c r="J660" s="14">
        <f>IF(AND(ISNUMBER(F660),ISNUMBER(I660),F660&gt;0),I660/F660-1,"")</f>
        <v/>
      </c>
      <c r="K660" s="13" t="n">
        <v>170</v>
      </c>
      <c r="L660" s="14">
        <f>IF(AND(ISNUMBER(F660),ISNUMBER(K660),F660&gt;0),K660/F660-1,"")</f>
        <v/>
      </c>
      <c r="M660" s="15" t="n">
        <v>6</v>
      </c>
      <c r="N660" s="16" t="n">
        <v>3.88</v>
      </c>
      <c r="O660" s="17">
        <f>IF(AND(ISNUMBER(F660),ISNUMBER(N660),F660&gt;0),N660/F660,"")</f>
        <v/>
      </c>
      <c r="P660" s="18" t="n">
        <v>46310</v>
      </c>
      <c r="Q660" s="18" t="n">
        <v>46329</v>
      </c>
      <c r="R660" s="16" t="n">
        <v>11.44</v>
      </c>
      <c r="S660" s="19">
        <f>IF(AND(ISNUMBER(F660),ISNUMBER(R660),R660&gt;0),F660/R660,"")</f>
        <v/>
      </c>
      <c r="T660" s="18" t="n">
        <v>46323</v>
      </c>
    </row>
    <row r="661">
      <c r="A661" s="20" t="inlineStr">
        <is>
          <t>DOCN</t>
        </is>
      </c>
      <c r="B661" s="20" t="inlineStr">
        <is>
          <t>DigitalOcean Holdings, Inc.</t>
        </is>
      </c>
      <c r="C661" s="20" t="inlineStr">
        <is>
          <t>Software - Infrastructure</t>
        </is>
      </c>
      <c r="D661" s="20" t="inlineStr">
        <is>
          <t>United States</t>
        </is>
      </c>
      <c r="E661" s="21" t="n">
        <v>12.51</v>
      </c>
      <c r="F661" s="22" t="n">
        <v>106.39</v>
      </c>
      <c r="G661" s="22" t="n">
        <v>173.8</v>
      </c>
      <c r="H661" s="23">
        <f>IF(AND(ISNUMBER(F661),ISNUMBER(G661),F661&gt;0),G661/F661-1,"")</f>
        <v/>
      </c>
      <c r="I661" s="22" t="n">
        <v>105</v>
      </c>
      <c r="J661" s="23">
        <f>IF(AND(ISNUMBER(F661),ISNUMBER(I661),F661&gt;0),I661/F661-1,"")</f>
        <v/>
      </c>
      <c r="K661" s="22" t="n">
        <v>220</v>
      </c>
      <c r="L661" s="23">
        <f>IF(AND(ISNUMBER(F661),ISNUMBER(K661),F661&gt;0),K661/F661-1,"")</f>
        <v/>
      </c>
      <c r="M661" s="24" t="n">
        <v>15</v>
      </c>
      <c r="N661" s="25" t="n"/>
      <c r="O661" s="26">
        <f>IF(AND(ISNUMBER(F661),ISNUMBER(N661),F661&gt;0),N661/F661,"")</f>
        <v/>
      </c>
      <c r="P661" s="27" t="n"/>
      <c r="Q661" s="27" t="n">
        <v>46329</v>
      </c>
      <c r="R661" s="25" t="n">
        <v>2.17</v>
      </c>
      <c r="S661" s="28">
        <f>IF(AND(ISNUMBER(F661),ISNUMBER(R661),R661&gt;0),F661/R661,"")</f>
        <v/>
      </c>
      <c r="T661" s="27" t="n">
        <v>46323</v>
      </c>
    </row>
    <row r="662">
      <c r="A662" s="11" t="inlineStr">
        <is>
          <t>FN</t>
        </is>
      </c>
      <c r="B662" s="11" t="inlineStr">
        <is>
          <t>Fabrinet</t>
        </is>
      </c>
      <c r="C662" s="11" t="inlineStr">
        <is>
          <t>Electronic Components</t>
        </is>
      </c>
      <c r="D662" s="11" t="inlineStr">
        <is>
          <t>Cayman Islands</t>
        </is>
      </c>
      <c r="E662" s="12" t="n">
        <v>12.3</v>
      </c>
      <c r="F662" s="13" t="n">
        <v>343.21</v>
      </c>
      <c r="G662" s="13" t="n">
        <v>687.7778</v>
      </c>
      <c r="H662" s="14">
        <f>IF(AND(ISNUMBER(F662),ISNUMBER(G662),F662&gt;0),G662/F662-1,"")</f>
        <v/>
      </c>
      <c r="I662" s="13" t="n">
        <v>431</v>
      </c>
      <c r="J662" s="14">
        <f>IF(AND(ISNUMBER(F662),ISNUMBER(I662),F662&gt;0),I662/F662-1,"")</f>
        <v/>
      </c>
      <c r="K662" s="13" t="n">
        <v>800</v>
      </c>
      <c r="L662" s="14">
        <f>IF(AND(ISNUMBER(F662),ISNUMBER(K662),F662&gt;0),K662/F662-1,"")</f>
        <v/>
      </c>
      <c r="M662" s="15" t="n">
        <v>9</v>
      </c>
      <c r="N662" s="16" t="n"/>
      <c r="O662" s="17">
        <f>IF(AND(ISNUMBER(F662),ISNUMBER(N662),F662&gt;0),N662/F662,"")</f>
        <v/>
      </c>
      <c r="P662" s="18" t="n"/>
      <c r="Q662" s="18" t="n">
        <v>46328</v>
      </c>
      <c r="R662" s="16" t="n">
        <v>13.05</v>
      </c>
      <c r="S662" s="19">
        <f>IF(AND(ISNUMBER(F662),ISNUMBER(R662),R662&gt;0),F662/R662,"")</f>
        <v/>
      </c>
      <c r="T662" s="18" t="n">
        <v>46323</v>
      </c>
    </row>
    <row r="663">
      <c r="A663" s="20" t="inlineStr">
        <is>
          <t>BWXT</t>
        </is>
      </c>
      <c r="B663" s="20" t="inlineStr">
        <is>
          <t>BWX Technologies, Inc.</t>
        </is>
      </c>
      <c r="C663" s="20" t="inlineStr">
        <is>
          <t>Aerospace &amp; Defense</t>
        </is>
      </c>
      <c r="D663" s="20" t="inlineStr">
        <is>
          <t>United States</t>
        </is>
      </c>
      <c r="E663" s="21" t="n">
        <v>12.28</v>
      </c>
      <c r="F663" s="22" t="n">
        <v>134.07</v>
      </c>
      <c r="G663" s="22" t="n">
        <v>209.44438</v>
      </c>
      <c r="H663" s="23">
        <f>IF(AND(ISNUMBER(F663),ISNUMBER(G663),F663&gt;0),G663/F663-1,"")</f>
        <v/>
      </c>
      <c r="I663" s="22" t="n">
        <v>150</v>
      </c>
      <c r="J663" s="23">
        <f>IF(AND(ISNUMBER(F663),ISNUMBER(I663),F663&gt;0),I663/F663-1,"")</f>
        <v/>
      </c>
      <c r="K663" s="22" t="n">
        <v>290</v>
      </c>
      <c r="L663" s="23">
        <f>IF(AND(ISNUMBER(F663),ISNUMBER(K663),F663&gt;0),K663/F663-1,"")</f>
        <v/>
      </c>
      <c r="M663" s="24" t="n">
        <v>16</v>
      </c>
      <c r="N663" s="25" t="n">
        <v>1.06</v>
      </c>
      <c r="O663" s="26">
        <f>IF(AND(ISNUMBER(F663),ISNUMBER(N663),F663&gt;0),N663/F663,"")</f>
        <v/>
      </c>
      <c r="P663" s="27" t="n">
        <v>46252</v>
      </c>
      <c r="Q663" s="27" t="n">
        <v>46328</v>
      </c>
      <c r="R663" s="25" t="n">
        <v>3.86</v>
      </c>
      <c r="S663" s="28">
        <f>IF(AND(ISNUMBER(F663),ISNUMBER(R663),R663&gt;0),F663/R663,"")</f>
        <v/>
      </c>
      <c r="T663" s="27" t="n">
        <v>46323</v>
      </c>
    </row>
    <row r="664">
      <c r="A664" s="11" t="inlineStr">
        <is>
          <t>FIG</t>
        </is>
      </c>
      <c r="B664" s="11" t="inlineStr">
        <is>
          <t>Figma, Inc.</t>
        </is>
      </c>
      <c r="C664" s="11" t="inlineStr">
        <is>
          <t>Software - Application</t>
        </is>
      </c>
      <c r="D664" s="11" t="inlineStr">
        <is>
          <t>United States</t>
        </is>
      </c>
      <c r="E664" s="12" t="n">
        <v>12.25</v>
      </c>
      <c r="F664" s="13" t="n">
        <v>22.98</v>
      </c>
      <c r="G664" s="13" t="n">
        <v>30.1</v>
      </c>
      <c r="H664" s="14">
        <f>IF(AND(ISNUMBER(F664),ISNUMBER(G664),F664&gt;0),G664/F664-1,"")</f>
        <v/>
      </c>
      <c r="I664" s="13" t="n">
        <v>22</v>
      </c>
      <c r="J664" s="14">
        <f>IF(AND(ISNUMBER(F664),ISNUMBER(I664),F664&gt;0),I664/F664-1,"")</f>
        <v/>
      </c>
      <c r="K664" s="13" t="n">
        <v>37</v>
      </c>
      <c r="L664" s="14">
        <f>IF(AND(ISNUMBER(F664),ISNUMBER(K664),F664&gt;0),K664/F664-1,"")</f>
        <v/>
      </c>
      <c r="M664" s="15" t="n">
        <v>10</v>
      </c>
      <c r="N664" s="16" t="n"/>
      <c r="O664" s="17">
        <f>IF(AND(ISNUMBER(F664),ISNUMBER(N664),F664&gt;0),N664/F664,"")</f>
        <v/>
      </c>
      <c r="P664" s="18" t="n"/>
      <c r="Q664" s="18" t="n">
        <v>46330</v>
      </c>
      <c r="R664" s="16" t="n">
        <v>-3.23</v>
      </c>
      <c r="S664" s="19">
        <f>IF(AND(ISNUMBER(F664),ISNUMBER(R664),R664&gt;0),F664/R664,"")</f>
        <v/>
      </c>
      <c r="T664" s="18" t="n">
        <v>46323</v>
      </c>
    </row>
    <row r="665">
      <c r="A665" s="20" t="inlineStr">
        <is>
          <t>SMMT</t>
        </is>
      </c>
      <c r="B665" s="20" t="inlineStr">
        <is>
          <t>Summit Therapeutics Inc.</t>
        </is>
      </c>
      <c r="C665" s="20" t="inlineStr">
        <is>
          <t>Biotechnology</t>
        </is>
      </c>
      <c r="D665" s="20" t="inlineStr">
        <is>
          <t>United States</t>
        </is>
      </c>
      <c r="E665" s="21" t="n">
        <v>12.23</v>
      </c>
      <c r="F665" s="22" t="n">
        <v>15.33</v>
      </c>
      <c r="G665" s="22" t="n">
        <v>30.035845</v>
      </c>
      <c r="H665" s="23">
        <f>IF(AND(ISNUMBER(F665),ISNUMBER(G665),F665&gt;0),G665/F665-1,"")</f>
        <v/>
      </c>
      <c r="I665" s="22" t="n">
        <v>11.835769</v>
      </c>
      <c r="J665" s="23">
        <f>IF(AND(ISNUMBER(F665),ISNUMBER(I665),F665&gt;0),I665/F665-1,"")</f>
        <v/>
      </c>
      <c r="K665" s="22" t="n">
        <v>43.5047</v>
      </c>
      <c r="L665" s="23">
        <f>IF(AND(ISNUMBER(F665),ISNUMBER(K665),F665&gt;0),K665/F665-1,"")</f>
        <v/>
      </c>
      <c r="M665" s="24" t="n">
        <v>13</v>
      </c>
      <c r="N665" s="25" t="n"/>
      <c r="O665" s="26">
        <f>IF(AND(ISNUMBER(F665),ISNUMBER(N665),F665&gt;0),N665/F665,"")</f>
        <v/>
      </c>
      <c r="P665" s="27" t="n"/>
      <c r="Q665" s="27" t="n">
        <v>46329</v>
      </c>
      <c r="R665" s="25" t="n">
        <v>-1.11</v>
      </c>
      <c r="S665" s="28">
        <f>IF(AND(ISNUMBER(F665),ISNUMBER(R665),R665&gt;0),F665/R665,"")</f>
        <v/>
      </c>
      <c r="T665" s="27" t="n">
        <v>46323</v>
      </c>
    </row>
    <row r="666">
      <c r="A666" s="11" t="inlineStr">
        <is>
          <t>AEG</t>
        </is>
      </c>
      <c r="B666" s="11" t="inlineStr">
        <is>
          <t>Aegon Ltd. New York Registry Sh</t>
        </is>
      </c>
      <c r="C666" s="11" t="inlineStr">
        <is>
          <t>Insurance - Diversified</t>
        </is>
      </c>
      <c r="D666" s="11" t="inlineStr">
        <is>
          <t>Netherlands</t>
        </is>
      </c>
      <c r="E666" s="12" t="n">
        <v>12.17</v>
      </c>
      <c r="F666" s="13" t="n">
        <v>8.220000000000001</v>
      </c>
      <c r="G666" s="13" t="n">
        <v>9.875</v>
      </c>
      <c r="H666" s="14">
        <f>IF(AND(ISNUMBER(F666),ISNUMBER(G666),F666&gt;0),G666/F666-1,"")</f>
        <v/>
      </c>
      <c r="I666" s="13" t="n">
        <v>9.15</v>
      </c>
      <c r="J666" s="14">
        <f>IF(AND(ISNUMBER(F666),ISNUMBER(I666),F666&gt;0),I666/F666-1,"")</f>
        <v/>
      </c>
      <c r="K666" s="13" t="n">
        <v>10.6</v>
      </c>
      <c r="L666" s="14">
        <f>IF(AND(ISNUMBER(F666),ISNUMBER(K666),F666&gt;0),K666/F666-1,"")</f>
        <v/>
      </c>
      <c r="M666" s="15" t="n">
        <v>2</v>
      </c>
      <c r="N666" s="16" t="n">
        <v>0.49</v>
      </c>
      <c r="O666" s="17">
        <f>IF(AND(ISNUMBER(F666),ISNUMBER(N666),F666&gt;0),N666/F666,"")</f>
        <v/>
      </c>
      <c r="P666" s="18" t="n">
        <v>46268</v>
      </c>
      <c r="Q666" s="18" t="n">
        <v>46254</v>
      </c>
      <c r="R666" s="16" t="n">
        <v>0.6899999999999999</v>
      </c>
      <c r="S666" s="19">
        <f>IF(AND(ISNUMBER(F666),ISNUMBER(R666),R666&gt;0),F666/R666,"")</f>
        <v/>
      </c>
      <c r="T666" s="18" t="n">
        <v>46323</v>
      </c>
    </row>
    <row r="667">
      <c r="A667" s="20" t="inlineStr">
        <is>
          <t>LULU</t>
        </is>
      </c>
      <c r="B667" s="20" t="inlineStr">
        <is>
          <t>lululemon athletica inc.</t>
        </is>
      </c>
      <c r="C667" s="20" t="inlineStr">
        <is>
          <t>Apparel Retail</t>
        </is>
      </c>
      <c r="D667" s="20" t="inlineStr">
        <is>
          <t>Canada</t>
        </is>
      </c>
      <c r="E667" s="21" t="n">
        <v>12.11</v>
      </c>
      <c r="F667" s="22" t="n">
        <v>104.59</v>
      </c>
      <c r="G667" s="22" t="n">
        <v>103.66429</v>
      </c>
      <c r="H667" s="23">
        <f>IF(AND(ISNUMBER(F667),ISNUMBER(G667),F667&gt;0),G667/F667-1,"")</f>
        <v/>
      </c>
      <c r="I667" s="22" t="n">
        <v>44</v>
      </c>
      <c r="J667" s="23">
        <f>IF(AND(ISNUMBER(F667),ISNUMBER(I667),F667&gt;0),I667/F667-1,"")</f>
        <v/>
      </c>
      <c r="K667" s="22" t="n">
        <v>255</v>
      </c>
      <c r="L667" s="23">
        <f>IF(AND(ISNUMBER(F667),ISNUMBER(K667),F667&gt;0),K667/F667-1,"")</f>
        <v/>
      </c>
      <c r="M667" s="24" t="n">
        <v>28</v>
      </c>
      <c r="N667" s="25" t="n"/>
      <c r="O667" s="26">
        <f>IF(AND(ISNUMBER(F667),ISNUMBER(N667),F667&gt;0),N667/F667,"")</f>
        <v/>
      </c>
      <c r="P667" s="27" t="n"/>
      <c r="Q667" s="27" t="n">
        <v>46268</v>
      </c>
      <c r="R667" s="25" t="n">
        <v>12.15</v>
      </c>
      <c r="S667" s="28">
        <f>IF(AND(ISNUMBER(F667),ISNUMBER(R667),R667&gt;0),F667/R667,"")</f>
        <v/>
      </c>
      <c r="T667" s="27" t="n">
        <v>46323</v>
      </c>
    </row>
    <row r="668">
      <c r="A668" s="11" t="inlineStr">
        <is>
          <t>SKM</t>
        </is>
      </c>
      <c r="B668" s="11" t="inlineStr">
        <is>
          <t>SK Telecom Co., Ltd.</t>
        </is>
      </c>
      <c r="C668" s="11" t="inlineStr">
        <is>
          <t>Telecom Services</t>
        </is>
      </c>
      <c r="D668" s="11" t="inlineStr">
        <is>
          <t>South Korea</t>
        </is>
      </c>
      <c r="E668" s="12" t="n">
        <v>12.08</v>
      </c>
      <c r="F668" s="13" t="n">
        <v>31.47</v>
      </c>
      <c r="G668" s="13" t="n">
        <v>35</v>
      </c>
      <c r="H668" s="14">
        <f>IF(AND(ISNUMBER(F668),ISNUMBER(G668),F668&gt;0),G668/F668-1,"")</f>
        <v/>
      </c>
      <c r="I668" s="13" t="n">
        <v>30</v>
      </c>
      <c r="J668" s="14">
        <f>IF(AND(ISNUMBER(F668),ISNUMBER(I668),F668&gt;0),I668/F668-1,"")</f>
        <v/>
      </c>
      <c r="K668" s="13" t="n">
        <v>40</v>
      </c>
      <c r="L668" s="14">
        <f>IF(AND(ISNUMBER(F668),ISNUMBER(K668),F668&gt;0),K668/F668-1,"")</f>
        <v/>
      </c>
      <c r="M668" s="15" t="n">
        <v>2</v>
      </c>
      <c r="N668" s="16" t="n">
        <v>0.64</v>
      </c>
      <c r="O668" s="17">
        <f>IF(AND(ISNUMBER(F668),ISNUMBER(N668),F668&gt;0),N668/F668,"")</f>
        <v/>
      </c>
      <c r="P668" s="18" t="n">
        <v>46265</v>
      </c>
      <c r="Q668" s="18" t="n">
        <v>46330</v>
      </c>
      <c r="R668" s="16" t="n">
        <v>1.3</v>
      </c>
      <c r="S668" s="19">
        <f>IF(AND(ISNUMBER(F668),ISNUMBER(R668),R668&gt;0),F668/R668,"")</f>
        <v/>
      </c>
      <c r="T668" s="18" t="n">
        <v>46323</v>
      </c>
    </row>
    <row r="669">
      <c r="A669" s="20" t="inlineStr">
        <is>
          <t>GL</t>
        </is>
      </c>
      <c r="B669" s="20" t="inlineStr">
        <is>
          <t>Globe Life Inc.</t>
        </is>
      </c>
      <c r="C669" s="20" t="inlineStr">
        <is>
          <t>Insurance - Life</t>
        </is>
      </c>
      <c r="D669" s="20" t="inlineStr">
        <is>
          <t>United States</t>
        </is>
      </c>
      <c r="E669" s="21" t="n">
        <v>12.06</v>
      </c>
      <c r="F669" s="22" t="n">
        <v>156.99</v>
      </c>
      <c r="G669" s="22" t="n">
        <v>185.18182</v>
      </c>
      <c r="H669" s="23">
        <f>IF(AND(ISNUMBER(F669),ISNUMBER(G669),F669&gt;0),G669/F669-1,"")</f>
        <v/>
      </c>
      <c r="I669" s="22" t="n">
        <v>161</v>
      </c>
      <c r="J669" s="23">
        <f>IF(AND(ISNUMBER(F669),ISNUMBER(I669),F669&gt;0),I669/F669-1,"")</f>
        <v/>
      </c>
      <c r="K669" s="22" t="n">
        <v>215</v>
      </c>
      <c r="L669" s="23">
        <f>IF(AND(ISNUMBER(F669),ISNUMBER(K669),F669&gt;0),K669/F669-1,"")</f>
        <v/>
      </c>
      <c r="M669" s="24" t="n">
        <v>11</v>
      </c>
      <c r="N669" s="25" t="n">
        <v>1.32</v>
      </c>
      <c r="O669" s="26">
        <f>IF(AND(ISNUMBER(F669),ISNUMBER(N669),F669&gt;0),N669/F669,"")</f>
        <v/>
      </c>
      <c r="P669" s="27" t="n">
        <v>46300</v>
      </c>
      <c r="Q669" s="27" t="n">
        <v>46316</v>
      </c>
      <c r="R669" s="25" t="n">
        <v>14.94</v>
      </c>
      <c r="S669" s="28">
        <f>IF(AND(ISNUMBER(F669),ISNUMBER(R669),R669&gt;0),F669/R669,"")</f>
        <v/>
      </c>
      <c r="T669" s="27" t="n">
        <v>46323</v>
      </c>
    </row>
    <row r="670">
      <c r="A670" s="11" t="inlineStr">
        <is>
          <t>STLA</t>
        </is>
      </c>
      <c r="B670" s="11" t="inlineStr">
        <is>
          <t>Stellantis N.V.</t>
        </is>
      </c>
      <c r="C670" s="11" t="inlineStr">
        <is>
          <t>Auto Manufacturers</t>
        </is>
      </c>
      <c r="D670" s="11" t="inlineStr">
        <is>
          <t>Netherlands</t>
        </is>
      </c>
      <c r="E670" s="12" t="n">
        <v>12.02</v>
      </c>
      <c r="F670" s="13" t="n">
        <v>4.14</v>
      </c>
      <c r="G670" s="13" t="n">
        <v>6.96125</v>
      </c>
      <c r="H670" s="14">
        <f>IF(AND(ISNUMBER(F670),ISNUMBER(G670),F670&gt;0),G670/F670-1,"")</f>
        <v/>
      </c>
      <c r="I670" s="13" t="n">
        <v>4</v>
      </c>
      <c r="J670" s="14">
        <f>IF(AND(ISNUMBER(F670),ISNUMBER(I670),F670&gt;0),I670/F670-1,"")</f>
        <v/>
      </c>
      <c r="K670" s="13" t="n">
        <v>11.06</v>
      </c>
      <c r="L670" s="14">
        <f>IF(AND(ISNUMBER(F670),ISNUMBER(K670),F670&gt;0),K670/F670-1,"")</f>
        <v/>
      </c>
      <c r="M670" s="15" t="n">
        <v>8</v>
      </c>
      <c r="N670" s="16" t="n"/>
      <c r="O670" s="17">
        <f>IF(AND(ISNUMBER(F670),ISNUMBER(N670),F670&gt;0),N670/F670,"")</f>
        <v/>
      </c>
      <c r="P670" s="18" t="n"/>
      <c r="Q670" s="18" t="n">
        <v>46323</v>
      </c>
      <c r="R670" s="16" t="n">
        <v>-8.73</v>
      </c>
      <c r="S670" s="19">
        <f>IF(AND(ISNUMBER(F670),ISNUMBER(R670),R670&gt;0),F670/R670,"")</f>
        <v/>
      </c>
      <c r="T670" s="18" t="n">
        <v>46323</v>
      </c>
    </row>
    <row r="671">
      <c r="A671" s="20" t="inlineStr">
        <is>
          <t>FMS</t>
        </is>
      </c>
      <c r="B671" s="20" t="inlineStr">
        <is>
          <t>Fresenius Medical Care AG</t>
        </is>
      </c>
      <c r="C671" s="20" t="inlineStr">
        <is>
          <t>Medical Care Facilities</t>
        </is>
      </c>
      <c r="D671" s="20" t="inlineStr">
        <is>
          <t>Germany</t>
        </is>
      </c>
      <c r="E671" s="21" t="n">
        <v>11.97</v>
      </c>
      <c r="F671" s="22" t="n">
        <v>22.5</v>
      </c>
      <c r="G671" s="22" t="n">
        <v>23.676987</v>
      </c>
      <c r="H671" s="23">
        <f>IF(AND(ISNUMBER(F671),ISNUMBER(G671),F671&gt;0),G671/F671-1,"")</f>
        <v/>
      </c>
      <c r="I671" s="22" t="n">
        <v>17.202314</v>
      </c>
      <c r="J671" s="23">
        <f>IF(AND(ISNUMBER(F671),ISNUMBER(I671),F671&gt;0),I671/F671-1,"")</f>
        <v/>
      </c>
      <c r="K671" s="22" t="n">
        <v>37.640778</v>
      </c>
      <c r="L671" s="23">
        <f>IF(AND(ISNUMBER(F671),ISNUMBER(K671),F671&gt;0),K671/F671-1,"")</f>
        <v/>
      </c>
      <c r="M671" s="24" t="n">
        <v>7</v>
      </c>
      <c r="N671" s="25" t="n">
        <v>0.87</v>
      </c>
      <c r="O671" s="26">
        <f>IF(AND(ISNUMBER(F671),ISNUMBER(N671),F671&gt;0),N671/F671,"")</f>
        <v/>
      </c>
      <c r="P671" s="27" t="n">
        <v>46164</v>
      </c>
      <c r="Q671" s="27" t="n">
        <v>46329</v>
      </c>
      <c r="R671" s="25" t="n">
        <v>1.94</v>
      </c>
      <c r="S671" s="28">
        <f>IF(AND(ISNUMBER(F671),ISNUMBER(R671),R671&gt;0),F671/R671,"")</f>
        <v/>
      </c>
      <c r="T671" s="27" t="n">
        <v>46323</v>
      </c>
    </row>
    <row r="672">
      <c r="A672" s="11" t="inlineStr">
        <is>
          <t>FRO</t>
        </is>
      </c>
      <c r="B672" s="11" t="inlineStr">
        <is>
          <t>Frontline Plc</t>
        </is>
      </c>
      <c r="C672" s="11" t="inlineStr">
        <is>
          <t>Oil &amp; Gas Midstream</t>
        </is>
      </c>
      <c r="D672" s="11" t="inlineStr">
        <is>
          <t>Cyprus</t>
        </is>
      </c>
      <c r="E672" s="12" t="n">
        <v>11.97</v>
      </c>
      <c r="F672" s="13" t="n">
        <v>53.77</v>
      </c>
      <c r="G672" s="13" t="n">
        <v>57.25</v>
      </c>
      <c r="H672" s="14">
        <f>IF(AND(ISNUMBER(F672),ISNUMBER(G672),F672&gt;0),G672/F672-1,"")</f>
        <v/>
      </c>
      <c r="I672" s="13" t="n">
        <v>44</v>
      </c>
      <c r="J672" s="14">
        <f>IF(AND(ISNUMBER(F672),ISNUMBER(I672),F672&gt;0),I672/F672-1,"")</f>
        <v/>
      </c>
      <c r="K672" s="13" t="n">
        <v>70</v>
      </c>
      <c r="L672" s="14">
        <f>IF(AND(ISNUMBER(F672),ISNUMBER(K672),F672&gt;0),K672/F672-1,"")</f>
        <v/>
      </c>
      <c r="M672" s="15" t="n">
        <v>4</v>
      </c>
      <c r="N672" s="16" t="n">
        <v>5.38</v>
      </c>
      <c r="O672" s="17">
        <f>IF(AND(ISNUMBER(F672),ISNUMBER(N672),F672&gt;0),N672/F672,"")</f>
        <v/>
      </c>
      <c r="P672" s="18" t="n">
        <v>46283</v>
      </c>
      <c r="Q672" s="18" t="n">
        <v>46262</v>
      </c>
      <c r="R672" s="16" t="n">
        <v>6.67</v>
      </c>
      <c r="S672" s="19">
        <f>IF(AND(ISNUMBER(F672),ISNUMBER(R672),R672&gt;0),F672/R672,"")</f>
        <v/>
      </c>
      <c r="T672" s="18" t="n">
        <v>46323</v>
      </c>
    </row>
    <row r="673">
      <c r="A673" s="20" t="inlineStr">
        <is>
          <t>BSY</t>
        </is>
      </c>
      <c r="B673" s="20" t="inlineStr">
        <is>
          <t>Bentley Systems, Incorporated</t>
        </is>
      </c>
      <c r="C673" s="20" t="inlineStr">
        <is>
          <t>Software - Application</t>
        </is>
      </c>
      <c r="D673" s="20" t="inlineStr">
        <is>
          <t>United States</t>
        </is>
      </c>
      <c r="E673" s="21" t="n">
        <v>11.88</v>
      </c>
      <c r="F673" s="22" t="n">
        <v>39.32</v>
      </c>
      <c r="G673" s="22" t="n">
        <v>44.6</v>
      </c>
      <c r="H673" s="23">
        <f>IF(AND(ISNUMBER(F673),ISNUMBER(G673),F673&gt;0),G673/F673-1,"")</f>
        <v/>
      </c>
      <c r="I673" s="22" t="n">
        <v>40</v>
      </c>
      <c r="J673" s="23">
        <f>IF(AND(ISNUMBER(F673),ISNUMBER(I673),F673&gt;0),I673/F673-1,"")</f>
        <v/>
      </c>
      <c r="K673" s="22" t="n">
        <v>59</v>
      </c>
      <c r="L673" s="23">
        <f>IF(AND(ISNUMBER(F673),ISNUMBER(K673),F673&gt;0),K673/F673-1,"")</f>
        <v/>
      </c>
      <c r="M673" s="24" t="n">
        <v>15</v>
      </c>
      <c r="N673" s="25" t="n">
        <v>0.28</v>
      </c>
      <c r="O673" s="26">
        <f>IF(AND(ISNUMBER(F673),ISNUMBER(N673),F673&gt;0),N673/F673,"")</f>
        <v/>
      </c>
      <c r="P673" s="27" t="n">
        <v>46287</v>
      </c>
      <c r="Q673" s="27" t="n">
        <v>46331</v>
      </c>
      <c r="R673" s="25" t="n">
        <v>0.91</v>
      </c>
      <c r="S673" s="28">
        <f>IF(AND(ISNUMBER(F673),ISNUMBER(R673),R673&gt;0),F673/R673,"")</f>
        <v/>
      </c>
      <c r="T673" s="27" t="n">
        <v>46323</v>
      </c>
    </row>
    <row r="674">
      <c r="A674" s="11" t="inlineStr">
        <is>
          <t>PAYC</t>
        </is>
      </c>
      <c r="B674" s="11" t="inlineStr">
        <is>
          <t>Paycom Software, Inc.</t>
        </is>
      </c>
      <c r="C674" s="11" t="inlineStr">
        <is>
          <t>Software - Application</t>
        </is>
      </c>
      <c r="D674" s="11" t="inlineStr">
        <is>
          <t>United States</t>
        </is>
      </c>
      <c r="E674" s="12" t="n">
        <v>11.81</v>
      </c>
      <c r="F674" s="13" t="n">
        <v>261.94</v>
      </c>
      <c r="G674" s="13" t="n">
        <v>244.64706</v>
      </c>
      <c r="H674" s="14">
        <f>IF(AND(ISNUMBER(F674),ISNUMBER(G674),F674&gt;0),G674/F674-1,"")</f>
        <v/>
      </c>
      <c r="I674" s="13" t="n">
        <v>160</v>
      </c>
      <c r="J674" s="14">
        <f>IF(AND(ISNUMBER(F674),ISNUMBER(I674),F674&gt;0),I674/F674-1,"")</f>
        <v/>
      </c>
      <c r="K674" s="13" t="n">
        <v>305</v>
      </c>
      <c r="L674" s="14">
        <f>IF(AND(ISNUMBER(F674),ISNUMBER(K674),F674&gt;0),K674/F674-1,"")</f>
        <v/>
      </c>
      <c r="M674" s="15" t="n">
        <v>17</v>
      </c>
      <c r="N674" s="16" t="n">
        <v>1.5</v>
      </c>
      <c r="O674" s="17">
        <f>IF(AND(ISNUMBER(F674),ISNUMBER(N674),F674&gt;0),N674/F674,"")</f>
        <v/>
      </c>
      <c r="P674" s="18" t="n">
        <v>46258</v>
      </c>
      <c r="Q674" s="18" t="n">
        <v>46330</v>
      </c>
      <c r="R674" s="16" t="n">
        <v>9.449999999999999</v>
      </c>
      <c r="S674" s="19">
        <f>IF(AND(ISNUMBER(F674),ISNUMBER(R674),R674&gt;0),F674/R674,"")</f>
        <v/>
      </c>
      <c r="T674" s="18" t="n">
        <v>46323</v>
      </c>
    </row>
    <row r="675">
      <c r="A675" s="20" t="inlineStr">
        <is>
          <t>GME</t>
        </is>
      </c>
      <c r="B675" s="20" t="inlineStr">
        <is>
          <t>GameStop Corporation</t>
        </is>
      </c>
      <c r="C675" s="20" t="inlineStr">
        <is>
          <t>Specialty Retail</t>
        </is>
      </c>
      <c r="D675" s="20" t="inlineStr">
        <is>
          <t>United States</t>
        </is>
      </c>
      <c r="E675" s="21" t="n">
        <v>11.79</v>
      </c>
      <c r="F675" s="22" t="n">
        <v>23.36</v>
      </c>
      <c r="G675" s="22" t="n"/>
      <c r="H675" s="23">
        <f>IF(AND(ISNUMBER(F675),ISNUMBER(G675),F675&gt;0),G675/F675-1,"")</f>
        <v/>
      </c>
      <c r="I675" s="22" t="n"/>
      <c r="J675" s="23">
        <f>IF(AND(ISNUMBER(F675),ISNUMBER(I675),F675&gt;0),I675/F675-1,"")</f>
        <v/>
      </c>
      <c r="K675" s="22" t="n"/>
      <c r="L675" s="23">
        <f>IF(AND(ISNUMBER(F675),ISNUMBER(K675),F675&gt;0),K675/F675-1,"")</f>
        <v/>
      </c>
      <c r="M675" s="24" t="n"/>
      <c r="N675" s="25" t="n"/>
      <c r="O675" s="26">
        <f>IF(AND(ISNUMBER(F675),ISNUMBER(N675),F675&gt;0),N675/F675,"")</f>
        <v/>
      </c>
      <c r="P675" s="27" t="n"/>
      <c r="Q675" s="27" t="n">
        <v>46364</v>
      </c>
      <c r="R675" s="25" t="n">
        <v>1.52</v>
      </c>
      <c r="S675" s="28">
        <f>IF(AND(ISNUMBER(F675),ISNUMBER(R675),R675&gt;0),F675/R675,"")</f>
        <v/>
      </c>
      <c r="T675" s="27" t="n">
        <v>46323</v>
      </c>
    </row>
    <row r="676">
      <c r="A676" s="11" t="inlineStr">
        <is>
          <t>ALLY</t>
        </is>
      </c>
      <c r="B676" s="11" t="inlineStr">
        <is>
          <t>Ally Financial Inc.</t>
        </is>
      </c>
      <c r="C676" s="11" t="inlineStr">
        <is>
          <t>Credit Services</t>
        </is>
      </c>
      <c r="D676" s="11" t="inlineStr">
        <is>
          <t>United States</t>
        </is>
      </c>
      <c r="E676" s="12" t="n">
        <v>11.78</v>
      </c>
      <c r="F676" s="13" t="n">
        <v>38.72</v>
      </c>
      <c r="G676" s="13" t="n">
        <v>47.45</v>
      </c>
      <c r="H676" s="14">
        <f>IF(AND(ISNUMBER(F676),ISNUMBER(G676),F676&gt;0),G676/F676-1,"")</f>
        <v/>
      </c>
      <c r="I676" s="13" t="n">
        <v>40</v>
      </c>
      <c r="J676" s="14">
        <f>IF(AND(ISNUMBER(F676),ISNUMBER(I676),F676&gt;0),I676/F676-1,"")</f>
        <v/>
      </c>
      <c r="K676" s="13" t="n">
        <v>56</v>
      </c>
      <c r="L676" s="14">
        <f>IF(AND(ISNUMBER(F676),ISNUMBER(K676),F676&gt;0),K676/F676-1,"")</f>
        <v/>
      </c>
      <c r="M676" s="15" t="n">
        <v>18</v>
      </c>
      <c r="N676" s="16" t="n">
        <v>1.4</v>
      </c>
      <c r="O676" s="17">
        <f>IF(AND(ISNUMBER(F676),ISNUMBER(N676),F676&gt;0),N676/F676,"")</f>
        <v/>
      </c>
      <c r="P676" s="18" t="n">
        <v>46328</v>
      </c>
      <c r="Q676" s="18" t="n">
        <v>46407</v>
      </c>
      <c r="R676" s="16" t="n">
        <v>4.37</v>
      </c>
      <c r="S676" s="19">
        <f>IF(AND(ISNUMBER(F676),ISNUMBER(R676),R676&gt;0),F676/R676,"")</f>
        <v/>
      </c>
      <c r="T676" s="18" t="n">
        <v>46323</v>
      </c>
    </row>
    <row r="677">
      <c r="A677" s="20" t="inlineStr">
        <is>
          <t>CPT</t>
        </is>
      </c>
      <c r="B677" s="20" t="inlineStr">
        <is>
          <t>Camden Property Trust</t>
        </is>
      </c>
      <c r="C677" s="20" t="inlineStr">
        <is>
          <t>Reit - Residential</t>
        </is>
      </c>
      <c r="D677" s="20" t="inlineStr">
        <is>
          <t>United States</t>
        </is>
      </c>
      <c r="E677" s="21" t="n">
        <v>11.75</v>
      </c>
      <c r="F677" s="22" t="n">
        <v>101.52</v>
      </c>
      <c r="G677" s="22" t="n">
        <v>111.28409</v>
      </c>
      <c r="H677" s="23">
        <f>IF(AND(ISNUMBER(F677),ISNUMBER(G677),F677&gt;0),G677/F677-1,"")</f>
        <v/>
      </c>
      <c r="I677" s="22" t="n">
        <v>96</v>
      </c>
      <c r="J677" s="23">
        <f>IF(AND(ISNUMBER(F677),ISNUMBER(I677),F677&gt;0),I677/F677-1,"")</f>
        <v/>
      </c>
      <c r="K677" s="22" t="n">
        <v>132</v>
      </c>
      <c r="L677" s="23">
        <f>IF(AND(ISNUMBER(F677),ISNUMBER(K677),F677&gt;0),K677/F677-1,"")</f>
        <v/>
      </c>
      <c r="M677" s="24" t="n">
        <v>22</v>
      </c>
      <c r="N677" s="25" t="n">
        <v>4.24</v>
      </c>
      <c r="O677" s="26">
        <f>IF(AND(ISNUMBER(F677),ISNUMBER(N677),F677&gt;0),N677/F677,"")</f>
        <v/>
      </c>
      <c r="P677" s="27" t="n">
        <v>46295</v>
      </c>
      <c r="Q677" s="27" t="n">
        <v>46331</v>
      </c>
      <c r="R677" s="25" t="n">
        <v>3.03</v>
      </c>
      <c r="S677" s="28">
        <f>IF(AND(ISNUMBER(F677),ISNUMBER(R677),R677&gt;0),F677/R677,"")</f>
        <v/>
      </c>
      <c r="T677" s="27" t="n">
        <v>46323</v>
      </c>
    </row>
    <row r="678">
      <c r="A678" s="11" t="inlineStr">
        <is>
          <t>ALB</t>
        </is>
      </c>
      <c r="B678" s="11" t="inlineStr">
        <is>
          <t>Albemarle Corporation</t>
        </is>
      </c>
      <c r="C678" s="11" t="inlineStr">
        <is>
          <t>Specialty Chemicals</t>
        </is>
      </c>
      <c r="D678" s="11" t="inlineStr">
        <is>
          <t>United States</t>
        </is>
      </c>
      <c r="E678" s="12" t="n">
        <v>11.68</v>
      </c>
      <c r="F678" s="13" t="n">
        <v>98.95999999999999</v>
      </c>
      <c r="G678" s="13" t="n">
        <v>156.34666</v>
      </c>
      <c r="H678" s="14">
        <f>IF(AND(ISNUMBER(F678),ISNUMBER(G678),F678&gt;0),G678/F678-1,"")</f>
        <v/>
      </c>
      <c r="I678" s="13" t="n">
        <v>83.28</v>
      </c>
      <c r="J678" s="14">
        <f>IF(AND(ISNUMBER(F678),ISNUMBER(I678),F678&gt;0),I678/F678-1,"")</f>
        <v/>
      </c>
      <c r="K678" s="13" t="n">
        <v>211</v>
      </c>
      <c r="L678" s="14">
        <f>IF(AND(ISNUMBER(F678),ISNUMBER(K678),F678&gt;0),K678/F678-1,"")</f>
        <v/>
      </c>
      <c r="M678" s="15" t="n">
        <v>21</v>
      </c>
      <c r="N678" s="16" t="n">
        <v>1.64</v>
      </c>
      <c r="O678" s="17">
        <f>IF(AND(ISNUMBER(F678),ISNUMBER(N678),F678&gt;0),N678/F678,"")</f>
        <v/>
      </c>
      <c r="P678" s="18" t="n">
        <v>46276</v>
      </c>
      <c r="Q678" s="18" t="n">
        <v>46330</v>
      </c>
      <c r="R678" s="16" t="n">
        <v>0.27</v>
      </c>
      <c r="S678" s="19">
        <f>IF(AND(ISNUMBER(F678),ISNUMBER(R678),R678&gt;0),F678/R678,"")</f>
        <v/>
      </c>
      <c r="T678" s="18" t="n">
        <v>46323</v>
      </c>
    </row>
    <row r="679">
      <c r="A679" s="20" t="inlineStr">
        <is>
          <t>PINS</t>
        </is>
      </c>
      <c r="B679" s="20" t="inlineStr">
        <is>
          <t>Pinterest, Inc.</t>
        </is>
      </c>
      <c r="C679" s="20" t="inlineStr">
        <is>
          <t>Internet Content &amp; Information</t>
        </is>
      </c>
      <c r="D679" s="20" t="inlineStr">
        <is>
          <t>United States</t>
        </is>
      </c>
      <c r="E679" s="21" t="n">
        <v>11.65</v>
      </c>
      <c r="F679" s="22" t="n">
        <v>20.58</v>
      </c>
      <c r="G679" s="22" t="n">
        <v>29.07667</v>
      </c>
      <c r="H679" s="23">
        <f>IF(AND(ISNUMBER(F679),ISNUMBER(G679),F679&gt;0),G679/F679-1,"")</f>
        <v/>
      </c>
      <c r="I679" s="22" t="n">
        <v>22</v>
      </c>
      <c r="J679" s="23">
        <f>IF(AND(ISNUMBER(F679),ISNUMBER(I679),F679&gt;0),I679/F679-1,"")</f>
        <v/>
      </c>
      <c r="K679" s="22" t="n">
        <v>42.36</v>
      </c>
      <c r="L679" s="23">
        <f>IF(AND(ISNUMBER(F679),ISNUMBER(K679),F679&gt;0),K679/F679-1,"")</f>
        <v/>
      </c>
      <c r="M679" s="24" t="n">
        <v>36</v>
      </c>
      <c r="N679" s="25" t="n"/>
      <c r="O679" s="26">
        <f>IF(AND(ISNUMBER(F679),ISNUMBER(N679),F679&gt;0),N679/F679,"")</f>
        <v/>
      </c>
      <c r="P679" s="27" t="n"/>
      <c r="Q679" s="27" t="n">
        <v>46324</v>
      </c>
      <c r="R679" s="25" t="n">
        <v>0.34</v>
      </c>
      <c r="S679" s="28">
        <f>IF(AND(ISNUMBER(F679),ISNUMBER(R679),R679&gt;0),F679/R679,"")</f>
        <v/>
      </c>
      <c r="T679" s="27" t="n">
        <v>46323</v>
      </c>
    </row>
    <row r="680">
      <c r="A680" s="11" t="inlineStr">
        <is>
          <t>GLPI</t>
        </is>
      </c>
      <c r="B680" s="11" t="inlineStr">
        <is>
          <t xml:space="preserve">Gaming and Leisure Properties, </t>
        </is>
      </c>
      <c r="C680" s="11" t="inlineStr">
        <is>
          <t>Reit - Specialty</t>
        </is>
      </c>
      <c r="D680" s="11" t="inlineStr">
        <is>
          <t>United States</t>
        </is>
      </c>
      <c r="E680" s="12" t="n">
        <v>11.62</v>
      </c>
      <c r="F680" s="13" t="n">
        <v>38.81</v>
      </c>
      <c r="G680" s="13" t="n">
        <v>51.04348</v>
      </c>
      <c r="H680" s="14">
        <f>IF(AND(ISNUMBER(F680),ISNUMBER(G680),F680&gt;0),G680/F680-1,"")</f>
        <v/>
      </c>
      <c r="I680" s="13" t="n">
        <v>40</v>
      </c>
      <c r="J680" s="14">
        <f>IF(AND(ISNUMBER(F680),ISNUMBER(I680),F680&gt;0),I680/F680-1,"")</f>
        <v/>
      </c>
      <c r="K680" s="13" t="n">
        <v>63</v>
      </c>
      <c r="L680" s="14">
        <f>IF(AND(ISNUMBER(F680),ISNUMBER(K680),F680&gt;0),K680/F680-1,"")</f>
        <v/>
      </c>
      <c r="M680" s="15" t="n">
        <v>23</v>
      </c>
      <c r="N680" s="16" t="n">
        <v>3.28</v>
      </c>
      <c r="O680" s="17">
        <f>IF(AND(ISNUMBER(F680),ISNUMBER(N680),F680&gt;0),N680/F680,"")</f>
        <v/>
      </c>
      <c r="P680" s="18" t="n">
        <v>46276</v>
      </c>
      <c r="Q680" s="18" t="n">
        <v>46324</v>
      </c>
      <c r="R680" s="16" t="n">
        <v>3.41</v>
      </c>
      <c r="S680" s="19">
        <f>IF(AND(ISNUMBER(F680),ISNUMBER(R680),R680&gt;0),F680/R680,"")</f>
        <v/>
      </c>
      <c r="T680" s="18" t="n">
        <v>46323</v>
      </c>
    </row>
    <row r="681">
      <c r="A681" s="20" t="inlineStr">
        <is>
          <t>DVA</t>
        </is>
      </c>
      <c r="B681" s="20" t="inlineStr">
        <is>
          <t>DaVita Inc.</t>
        </is>
      </c>
      <c r="C681" s="20" t="inlineStr">
        <is>
          <t>Medical Care Facilities</t>
        </is>
      </c>
      <c r="D681" s="20" t="inlineStr">
        <is>
          <t>United States</t>
        </is>
      </c>
      <c r="E681" s="21" t="n">
        <v>11.59</v>
      </c>
      <c r="F681" s="22" t="n">
        <v>181.69</v>
      </c>
      <c r="G681" s="22" t="n">
        <v>219.85715</v>
      </c>
      <c r="H681" s="23">
        <f>IF(AND(ISNUMBER(F681),ISNUMBER(G681),F681&gt;0),G681/F681-1,"")</f>
        <v/>
      </c>
      <c r="I681" s="22" t="n">
        <v>165</v>
      </c>
      <c r="J681" s="23">
        <f>IF(AND(ISNUMBER(F681),ISNUMBER(I681),F681&gt;0),I681/F681-1,"")</f>
        <v/>
      </c>
      <c r="K681" s="22" t="n">
        <v>270</v>
      </c>
      <c r="L681" s="23">
        <f>IF(AND(ISNUMBER(F681),ISNUMBER(K681),F681&gt;0),K681/F681-1,"")</f>
        <v/>
      </c>
      <c r="M681" s="24" t="n">
        <v>7</v>
      </c>
      <c r="N681" s="25" t="n"/>
      <c r="O681" s="26">
        <f>IF(AND(ISNUMBER(F681),ISNUMBER(N681),F681&gt;0),N681/F681,"")</f>
        <v/>
      </c>
      <c r="P681" s="27" t="n"/>
      <c r="Q681" s="27" t="n">
        <v>46324</v>
      </c>
      <c r="R681" s="25" t="n">
        <v>11.84</v>
      </c>
      <c r="S681" s="28">
        <f>IF(AND(ISNUMBER(F681),ISNUMBER(R681),R681&gt;0),F681/R681,"")</f>
        <v/>
      </c>
      <c r="T681" s="27" t="n">
        <v>46323</v>
      </c>
    </row>
    <row r="682">
      <c r="A682" s="11" t="inlineStr">
        <is>
          <t>HRL</t>
        </is>
      </c>
      <c r="B682" s="11" t="inlineStr">
        <is>
          <t>Hormel Foods Corporation</t>
        </is>
      </c>
      <c r="C682" s="11" t="inlineStr">
        <is>
          <t>Packaged Foods</t>
        </is>
      </c>
      <c r="D682" s="11" t="inlineStr">
        <is>
          <t>United States</t>
        </is>
      </c>
      <c r="E682" s="12" t="n">
        <v>11.49</v>
      </c>
      <c r="F682" s="13" t="n">
        <v>20.87</v>
      </c>
      <c r="G682" s="13" t="n">
        <v>25.3125</v>
      </c>
      <c r="H682" s="14">
        <f>IF(AND(ISNUMBER(F682),ISNUMBER(G682),F682&gt;0),G682/F682-1,"")</f>
        <v/>
      </c>
      <c r="I682" s="13" t="n">
        <v>23</v>
      </c>
      <c r="J682" s="14">
        <f>IF(AND(ISNUMBER(F682),ISNUMBER(I682),F682&gt;0),I682/F682-1,"")</f>
        <v/>
      </c>
      <c r="K682" s="13" t="n">
        <v>29</v>
      </c>
      <c r="L682" s="14">
        <f>IF(AND(ISNUMBER(F682),ISNUMBER(K682),F682&gt;0),K682/F682-1,"")</f>
        <v/>
      </c>
      <c r="M682" s="15" t="n">
        <v>8</v>
      </c>
      <c r="N682" s="16" t="n">
        <v>1.17</v>
      </c>
      <c r="O682" s="17">
        <f>IF(AND(ISNUMBER(F682),ISNUMBER(N682),F682&gt;0),N682/F682,"")</f>
        <v/>
      </c>
      <c r="P682" s="18" t="n">
        <v>46308</v>
      </c>
      <c r="Q682" s="18" t="n">
        <v>46261</v>
      </c>
      <c r="R682" s="16" t="n">
        <v>0.62</v>
      </c>
      <c r="S682" s="19">
        <f>IF(AND(ISNUMBER(F682),ISNUMBER(R682),R682&gt;0),F682/R682,"")</f>
        <v/>
      </c>
      <c r="T682" s="18" t="n">
        <v>46323</v>
      </c>
    </row>
    <row r="683">
      <c r="A683" s="20" t="inlineStr">
        <is>
          <t>RDY</t>
        </is>
      </c>
      <c r="B683" s="20" t="inlineStr">
        <is>
          <t>Dr. Reddy's Laboratories Ltd</t>
        </is>
      </c>
      <c r="C683" s="20" t="inlineStr">
        <is>
          <t>Drug Manufacturers - Specialty &amp; Generic</t>
        </is>
      </c>
      <c r="D683" s="20" t="inlineStr">
        <is>
          <t>India</t>
        </is>
      </c>
      <c r="E683" s="21" t="n">
        <v>11.45</v>
      </c>
      <c r="F683" s="22" t="n">
        <v>13.75</v>
      </c>
      <c r="G683" s="22" t="n">
        <v>14.283882</v>
      </c>
      <c r="H683" s="23">
        <f>IF(AND(ISNUMBER(F683),ISNUMBER(G683),F683&gt;0),G683/F683-1,"")</f>
        <v/>
      </c>
      <c r="I683" s="22" t="n">
        <v>12.476893</v>
      </c>
      <c r="J683" s="23">
        <f>IF(AND(ISNUMBER(F683),ISNUMBER(I683),F683&gt;0),I683/F683-1,"")</f>
        <v/>
      </c>
      <c r="K683" s="22" t="n">
        <v>15.670974</v>
      </c>
      <c r="L683" s="23">
        <f>IF(AND(ISNUMBER(F683),ISNUMBER(K683),F683&gt;0),K683/F683-1,"")</f>
        <v/>
      </c>
      <c r="M683" s="24" t="n">
        <v>5</v>
      </c>
      <c r="N683" s="25" t="n">
        <v>0.08</v>
      </c>
      <c r="O683" s="26">
        <f>IF(AND(ISNUMBER(F683),ISNUMBER(N683),F683&gt;0),N683/F683,"")</f>
        <v/>
      </c>
      <c r="P683" s="27" t="n">
        <v>46212</v>
      </c>
      <c r="Q683" s="27" t="n">
        <v>46408</v>
      </c>
      <c r="R683" s="25" t="n">
        <v>0.36</v>
      </c>
      <c r="S683" s="28">
        <f>IF(AND(ISNUMBER(F683),ISNUMBER(R683),R683&gt;0),F683/R683,"")</f>
        <v/>
      </c>
      <c r="T683" s="27" t="n">
        <v>46323</v>
      </c>
    </row>
    <row r="684">
      <c r="A684" s="11" t="inlineStr">
        <is>
          <t>COO</t>
        </is>
      </c>
      <c r="B684" s="11" t="inlineStr">
        <is>
          <t>The Cooper Companies, Inc.</t>
        </is>
      </c>
      <c r="C684" s="11" t="inlineStr">
        <is>
          <t>Medical Instruments &amp; Supplies</t>
        </is>
      </c>
      <c r="D684" s="11" t="inlineStr">
        <is>
          <t>United States</t>
        </is>
      </c>
      <c r="E684" s="12" t="n">
        <v>11.39</v>
      </c>
      <c r="F684" s="13" t="n">
        <v>59.88</v>
      </c>
      <c r="G684" s="13" t="n">
        <v>65.8</v>
      </c>
      <c r="H684" s="14">
        <f>IF(AND(ISNUMBER(F684),ISNUMBER(G684),F684&gt;0),G684/F684-1,"")</f>
        <v/>
      </c>
      <c r="I684" s="13" t="n">
        <v>58</v>
      </c>
      <c r="J684" s="14">
        <f>IF(AND(ISNUMBER(F684),ISNUMBER(I684),F684&gt;0),I684/F684-1,"")</f>
        <v/>
      </c>
      <c r="K684" s="13" t="n">
        <v>75</v>
      </c>
      <c r="L684" s="14">
        <f>IF(AND(ISNUMBER(F684),ISNUMBER(K684),F684&gt;0),K684/F684-1,"")</f>
        <v/>
      </c>
      <c r="M684" s="15" t="n">
        <v>15</v>
      </c>
      <c r="N684" s="16" t="n"/>
      <c r="O684" s="17">
        <f>IF(AND(ISNUMBER(F684),ISNUMBER(N684),F684&gt;0),N684/F684,"")</f>
        <v/>
      </c>
      <c r="P684" s="18" t="n"/>
      <c r="Q684" s="18" t="n">
        <v>46274</v>
      </c>
      <c r="R684" s="16" t="n">
        <v>2.91</v>
      </c>
      <c r="S684" s="19">
        <f>IF(AND(ISNUMBER(F684),ISNUMBER(R684),R684&gt;0),F684/R684,"")</f>
        <v/>
      </c>
      <c r="T684" s="18" t="n">
        <v>46323</v>
      </c>
    </row>
    <row r="685">
      <c r="A685" s="20" t="inlineStr">
        <is>
          <t>NYT</t>
        </is>
      </c>
      <c r="B685" s="20" t="inlineStr">
        <is>
          <t>New York Times Company (The)</t>
        </is>
      </c>
      <c r="C685" s="20" t="inlineStr">
        <is>
          <t>Publishing</t>
        </is>
      </c>
      <c r="D685" s="20" t="inlineStr">
        <is>
          <t>United States</t>
        </is>
      </c>
      <c r="E685" s="21" t="n">
        <v>11.26</v>
      </c>
      <c r="F685" s="22" t="n">
        <v>69.81</v>
      </c>
      <c r="G685" s="22" t="n">
        <v>76.88889</v>
      </c>
      <c r="H685" s="23">
        <f>IF(AND(ISNUMBER(F685),ISNUMBER(G685),F685&gt;0),G685/F685-1,"")</f>
        <v/>
      </c>
      <c r="I685" s="22" t="n">
        <v>63</v>
      </c>
      <c r="J685" s="23">
        <f>IF(AND(ISNUMBER(F685),ISNUMBER(I685),F685&gt;0),I685/F685-1,"")</f>
        <v/>
      </c>
      <c r="K685" s="22" t="n">
        <v>85</v>
      </c>
      <c r="L685" s="23">
        <f>IF(AND(ISNUMBER(F685),ISNUMBER(K685),F685&gt;0),K685/F685-1,"")</f>
        <v/>
      </c>
      <c r="M685" s="24" t="n">
        <v>9</v>
      </c>
      <c r="N685" s="25" t="n">
        <v>0.92</v>
      </c>
      <c r="O685" s="26">
        <f>IF(AND(ISNUMBER(F685),ISNUMBER(N685),F685&gt;0),N685/F685,"")</f>
        <v/>
      </c>
      <c r="P685" s="27" t="n">
        <v>46302</v>
      </c>
      <c r="Q685" s="27" t="n">
        <v>46330</v>
      </c>
      <c r="R685" s="25" t="n">
        <v>2.4</v>
      </c>
      <c r="S685" s="28">
        <f>IF(AND(ISNUMBER(F685),ISNUMBER(R685),R685&gt;0),F685/R685,"")</f>
        <v/>
      </c>
      <c r="T685" s="27" t="n">
        <v>46323</v>
      </c>
    </row>
    <row r="686">
      <c r="A686" s="11" t="inlineStr">
        <is>
          <t>ARW</t>
        </is>
      </c>
      <c r="B686" s="11" t="inlineStr">
        <is>
          <t>Arrow Electronics, Inc.</t>
        </is>
      </c>
      <c r="C686" s="11" t="inlineStr">
        <is>
          <t>Electronics &amp; Computer Distribution</t>
        </is>
      </c>
      <c r="D686" s="11" t="inlineStr">
        <is>
          <t>United States</t>
        </is>
      </c>
      <c r="E686" s="12" t="n">
        <v>11.18</v>
      </c>
      <c r="F686" s="13" t="n">
        <v>219.66</v>
      </c>
      <c r="G686" s="13" t="n">
        <v>235</v>
      </c>
      <c r="H686" s="14">
        <f>IF(AND(ISNUMBER(F686),ISNUMBER(G686),F686&gt;0),G686/F686-1,"")</f>
        <v/>
      </c>
      <c r="I686" s="13" t="n">
        <v>200</v>
      </c>
      <c r="J686" s="14">
        <f>IF(AND(ISNUMBER(F686),ISNUMBER(I686),F686&gt;0),I686/F686-1,"")</f>
        <v/>
      </c>
      <c r="K686" s="13" t="n">
        <v>250</v>
      </c>
      <c r="L686" s="14">
        <f>IF(AND(ISNUMBER(F686),ISNUMBER(K686),F686&gt;0),K686/F686-1,"")</f>
        <v/>
      </c>
      <c r="M686" s="15" t="n">
        <v>4</v>
      </c>
      <c r="N686" s="16" t="n"/>
      <c r="O686" s="17">
        <f>IF(AND(ISNUMBER(F686),ISNUMBER(N686),F686&gt;0),N686/F686,"")</f>
        <v/>
      </c>
      <c r="P686" s="18" t="n"/>
      <c r="Q686" s="18" t="n">
        <v>46331</v>
      </c>
      <c r="R686" s="16" t="n">
        <v>15.64</v>
      </c>
      <c r="S686" s="19">
        <f>IF(AND(ISNUMBER(F686),ISNUMBER(R686),R686&gt;0),F686/R686,"")</f>
        <v/>
      </c>
      <c r="T686" s="18" t="n">
        <v>46323</v>
      </c>
    </row>
    <row r="687">
      <c r="A687" s="20" t="inlineStr">
        <is>
          <t>GRAB</t>
        </is>
      </c>
      <c r="B687" s="20" t="inlineStr">
        <is>
          <t>Grab Holdings Limited</t>
        </is>
      </c>
      <c r="C687" s="20" t="inlineStr">
        <is>
          <t>Software - Application</t>
        </is>
      </c>
      <c r="D687" s="20" t="inlineStr">
        <is>
          <t>Singapore</t>
        </is>
      </c>
      <c r="E687" s="21" t="n">
        <v>11.13</v>
      </c>
      <c r="F687" s="22" t="n">
        <v>2.72</v>
      </c>
      <c r="G687" s="22" t="n">
        <v>5.53783</v>
      </c>
      <c r="H687" s="23">
        <f>IF(AND(ISNUMBER(F687),ISNUMBER(G687),F687&gt;0),G687/F687-1,"")</f>
        <v/>
      </c>
      <c r="I687" s="22" t="n">
        <v>4</v>
      </c>
      <c r="J687" s="23">
        <f>IF(AND(ISNUMBER(F687),ISNUMBER(I687),F687&gt;0),I687/F687-1,"")</f>
        <v/>
      </c>
      <c r="K687" s="22" t="n">
        <v>7</v>
      </c>
      <c r="L687" s="23">
        <f>IF(AND(ISNUMBER(F687),ISNUMBER(K687),F687&gt;0),K687/F687-1,"")</f>
        <v/>
      </c>
      <c r="M687" s="24" t="n">
        <v>23</v>
      </c>
      <c r="N687" s="25" t="n"/>
      <c r="O687" s="26">
        <f>IF(AND(ISNUMBER(F687),ISNUMBER(N687),F687&gt;0),N687/F687,"")</f>
        <v/>
      </c>
      <c r="P687" s="27" t="n"/>
      <c r="Q687" s="27" t="n">
        <v>46328</v>
      </c>
      <c r="R687" s="25" t="n">
        <v>0.11</v>
      </c>
      <c r="S687" s="28">
        <f>IF(AND(ISNUMBER(F687),ISNUMBER(R687),R687&gt;0),F687/R687,"")</f>
        <v/>
      </c>
      <c r="T687" s="27" t="n">
        <v>46323</v>
      </c>
    </row>
    <row r="688">
      <c r="A688" s="11" t="inlineStr">
        <is>
          <t>IREN</t>
        </is>
      </c>
      <c r="B688" s="11" t="inlineStr">
        <is>
          <t>IREN LIMITED</t>
        </is>
      </c>
      <c r="C688" s="11" t="inlineStr">
        <is>
          <t>Capital Markets</t>
        </is>
      </c>
      <c r="D688" s="11" t="inlineStr">
        <is>
          <t>Australia</t>
        </is>
      </c>
      <c r="E688" s="12" t="n">
        <v>11.1</v>
      </c>
      <c r="F688" s="13" t="n">
        <v>27.44</v>
      </c>
      <c r="G688" s="13" t="n">
        <v>77.80556</v>
      </c>
      <c r="H688" s="14">
        <f>IF(AND(ISNUMBER(F688),ISNUMBER(G688),F688&gt;0),G688/F688-1,"")</f>
        <v/>
      </c>
      <c r="I688" s="13" t="n">
        <v>37</v>
      </c>
      <c r="J688" s="14">
        <f>IF(AND(ISNUMBER(F688),ISNUMBER(I688),F688&gt;0),I688/F688-1,"")</f>
        <v/>
      </c>
      <c r="K688" s="13" t="n">
        <v>139</v>
      </c>
      <c r="L688" s="14">
        <f>IF(AND(ISNUMBER(F688),ISNUMBER(K688),F688&gt;0),K688/F688-1,"")</f>
        <v/>
      </c>
      <c r="M688" s="15" t="n">
        <v>18</v>
      </c>
      <c r="N688" s="16" t="n"/>
      <c r="O688" s="17">
        <f>IF(AND(ISNUMBER(F688),ISNUMBER(N688),F688&gt;0),N688/F688,"")</f>
        <v/>
      </c>
      <c r="P688" s="18" t="n"/>
      <c r="Q688" s="18" t="n">
        <v>46331</v>
      </c>
      <c r="R688" s="16" t="n">
        <v>-2.22</v>
      </c>
      <c r="S688" s="19">
        <f>IF(AND(ISNUMBER(F688),ISNUMBER(R688),R688&gt;0),F688/R688,"")</f>
        <v/>
      </c>
      <c r="T688" s="18" t="n">
        <v>46323</v>
      </c>
    </row>
    <row r="689">
      <c r="A689" s="20" t="inlineStr">
        <is>
          <t>JKHY</t>
        </is>
      </c>
      <c r="B689" s="20" t="inlineStr">
        <is>
          <t>Jack Henry &amp; Associates, Inc.</t>
        </is>
      </c>
      <c r="C689" s="20" t="inlineStr">
        <is>
          <t>Information Technology Services</t>
        </is>
      </c>
      <c r="D689" s="20" t="inlineStr">
        <is>
          <t>United States</t>
        </is>
      </c>
      <c r="E689" s="21" t="n">
        <v>11.1</v>
      </c>
      <c r="F689" s="22" t="n">
        <v>158.25</v>
      </c>
      <c r="G689" s="22" t="n">
        <v>188.10526</v>
      </c>
      <c r="H689" s="23">
        <f>IF(AND(ISNUMBER(F689),ISNUMBER(G689),F689&gt;0),G689/F689-1,"")</f>
        <v/>
      </c>
      <c r="I689" s="22" t="n">
        <v>158</v>
      </c>
      <c r="J689" s="23">
        <f>IF(AND(ISNUMBER(F689),ISNUMBER(I689),F689&gt;0),I689/F689-1,"")</f>
        <v/>
      </c>
      <c r="K689" s="22" t="n">
        <v>209</v>
      </c>
      <c r="L689" s="23">
        <f>IF(AND(ISNUMBER(F689),ISNUMBER(K689),F689&gt;0),K689/F689-1,"")</f>
        <v/>
      </c>
      <c r="M689" s="24" t="n">
        <v>19</v>
      </c>
      <c r="N689" s="25" t="n">
        <v>2.44</v>
      </c>
      <c r="O689" s="26">
        <f>IF(AND(ISNUMBER(F689),ISNUMBER(N689),F689&gt;0),N689/F689,"")</f>
        <v/>
      </c>
      <c r="P689" s="27" t="n">
        <v>46269</v>
      </c>
      <c r="Q689" s="27" t="n">
        <v>46329</v>
      </c>
      <c r="R689" s="25" t="n">
        <v>6.98</v>
      </c>
      <c r="S689" s="28">
        <f>IF(AND(ISNUMBER(F689),ISNUMBER(R689),R689&gt;0),F689/R689,"")</f>
        <v/>
      </c>
      <c r="T689" s="27" t="n">
        <v>46323</v>
      </c>
    </row>
    <row r="690">
      <c r="A690" s="11" t="inlineStr">
        <is>
          <t>HII</t>
        </is>
      </c>
      <c r="B690" s="11" t="inlineStr">
        <is>
          <t xml:space="preserve">Huntington Ingalls Industries, </t>
        </is>
      </c>
      <c r="C690" s="11" t="inlineStr">
        <is>
          <t>Aerospace &amp; Defense</t>
        </is>
      </c>
      <c r="D690" s="11" t="inlineStr">
        <is>
          <t>United States</t>
        </is>
      </c>
      <c r="E690" s="12" t="n">
        <v>11.09</v>
      </c>
      <c r="F690" s="13" t="n">
        <v>281.32</v>
      </c>
      <c r="G690" s="13" t="n">
        <v>356.41666</v>
      </c>
      <c r="H690" s="14">
        <f>IF(AND(ISNUMBER(F690),ISNUMBER(G690),F690&gt;0),G690/F690-1,"")</f>
        <v/>
      </c>
      <c r="I690" s="13" t="n">
        <v>281</v>
      </c>
      <c r="J690" s="14">
        <f>IF(AND(ISNUMBER(F690),ISNUMBER(I690),F690&gt;0),I690/F690-1,"")</f>
        <v/>
      </c>
      <c r="K690" s="13" t="n">
        <v>406</v>
      </c>
      <c r="L690" s="14">
        <f>IF(AND(ISNUMBER(F690),ISNUMBER(K690),F690&gt;0),K690/F690-1,"")</f>
        <v/>
      </c>
      <c r="M690" s="15" t="n">
        <v>12</v>
      </c>
      <c r="N690" s="16" t="n">
        <v>5.64</v>
      </c>
      <c r="O690" s="17">
        <f>IF(AND(ISNUMBER(F690),ISNUMBER(N690),F690&gt;0),N690/F690,"")</f>
        <v/>
      </c>
      <c r="P690" s="18" t="n">
        <v>46353</v>
      </c>
      <c r="Q690" s="18" t="n">
        <v>46324</v>
      </c>
      <c r="R690" s="16" t="n">
        <v>16.78</v>
      </c>
      <c r="S690" s="19">
        <f>IF(AND(ISNUMBER(F690),ISNUMBER(R690),R690&gt;0),F690/R690,"")</f>
        <v/>
      </c>
      <c r="T690" s="18" t="n">
        <v>46323</v>
      </c>
    </row>
    <row r="691">
      <c r="A691" s="20" t="inlineStr">
        <is>
          <t>ESTC</t>
        </is>
      </c>
      <c r="B691" s="20" t="inlineStr">
        <is>
          <t>Elastic N.V.</t>
        </is>
      </c>
      <c r="C691" s="20" t="inlineStr">
        <is>
          <t>Software - Application</t>
        </is>
      </c>
      <c r="D691" s="20" t="inlineStr">
        <is>
          <t>Netherlands</t>
        </is>
      </c>
      <c r="E691" s="21" t="n">
        <v>11.08</v>
      </c>
      <c r="F691" s="22" t="n">
        <v>105.52</v>
      </c>
      <c r="G691" s="22" t="n">
        <v>111.74074</v>
      </c>
      <c r="H691" s="23">
        <f>IF(AND(ISNUMBER(F691),ISNUMBER(G691),F691&gt;0),G691/F691-1,"")</f>
        <v/>
      </c>
      <c r="I691" s="22" t="n">
        <v>75</v>
      </c>
      <c r="J691" s="23">
        <f>IF(AND(ISNUMBER(F691),ISNUMBER(I691),F691&gt;0),I691/F691-1,"")</f>
        <v/>
      </c>
      <c r="K691" s="22" t="n">
        <v>130</v>
      </c>
      <c r="L691" s="23">
        <f>IF(AND(ISNUMBER(F691),ISNUMBER(K691),F691&gt;0),K691/F691-1,"")</f>
        <v/>
      </c>
      <c r="M691" s="24" t="n">
        <v>27</v>
      </c>
      <c r="N691" s="25" t="n"/>
      <c r="O691" s="26">
        <f>IF(AND(ISNUMBER(F691),ISNUMBER(N691),F691&gt;0),N691/F691,"")</f>
        <v/>
      </c>
      <c r="P691" s="27" t="n"/>
      <c r="Q691" s="27" t="n">
        <v>46345</v>
      </c>
      <c r="R691" s="25" t="n">
        <v>3.5</v>
      </c>
      <c r="S691" s="28">
        <f>IF(AND(ISNUMBER(F691),ISNUMBER(R691),R691&gt;0),F691/R691,"")</f>
        <v/>
      </c>
      <c r="T691" s="27" t="n">
        <v>46323</v>
      </c>
    </row>
    <row r="692">
      <c r="A692" s="11" t="inlineStr">
        <is>
          <t>QXO</t>
        </is>
      </c>
      <c r="B692" s="11" t="inlineStr">
        <is>
          <t>QXO, Inc.</t>
        </is>
      </c>
      <c r="C692" s="11" t="inlineStr">
        <is>
          <t>Industrial Distribution</t>
        </is>
      </c>
      <c r="D692" s="11" t="inlineStr">
        <is>
          <t>United States</t>
        </is>
      </c>
      <c r="E692" s="12" t="n">
        <v>11.04</v>
      </c>
      <c r="F692" s="13" t="n">
        <v>10.64</v>
      </c>
      <c r="G692" s="13" t="n">
        <v>24.27778</v>
      </c>
      <c r="H692" s="14">
        <f>IF(AND(ISNUMBER(F692),ISNUMBER(G692),F692&gt;0),G692/F692-1,"")</f>
        <v/>
      </c>
      <c r="I692" s="13" t="n">
        <v>14</v>
      </c>
      <c r="J692" s="14">
        <f>IF(AND(ISNUMBER(F692),ISNUMBER(I692),F692&gt;0),I692/F692-1,"")</f>
        <v/>
      </c>
      <c r="K692" s="13" t="n">
        <v>50</v>
      </c>
      <c r="L692" s="14">
        <f>IF(AND(ISNUMBER(F692),ISNUMBER(K692),F692&gt;0),K692/F692-1,"")</f>
        <v/>
      </c>
      <c r="M692" s="15" t="n">
        <v>18</v>
      </c>
      <c r="N692" s="16" t="n"/>
      <c r="O692" s="17">
        <f>IF(AND(ISNUMBER(F692),ISNUMBER(N692),F692&gt;0),N692/F692,"")</f>
        <v/>
      </c>
      <c r="P692" s="18" t="n"/>
      <c r="Q692" s="18" t="n">
        <v>46331</v>
      </c>
      <c r="R692" s="16" t="n">
        <v>-0.89</v>
      </c>
      <c r="S692" s="19">
        <f>IF(AND(ISNUMBER(F692),ISNUMBER(R692),R692&gt;0),F692/R692,"")</f>
        <v/>
      </c>
      <c r="T692" s="18" t="n">
        <v>46323</v>
      </c>
    </row>
    <row r="693">
      <c r="A693" s="20" t="inlineStr">
        <is>
          <t>BXP</t>
        </is>
      </c>
      <c r="B693" s="20" t="inlineStr">
        <is>
          <t>BXP, Inc.</t>
        </is>
      </c>
      <c r="C693" s="20" t="inlineStr">
        <is>
          <t>Reit - Office</t>
        </is>
      </c>
      <c r="D693" s="20" t="inlineStr">
        <is>
          <t>United States</t>
        </is>
      </c>
      <c r="E693" s="21" t="n">
        <v>11.01</v>
      </c>
      <c r="F693" s="22" t="n">
        <v>60.89</v>
      </c>
      <c r="G693" s="22" t="n">
        <v>73.3</v>
      </c>
      <c r="H693" s="23">
        <f>IF(AND(ISNUMBER(F693),ISNUMBER(G693),F693&gt;0),G693/F693-1,"")</f>
        <v/>
      </c>
      <c r="I693" s="22" t="n">
        <v>54</v>
      </c>
      <c r="J693" s="23">
        <f>IF(AND(ISNUMBER(F693),ISNUMBER(I693),F693&gt;0),I693/F693-1,"")</f>
        <v/>
      </c>
      <c r="K693" s="22" t="n">
        <v>95</v>
      </c>
      <c r="L693" s="23">
        <f>IF(AND(ISNUMBER(F693),ISNUMBER(K693),F693&gt;0),K693/F693-1,"")</f>
        <v/>
      </c>
      <c r="M693" s="24" t="n">
        <v>20</v>
      </c>
      <c r="N693" s="25" t="n">
        <v>2.8</v>
      </c>
      <c r="O693" s="26">
        <f>IF(AND(ISNUMBER(F693),ISNUMBER(N693),F693&gt;0),N693/F693,"")</f>
        <v/>
      </c>
      <c r="P693" s="27" t="n">
        <v>46295</v>
      </c>
      <c r="Q693" s="27" t="n">
        <v>46322</v>
      </c>
      <c r="R693" s="25" t="n">
        <v>1.86</v>
      </c>
      <c r="S693" s="28">
        <f>IF(AND(ISNUMBER(F693),ISNUMBER(R693),R693&gt;0),F693/R693,"")</f>
        <v/>
      </c>
      <c r="T693" s="27" t="n">
        <v>46323</v>
      </c>
    </row>
    <row r="694">
      <c r="A694" s="11" t="inlineStr">
        <is>
          <t>LI</t>
        </is>
      </c>
      <c r="B694" s="11" t="inlineStr">
        <is>
          <t>Li Auto Inc.</t>
        </is>
      </c>
      <c r="C694" s="11" t="inlineStr">
        <is>
          <t>Auto Manufacturers</t>
        </is>
      </c>
      <c r="D694" s="11" t="inlineStr">
        <is>
          <t>China</t>
        </is>
      </c>
      <c r="E694" s="12" t="n">
        <v>11</v>
      </c>
      <c r="F694" s="13" t="n">
        <v>11.26</v>
      </c>
      <c r="G694" s="13" t="n">
        <v>14.977847</v>
      </c>
      <c r="H694" s="14">
        <f>IF(AND(ISNUMBER(F694),ISNUMBER(G694),F694&gt;0),G694/F694-1,"")</f>
        <v/>
      </c>
      <c r="I694" s="13" t="n">
        <v>9.007199999999999</v>
      </c>
      <c r="J694" s="14">
        <f>IF(AND(ISNUMBER(F694),ISNUMBER(I694),F694&gt;0),I694/F694-1,"")</f>
        <v/>
      </c>
      <c r="K694" s="13" t="n">
        <v>20.707518</v>
      </c>
      <c r="L694" s="14">
        <f>IF(AND(ISNUMBER(F694),ISNUMBER(K694),F694&gt;0),K694/F694-1,"")</f>
        <v/>
      </c>
      <c r="M694" s="15" t="n">
        <v>23</v>
      </c>
      <c r="N694" s="16" t="n"/>
      <c r="O694" s="17">
        <f>IF(AND(ISNUMBER(F694),ISNUMBER(N694),F694&gt;0),N694/F694,"")</f>
        <v/>
      </c>
      <c r="P694" s="18" t="n"/>
      <c r="Q694" s="18" t="n">
        <v>46351</v>
      </c>
      <c r="R694" s="16" t="n">
        <v>-0.65</v>
      </c>
      <c r="S694" s="19">
        <f>IF(AND(ISNUMBER(F694),ISNUMBER(R694),R694&gt;0),F694/R694,"")</f>
        <v/>
      </c>
      <c r="T694" s="18" t="n">
        <v>46323</v>
      </c>
    </row>
    <row r="695">
      <c r="A695" s="20" t="inlineStr">
        <is>
          <t>PSKY</t>
        </is>
      </c>
      <c r="B695" s="20" t="inlineStr">
        <is>
          <t>Paramount Skydance Corporation</t>
        </is>
      </c>
      <c r="C695" s="20" t="inlineStr">
        <is>
          <t>Entertainment</t>
        </is>
      </c>
      <c r="D695" s="20" t="inlineStr">
        <is>
          <t>United States</t>
        </is>
      </c>
      <c r="E695" s="21" t="n">
        <v>10.99</v>
      </c>
      <c r="F695" s="22" t="n">
        <v>9.779999999999999</v>
      </c>
      <c r="G695" s="22" t="n">
        <v>9.924379999999999</v>
      </c>
      <c r="H695" s="23">
        <f>IF(AND(ISNUMBER(F695),ISNUMBER(G695),F695&gt;0),G695/F695-1,"")</f>
        <v/>
      </c>
      <c r="I695" s="22" t="n">
        <v>2</v>
      </c>
      <c r="J695" s="23">
        <f>IF(AND(ISNUMBER(F695),ISNUMBER(I695),F695&gt;0),I695/F695-1,"")</f>
        <v/>
      </c>
      <c r="K695" s="22" t="n">
        <v>16</v>
      </c>
      <c r="L695" s="23">
        <f>IF(AND(ISNUMBER(F695),ISNUMBER(K695),F695&gt;0),K695/F695-1,"")</f>
        <v/>
      </c>
      <c r="M695" s="24" t="n">
        <v>16</v>
      </c>
      <c r="N695" s="25" t="n">
        <v>0.2</v>
      </c>
      <c r="O695" s="26">
        <f>IF(AND(ISNUMBER(F695),ISNUMBER(N695),F695&gt;0),N695/F695,"")</f>
        <v/>
      </c>
      <c r="P695" s="27" t="n">
        <v>46280</v>
      </c>
      <c r="Q695" s="27" t="n">
        <v>46335</v>
      </c>
      <c r="R695" s="25" t="n">
        <v>-0.02</v>
      </c>
      <c r="S695" s="28">
        <f>IF(AND(ISNUMBER(F695),ISNUMBER(R695),R695&gt;0),F695/R695,"")</f>
        <v/>
      </c>
      <c r="T695" s="27" t="n">
        <v>46323</v>
      </c>
    </row>
    <row r="696">
      <c r="A696" s="11" t="inlineStr">
        <is>
          <t>DECK</t>
        </is>
      </c>
      <c r="B696" s="11" t="inlineStr">
        <is>
          <t>Deckers Outdoor Corporation</t>
        </is>
      </c>
      <c r="C696" s="11" t="inlineStr">
        <is>
          <t>Footwear &amp; Accessories</t>
        </is>
      </c>
      <c r="D696" s="11" t="inlineStr">
        <is>
          <t>United States</t>
        </is>
      </c>
      <c r="E696" s="12" t="n">
        <v>10.97</v>
      </c>
      <c r="F696" s="13" t="n">
        <v>80.54000000000001</v>
      </c>
      <c r="G696" s="13" t="n">
        <v>96.74285999999999</v>
      </c>
      <c r="H696" s="14">
        <f>IF(AND(ISNUMBER(F696),ISNUMBER(G696),F696&gt;0),G696/F696-1,"")</f>
        <v/>
      </c>
      <c r="I696" s="13" t="n">
        <v>70</v>
      </c>
      <c r="J696" s="14">
        <f>IF(AND(ISNUMBER(F696),ISNUMBER(I696),F696&gt;0),I696/F696-1,"")</f>
        <v/>
      </c>
      <c r="K696" s="13" t="n">
        <v>137</v>
      </c>
      <c r="L696" s="14">
        <f>IF(AND(ISNUMBER(F696),ISNUMBER(K696),F696&gt;0),K696/F696-1,"")</f>
        <v/>
      </c>
      <c r="M696" s="15" t="n">
        <v>21</v>
      </c>
      <c r="N696" s="16" t="n"/>
      <c r="O696" s="17">
        <f>IF(AND(ISNUMBER(F696),ISNUMBER(N696),F696&gt;0),N696/F696,"")</f>
        <v/>
      </c>
      <c r="P696" s="18" t="n"/>
      <c r="Q696" s="18" t="n">
        <v>46317</v>
      </c>
      <c r="R696" s="16" t="n">
        <v>7.48</v>
      </c>
      <c r="S696" s="19">
        <f>IF(AND(ISNUMBER(F696),ISNUMBER(R696),R696&gt;0),F696/R696,"")</f>
        <v/>
      </c>
      <c r="T696" s="18" t="n">
        <v>46323</v>
      </c>
    </row>
    <row r="697">
      <c r="A697" s="20" t="inlineStr">
        <is>
          <t>TXRH</t>
        </is>
      </c>
      <c r="B697" s="20" t="inlineStr">
        <is>
          <t>Texas Roadhouse, Inc.</t>
        </is>
      </c>
      <c r="C697" s="20" t="inlineStr">
        <is>
          <t>Restaurants</t>
        </is>
      </c>
      <c r="D697" s="20" t="inlineStr">
        <is>
          <t>United States</t>
        </is>
      </c>
      <c r="E697" s="21" t="n">
        <v>10.94</v>
      </c>
      <c r="F697" s="22" t="n">
        <v>166.71</v>
      </c>
      <c r="G697" s="22" t="n">
        <v>207.45833</v>
      </c>
      <c r="H697" s="23">
        <f>IF(AND(ISNUMBER(F697),ISNUMBER(G697),F697&gt;0),G697/F697-1,"")</f>
        <v/>
      </c>
      <c r="I697" s="22" t="n">
        <v>133</v>
      </c>
      <c r="J697" s="23">
        <f>IF(AND(ISNUMBER(F697),ISNUMBER(I697),F697&gt;0),I697/F697-1,"")</f>
        <v/>
      </c>
      <c r="K697" s="22" t="n">
        <v>251</v>
      </c>
      <c r="L697" s="23">
        <f>IF(AND(ISNUMBER(F697),ISNUMBER(K697),F697&gt;0),K697/F697-1,"")</f>
        <v/>
      </c>
      <c r="M697" s="24" t="n">
        <v>24</v>
      </c>
      <c r="N697" s="25" t="n">
        <v>3</v>
      </c>
      <c r="O697" s="26">
        <f>IF(AND(ISNUMBER(F697),ISNUMBER(N697),F697&gt;0),N697/F697,"")</f>
        <v/>
      </c>
      <c r="P697" s="27" t="n">
        <v>46266</v>
      </c>
      <c r="Q697" s="27" t="n">
        <v>46331</v>
      </c>
      <c r="R697" s="25" t="n">
        <v>6.25</v>
      </c>
      <c r="S697" s="28">
        <f>IF(AND(ISNUMBER(F697),ISNUMBER(R697),R697&gt;0),F697/R697,"")</f>
        <v/>
      </c>
      <c r="T697" s="27" t="n">
        <v>46323</v>
      </c>
    </row>
    <row r="698">
      <c r="A698" s="11" t="inlineStr">
        <is>
          <t>FDS</t>
        </is>
      </c>
      <c r="B698" s="11" t="inlineStr">
        <is>
          <t>FactSet Research Systems Inc.</t>
        </is>
      </c>
      <c r="C698" s="11" t="inlineStr">
        <is>
          <t>Financial Data &amp; Stock Exchanges</t>
        </is>
      </c>
      <c r="D698" s="11" t="inlineStr">
        <is>
          <t>United States</t>
        </is>
      </c>
      <c r="E698" s="12" t="n">
        <v>10.92</v>
      </c>
      <c r="F698" s="13" t="n">
        <v>309.54</v>
      </c>
      <c r="G698" s="13" t="n">
        <v>280</v>
      </c>
      <c r="H698" s="14">
        <f>IF(AND(ISNUMBER(F698),ISNUMBER(G698),F698&gt;0),G698/F698-1,"")</f>
        <v/>
      </c>
      <c r="I698" s="13" t="n">
        <v>212</v>
      </c>
      <c r="J698" s="14">
        <f>IF(AND(ISNUMBER(F698),ISNUMBER(I698),F698&gt;0),I698/F698-1,"")</f>
        <v/>
      </c>
      <c r="K698" s="13" t="n">
        <v>340</v>
      </c>
      <c r="L698" s="14">
        <f>IF(AND(ISNUMBER(F698),ISNUMBER(K698),F698&gt;0),K698/F698-1,"")</f>
        <v/>
      </c>
      <c r="M698" s="15" t="n">
        <v>16</v>
      </c>
      <c r="N698" s="16" t="n">
        <v>4.64</v>
      </c>
      <c r="O698" s="17">
        <f>IF(AND(ISNUMBER(F698),ISNUMBER(N698),F698&gt;0),N698/F698,"")</f>
        <v/>
      </c>
      <c r="P698" s="18" t="n">
        <v>46265</v>
      </c>
      <c r="Q698" s="18" t="n">
        <v>46373</v>
      </c>
      <c r="R698" s="16" t="n">
        <v>14.57</v>
      </c>
      <c r="S698" s="19">
        <f>IF(AND(ISNUMBER(F698),ISNUMBER(R698),R698&gt;0),F698/R698,"")</f>
        <v/>
      </c>
      <c r="T698" s="18" t="n">
        <v>46323</v>
      </c>
    </row>
    <row r="699">
      <c r="A699" s="20" t="inlineStr">
        <is>
          <t>CHYM</t>
        </is>
      </c>
      <c r="B699" s="20" t="inlineStr">
        <is>
          <t>Chime Financial, Inc.</t>
        </is>
      </c>
      <c r="C699" s="20" t="inlineStr">
        <is>
          <t>Software - Application</t>
        </is>
      </c>
      <c r="D699" s="20" t="inlineStr">
        <is>
          <t>United States</t>
        </is>
      </c>
      <c r="E699" s="21" t="n">
        <v>10.81</v>
      </c>
      <c r="F699" s="22" t="n">
        <v>28.55</v>
      </c>
      <c r="G699" s="22" t="n">
        <v>39.54545</v>
      </c>
      <c r="H699" s="23">
        <f>IF(AND(ISNUMBER(F699),ISNUMBER(G699),F699&gt;0),G699/F699-1,"")</f>
        <v/>
      </c>
      <c r="I699" s="22" t="n">
        <v>31</v>
      </c>
      <c r="J699" s="23">
        <f>IF(AND(ISNUMBER(F699),ISNUMBER(I699),F699&gt;0),I699/F699-1,"")</f>
        <v/>
      </c>
      <c r="K699" s="22" t="n">
        <v>50</v>
      </c>
      <c r="L699" s="23">
        <f>IF(AND(ISNUMBER(F699),ISNUMBER(K699),F699&gt;0),K699/F699-1,"")</f>
        <v/>
      </c>
      <c r="M699" s="24" t="n">
        <v>22</v>
      </c>
      <c r="N699" s="25" t="n"/>
      <c r="O699" s="26">
        <f>IF(AND(ISNUMBER(F699),ISNUMBER(N699),F699&gt;0),N699/F699,"")</f>
        <v/>
      </c>
      <c r="P699" s="27" t="n"/>
      <c r="Q699" s="27" t="n">
        <v>46330</v>
      </c>
      <c r="R699" s="25" t="n">
        <v>0.88</v>
      </c>
      <c r="S699" s="28">
        <f>IF(AND(ISNUMBER(F699),ISNUMBER(R699),R699&gt;0),F699/R699,"")</f>
        <v/>
      </c>
      <c r="T699" s="27" t="n">
        <v>46323</v>
      </c>
    </row>
    <row r="700">
      <c r="A700" s="11" t="inlineStr">
        <is>
          <t>ALGN</t>
        </is>
      </c>
      <c r="B700" s="11" t="inlineStr">
        <is>
          <t>Align Technology, Inc.</t>
        </is>
      </c>
      <c r="C700" s="11" t="inlineStr">
        <is>
          <t>Medical Instruments &amp; Supplies</t>
        </is>
      </c>
      <c r="D700" s="11" t="inlineStr">
        <is>
          <t>United States</t>
        </is>
      </c>
      <c r="E700" s="12" t="n">
        <v>10.79</v>
      </c>
      <c r="F700" s="13" t="n">
        <v>151.95</v>
      </c>
      <c r="G700" s="13" t="n">
        <v>188.85715</v>
      </c>
      <c r="H700" s="14">
        <f>IF(AND(ISNUMBER(F700),ISNUMBER(G700),F700&gt;0),G700/F700-1,"")</f>
        <v/>
      </c>
      <c r="I700" s="13" t="n">
        <v>155</v>
      </c>
      <c r="J700" s="14">
        <f>IF(AND(ISNUMBER(F700),ISNUMBER(I700),F700&gt;0),I700/F700-1,"")</f>
        <v/>
      </c>
      <c r="K700" s="13" t="n">
        <v>215</v>
      </c>
      <c r="L700" s="14">
        <f>IF(AND(ISNUMBER(F700),ISNUMBER(K700),F700&gt;0),K700/F700-1,"")</f>
        <v/>
      </c>
      <c r="M700" s="15" t="n">
        <v>14</v>
      </c>
      <c r="N700" s="16" t="n"/>
      <c r="O700" s="17">
        <f>IF(AND(ISNUMBER(F700),ISNUMBER(N700),F700&gt;0),N700/F700,"")</f>
        <v/>
      </c>
      <c r="P700" s="18" t="n"/>
      <c r="Q700" s="18" t="n">
        <v>46323</v>
      </c>
      <c r="R700" s="16" t="n">
        <v>5.75</v>
      </c>
      <c r="S700" s="19">
        <f>IF(AND(ISNUMBER(F700),ISNUMBER(R700),R700&gt;0),F700/R700,"")</f>
        <v/>
      </c>
      <c r="T700" s="18" t="n">
        <v>46323</v>
      </c>
    </row>
    <row r="701">
      <c r="A701" s="20" t="inlineStr">
        <is>
          <t>ONON</t>
        </is>
      </c>
      <c r="B701" s="20" t="inlineStr">
        <is>
          <t>On Holding AG</t>
        </is>
      </c>
      <c r="C701" s="20" t="inlineStr">
        <is>
          <t>Footwear &amp; Accessories</t>
        </is>
      </c>
      <c r="D701" s="20" t="inlineStr">
        <is>
          <t>Switzerland</t>
        </is>
      </c>
      <c r="E701" s="21" t="n">
        <v>10.75</v>
      </c>
      <c r="F701" s="22" t="n">
        <v>32.17</v>
      </c>
      <c r="G701" s="22" t="n">
        <v>43.425503</v>
      </c>
      <c r="H701" s="23">
        <f>IF(AND(ISNUMBER(F701),ISNUMBER(G701),F701&gt;0),G701/F701-1,"")</f>
        <v/>
      </c>
      <c r="I701" s="22" t="n">
        <v>19.85078</v>
      </c>
      <c r="J701" s="23">
        <f>IF(AND(ISNUMBER(F701),ISNUMBER(I701),F701&gt;0),I701/F701-1,"")</f>
        <v/>
      </c>
      <c r="K701" s="22" t="n">
        <v>71.561165</v>
      </c>
      <c r="L701" s="23">
        <f>IF(AND(ISNUMBER(F701),ISNUMBER(K701),F701&gt;0),K701/F701-1,"")</f>
        <v/>
      </c>
      <c r="M701" s="24" t="n">
        <v>30</v>
      </c>
      <c r="N701" s="25" t="n"/>
      <c r="O701" s="26">
        <f>IF(AND(ISNUMBER(F701),ISNUMBER(N701),F701&gt;0),N701/F701,"")</f>
        <v/>
      </c>
      <c r="P701" s="27" t="n"/>
      <c r="Q701" s="27" t="n">
        <v>46336</v>
      </c>
      <c r="R701" s="25" t="n">
        <v>1.5</v>
      </c>
      <c r="S701" s="28">
        <f>IF(AND(ISNUMBER(F701),ISNUMBER(R701),R701&gt;0),F701/R701,"")</f>
        <v/>
      </c>
      <c r="T701" s="27" t="n">
        <v>46323</v>
      </c>
    </row>
    <row r="702">
      <c r="A702" s="11" t="inlineStr">
        <is>
          <t>BMRN</t>
        </is>
      </c>
      <c r="B702" s="11" t="inlineStr">
        <is>
          <t>BioMarin Pharmaceutical Inc.</t>
        </is>
      </c>
      <c r="C702" s="11" t="inlineStr">
        <is>
          <t>Biotechnology</t>
        </is>
      </c>
      <c r="D702" s="11" t="inlineStr">
        <is>
          <t>United States</t>
        </is>
      </c>
      <c r="E702" s="12" t="n">
        <v>10.71</v>
      </c>
      <c r="F702" s="13" t="n">
        <v>55.35</v>
      </c>
      <c r="G702" s="13" t="n">
        <v>91.55556</v>
      </c>
      <c r="H702" s="14">
        <f>IF(AND(ISNUMBER(F702),ISNUMBER(G702),F702&gt;0),G702/F702-1,"")</f>
        <v/>
      </c>
      <c r="I702" s="13" t="n">
        <v>60</v>
      </c>
      <c r="J702" s="14">
        <f>IF(AND(ISNUMBER(F702),ISNUMBER(I702),F702&gt;0),I702/F702-1,"")</f>
        <v/>
      </c>
      <c r="K702" s="13" t="n">
        <v>122</v>
      </c>
      <c r="L702" s="14">
        <f>IF(AND(ISNUMBER(F702),ISNUMBER(K702),F702&gt;0),K702/F702-1,"")</f>
        <v/>
      </c>
      <c r="M702" s="15" t="n">
        <v>27</v>
      </c>
      <c r="N702" s="16" t="n"/>
      <c r="O702" s="17">
        <f>IF(AND(ISNUMBER(F702),ISNUMBER(N702),F702&gt;0),N702/F702,"")</f>
        <v/>
      </c>
      <c r="P702" s="18" t="n"/>
      <c r="Q702" s="18" t="n">
        <v>46328</v>
      </c>
      <c r="R702" s="16" t="n">
        <v>0.37</v>
      </c>
      <c r="S702" s="19">
        <f>IF(AND(ISNUMBER(F702),ISNUMBER(R702),R702&gt;0),F702/R702,"")</f>
        <v/>
      </c>
      <c r="T702" s="18" t="n">
        <v>46323</v>
      </c>
    </row>
    <row r="703">
      <c r="A703" s="20" t="inlineStr">
        <is>
          <t>FNF</t>
        </is>
      </c>
      <c r="B703" s="20" t="inlineStr">
        <is>
          <t>Fidelity National Financial, In</t>
        </is>
      </c>
      <c r="C703" s="20" t="inlineStr">
        <is>
          <t>Insurance - Specialty</t>
        </is>
      </c>
      <c r="D703" s="20" t="inlineStr">
        <is>
          <t>United States</t>
        </is>
      </c>
      <c r="E703" s="21" t="n">
        <v>10.58</v>
      </c>
      <c r="F703" s="22" t="n">
        <v>39.45</v>
      </c>
      <c r="G703" s="22" t="n">
        <v>54</v>
      </c>
      <c r="H703" s="23">
        <f>IF(AND(ISNUMBER(F703),ISNUMBER(G703),F703&gt;0),G703/F703-1,"")</f>
        <v/>
      </c>
      <c r="I703" s="22" t="n">
        <v>47</v>
      </c>
      <c r="J703" s="23">
        <f>IF(AND(ISNUMBER(F703),ISNUMBER(I703),F703&gt;0),I703/F703-1,"")</f>
        <v/>
      </c>
      <c r="K703" s="22" t="n">
        <v>61</v>
      </c>
      <c r="L703" s="23">
        <f>IF(AND(ISNUMBER(F703),ISNUMBER(K703),F703&gt;0),K703/F703-1,"")</f>
        <v/>
      </c>
      <c r="M703" s="24" t="n">
        <v>5</v>
      </c>
      <c r="N703" s="25" t="n">
        <v>2.08</v>
      </c>
      <c r="O703" s="26">
        <f>IF(AND(ISNUMBER(F703),ISNUMBER(N703),F703&gt;0),N703/F703,"")</f>
        <v/>
      </c>
      <c r="P703" s="27" t="n">
        <v>46281</v>
      </c>
      <c r="Q703" s="27" t="n">
        <v>46331</v>
      </c>
      <c r="R703" s="25" t="n">
        <v>2.88</v>
      </c>
      <c r="S703" s="28">
        <f>IF(AND(ISNUMBER(F703),ISNUMBER(R703),R703&gt;0),F703/R703,"")</f>
        <v/>
      </c>
      <c r="T703" s="27" t="n">
        <v>46323</v>
      </c>
    </row>
    <row r="704">
      <c r="A704" s="11" t="inlineStr">
        <is>
          <t>CLX</t>
        </is>
      </c>
      <c r="B704" s="11" t="inlineStr">
        <is>
          <t>Clorox Company (The)</t>
        </is>
      </c>
      <c r="C704" s="11" t="inlineStr">
        <is>
          <t>Household &amp; Personal Products</t>
        </is>
      </c>
      <c r="D704" s="11" t="inlineStr">
        <is>
          <t>United States</t>
        </is>
      </c>
      <c r="E704" s="12" t="n">
        <v>10.57</v>
      </c>
      <c r="F704" s="13" t="n">
        <v>87.36</v>
      </c>
      <c r="G704" s="13" t="n">
        <v>96.35294</v>
      </c>
      <c r="H704" s="14">
        <f>IF(AND(ISNUMBER(F704),ISNUMBER(G704),F704&gt;0),G704/F704-1,"")</f>
        <v/>
      </c>
      <c r="I704" s="13" t="n">
        <v>74</v>
      </c>
      <c r="J704" s="14">
        <f>IF(AND(ISNUMBER(F704),ISNUMBER(I704),F704&gt;0),I704/F704-1,"")</f>
        <v/>
      </c>
      <c r="K704" s="13" t="n">
        <v>154</v>
      </c>
      <c r="L704" s="14">
        <f>IF(AND(ISNUMBER(F704),ISNUMBER(K704),F704&gt;0),K704/F704-1,"")</f>
        <v/>
      </c>
      <c r="M704" s="15" t="n">
        <v>17</v>
      </c>
      <c r="N704" s="16" t="n">
        <v>5</v>
      </c>
      <c r="O704" s="17">
        <f>IF(AND(ISNUMBER(F704),ISNUMBER(N704),F704&gt;0),N704/F704,"")</f>
        <v/>
      </c>
      <c r="P704" s="18" t="n">
        <v>46323</v>
      </c>
      <c r="Q704" s="18" t="n">
        <v>46328</v>
      </c>
      <c r="R704" s="16" t="n">
        <v>4.81</v>
      </c>
      <c r="S704" s="19">
        <f>IF(AND(ISNUMBER(F704),ISNUMBER(R704),R704&gt;0),F704/R704,"")</f>
        <v/>
      </c>
      <c r="T704" s="18" t="n">
        <v>46323</v>
      </c>
    </row>
    <row r="705">
      <c r="A705" s="20" t="inlineStr">
        <is>
          <t>AA</t>
        </is>
      </c>
      <c r="B705" s="20" t="inlineStr">
        <is>
          <t>Alcoa Corporation</t>
        </is>
      </c>
      <c r="C705" s="20" t="inlineStr">
        <is>
          <t>Aluminum</t>
        </is>
      </c>
      <c r="D705" s="20" t="inlineStr">
        <is>
          <t>United States</t>
        </is>
      </c>
      <c r="E705" s="21" t="n">
        <v>10.54</v>
      </c>
      <c r="F705" s="22" t="n">
        <v>39.93</v>
      </c>
      <c r="G705" s="22" t="n">
        <v>54.59231</v>
      </c>
      <c r="H705" s="23">
        <f>IF(AND(ISNUMBER(F705),ISNUMBER(G705),F705&gt;0),G705/F705-1,"")</f>
        <v/>
      </c>
      <c r="I705" s="22" t="n">
        <v>48</v>
      </c>
      <c r="J705" s="23">
        <f>IF(AND(ISNUMBER(F705),ISNUMBER(I705),F705&gt;0),I705/F705-1,"")</f>
        <v/>
      </c>
      <c r="K705" s="22" t="n">
        <v>63</v>
      </c>
      <c r="L705" s="23">
        <f>IF(AND(ISNUMBER(F705),ISNUMBER(K705),F705&gt;0),K705/F705-1,"")</f>
        <v/>
      </c>
      <c r="M705" s="24" t="n">
        <v>13</v>
      </c>
      <c r="N705" s="25" t="n">
        <v>0.4</v>
      </c>
      <c r="O705" s="26">
        <f>IF(AND(ISNUMBER(F705),ISNUMBER(N705),F705&gt;0),N705/F705,"")</f>
        <v/>
      </c>
      <c r="P705" s="27" t="n">
        <v>46322</v>
      </c>
      <c r="Q705" s="27" t="n">
        <v>46310</v>
      </c>
      <c r="R705" s="25" t="n">
        <v>5.87</v>
      </c>
      <c r="S705" s="28">
        <f>IF(AND(ISNUMBER(F705),ISNUMBER(R705),R705&gt;0),F705/R705,"")</f>
        <v/>
      </c>
      <c r="T705" s="27" t="n">
        <v>46323</v>
      </c>
    </row>
    <row r="706">
      <c r="A706" s="11" t="inlineStr">
        <is>
          <t>RRX</t>
        </is>
      </c>
      <c r="B706" s="11" t="inlineStr">
        <is>
          <t>Regal Rexnord Corporation</t>
        </is>
      </c>
      <c r="C706" s="11" t="inlineStr">
        <is>
          <t>Specialty Industrial Machinery</t>
        </is>
      </c>
      <c r="D706" s="11" t="inlineStr">
        <is>
          <t>United States</t>
        </is>
      </c>
      <c r="E706" s="12" t="n">
        <v>10.53</v>
      </c>
      <c r="F706" s="13" t="n">
        <v>158.21</v>
      </c>
      <c r="G706" s="13" t="n">
        <v>231.1</v>
      </c>
      <c r="H706" s="14">
        <f>IF(AND(ISNUMBER(F706),ISNUMBER(G706),F706&gt;0),G706/F706-1,"")</f>
        <v/>
      </c>
      <c r="I706" s="13" t="n">
        <v>196</v>
      </c>
      <c r="J706" s="14">
        <f>IF(AND(ISNUMBER(F706),ISNUMBER(I706),F706&gt;0),I706/F706-1,"")</f>
        <v/>
      </c>
      <c r="K706" s="13" t="n">
        <v>275</v>
      </c>
      <c r="L706" s="14">
        <f>IF(AND(ISNUMBER(F706),ISNUMBER(K706),F706&gt;0),K706/F706-1,"")</f>
        <v/>
      </c>
      <c r="M706" s="15" t="n">
        <v>10</v>
      </c>
      <c r="N706" s="16" t="n">
        <v>1.4</v>
      </c>
      <c r="O706" s="17">
        <f>IF(AND(ISNUMBER(F706),ISNUMBER(N706),F706&gt;0),N706/F706,"")</f>
        <v/>
      </c>
      <c r="P706" s="18" t="n">
        <v>46387</v>
      </c>
      <c r="Q706" s="18" t="n">
        <v>46329</v>
      </c>
      <c r="R706" s="16" t="n">
        <v>4.86</v>
      </c>
      <c r="S706" s="19">
        <f>IF(AND(ISNUMBER(F706),ISNUMBER(R706),R706&gt;0),F706/R706,"")</f>
        <v/>
      </c>
      <c r="T706" s="18" t="n">
        <v>46323</v>
      </c>
    </row>
    <row r="707">
      <c r="A707" s="20" t="inlineStr">
        <is>
          <t>NVMI</t>
        </is>
      </c>
      <c r="B707" s="20" t="inlineStr">
        <is>
          <t>Nova Ltd.</t>
        </is>
      </c>
      <c r="C707" s="20" t="inlineStr">
        <is>
          <t>Semiconductor Equipment &amp; Materials</t>
        </is>
      </c>
      <c r="D707" s="20" t="inlineStr">
        <is>
          <t>Israel</t>
        </is>
      </c>
      <c r="E707" s="21" t="n">
        <v>10.42</v>
      </c>
      <c r="F707" s="22" t="n">
        <v>327.6</v>
      </c>
      <c r="G707" s="22" t="n">
        <v>515.125</v>
      </c>
      <c r="H707" s="23">
        <f>IF(AND(ISNUMBER(F707),ISNUMBER(G707),F707&gt;0),G707/F707-1,"")</f>
        <v/>
      </c>
      <c r="I707" s="22" t="n">
        <v>415</v>
      </c>
      <c r="J707" s="23">
        <f>IF(AND(ISNUMBER(F707),ISNUMBER(I707),F707&gt;0),I707/F707-1,"")</f>
        <v/>
      </c>
      <c r="K707" s="22" t="n">
        <v>600</v>
      </c>
      <c r="L707" s="23">
        <f>IF(AND(ISNUMBER(F707),ISNUMBER(K707),F707&gt;0),K707/F707-1,"")</f>
        <v/>
      </c>
      <c r="M707" s="24" t="n">
        <v>8</v>
      </c>
      <c r="N707" s="25" t="n"/>
      <c r="O707" s="26">
        <f>IF(AND(ISNUMBER(F707),ISNUMBER(N707),F707&gt;0),N707/F707,"")</f>
        <v/>
      </c>
      <c r="P707" s="27" t="n"/>
      <c r="Q707" s="27" t="n">
        <v>46331</v>
      </c>
      <c r="R707" s="25" t="n">
        <v>8</v>
      </c>
      <c r="S707" s="28">
        <f>IF(AND(ISNUMBER(F707),ISNUMBER(R707),R707&gt;0),F707/R707,"")</f>
        <v/>
      </c>
      <c r="T707" s="27" t="n">
        <v>46323</v>
      </c>
    </row>
    <row r="708">
      <c r="A708" s="11" t="inlineStr">
        <is>
          <t>DDS</t>
        </is>
      </c>
      <c r="B708" s="11" t="inlineStr">
        <is>
          <t>Dillard's, Inc.</t>
        </is>
      </c>
      <c r="C708" s="11" t="inlineStr">
        <is>
          <t>Department Stores</t>
        </is>
      </c>
      <c r="D708" s="11" t="inlineStr">
        <is>
          <t>United States</t>
        </is>
      </c>
      <c r="E708" s="12" t="n">
        <v>10.4</v>
      </c>
      <c r="F708" s="13" t="n">
        <v>665.6</v>
      </c>
      <c r="G708" s="13" t="n">
        <v>545.6667</v>
      </c>
      <c r="H708" s="14">
        <f>IF(AND(ISNUMBER(F708),ISNUMBER(G708),F708&gt;0),G708/F708-1,"")</f>
        <v/>
      </c>
      <c r="I708" s="13" t="n">
        <v>468</v>
      </c>
      <c r="J708" s="14">
        <f>IF(AND(ISNUMBER(F708),ISNUMBER(I708),F708&gt;0),I708/F708-1,"")</f>
        <v/>
      </c>
      <c r="K708" s="13" t="n">
        <v>650</v>
      </c>
      <c r="L708" s="14">
        <f>IF(AND(ISNUMBER(F708),ISNUMBER(K708),F708&gt;0),K708/F708-1,"")</f>
        <v/>
      </c>
      <c r="M708" s="15" t="n">
        <v>3</v>
      </c>
      <c r="N708" s="16" t="n">
        <v>1.2</v>
      </c>
      <c r="O708" s="17">
        <f>IF(AND(ISNUMBER(F708),ISNUMBER(N708),F708&gt;0),N708/F708,"")</f>
        <v/>
      </c>
      <c r="P708" s="18" t="n">
        <v>46295</v>
      </c>
      <c r="Q708" s="18" t="n">
        <v>46338</v>
      </c>
      <c r="R708" s="16" t="n">
        <v>43.64</v>
      </c>
      <c r="S708" s="19">
        <f>IF(AND(ISNUMBER(F708),ISNUMBER(R708),R708&gt;0),F708/R708,"")</f>
        <v/>
      </c>
      <c r="T708" s="18" t="n">
        <v>46323</v>
      </c>
    </row>
    <row r="709">
      <c r="A709" s="20" t="inlineStr">
        <is>
          <t>MOH</t>
        </is>
      </c>
      <c r="B709" s="20" t="inlineStr">
        <is>
          <t>Molina Healthcare Inc</t>
        </is>
      </c>
      <c r="C709" s="20" t="inlineStr">
        <is>
          <t>Healthcare Plans</t>
        </is>
      </c>
      <c r="D709" s="20" t="inlineStr">
        <is>
          <t>United States</t>
        </is>
      </c>
      <c r="E709" s="21" t="n">
        <v>10.37</v>
      </c>
      <c r="F709" s="22" t="n">
        <v>199.46</v>
      </c>
      <c r="G709" s="22" t="n">
        <v>219.5294</v>
      </c>
      <c r="H709" s="23">
        <f>IF(AND(ISNUMBER(F709),ISNUMBER(G709),F709&gt;0),G709/F709-1,"")</f>
        <v/>
      </c>
      <c r="I709" s="22" t="n">
        <v>163</v>
      </c>
      <c r="J709" s="23">
        <f>IF(AND(ISNUMBER(F709),ISNUMBER(I709),F709&gt;0),I709/F709-1,"")</f>
        <v/>
      </c>
      <c r="K709" s="22" t="n">
        <v>266</v>
      </c>
      <c r="L709" s="23">
        <f>IF(AND(ISNUMBER(F709),ISNUMBER(K709),F709&gt;0),K709/F709-1,"")</f>
        <v/>
      </c>
      <c r="M709" s="24" t="n">
        <v>17</v>
      </c>
      <c r="N709" s="25" t="n"/>
      <c r="O709" s="26">
        <f>IF(AND(ISNUMBER(F709),ISNUMBER(N709),F709&gt;0),N709/F709,"")</f>
        <v/>
      </c>
      <c r="P709" s="27" t="n"/>
      <c r="Q709" s="27" t="n">
        <v>46316</v>
      </c>
      <c r="R709" s="25" t="n">
        <v>-0.68</v>
      </c>
      <c r="S709" s="28">
        <f>IF(AND(ISNUMBER(F709),ISNUMBER(R709),R709&gt;0),F709/R709,"")</f>
        <v/>
      </c>
      <c r="T709" s="27" t="n">
        <v>46323</v>
      </c>
    </row>
    <row r="710">
      <c r="A710" s="11" t="inlineStr">
        <is>
          <t>DKNG</t>
        </is>
      </c>
      <c r="B710" s="11" t="inlineStr">
        <is>
          <t>DraftKings Inc.</t>
        </is>
      </c>
      <c r="C710" s="11" t="inlineStr">
        <is>
          <t>Gambling</t>
        </is>
      </c>
      <c r="D710" s="11" t="inlineStr">
        <is>
          <t>United States</t>
        </is>
      </c>
      <c r="E710" s="12" t="n">
        <v>10.32</v>
      </c>
      <c r="F710" s="13" t="n">
        <v>20.78</v>
      </c>
      <c r="G710" s="13" t="n">
        <v>33.84028</v>
      </c>
      <c r="H710" s="14">
        <f>IF(AND(ISNUMBER(F710),ISNUMBER(G710),F710&gt;0),G710/F710-1,"")</f>
        <v/>
      </c>
      <c r="I710" s="13" t="n">
        <v>20</v>
      </c>
      <c r="J710" s="14">
        <f>IF(AND(ISNUMBER(F710),ISNUMBER(I710),F710&gt;0),I710/F710-1,"")</f>
        <v/>
      </c>
      <c r="K710" s="13" t="n">
        <v>76</v>
      </c>
      <c r="L710" s="14">
        <f>IF(AND(ISNUMBER(F710),ISNUMBER(K710),F710&gt;0),K710/F710-1,"")</f>
        <v/>
      </c>
      <c r="M710" s="15" t="n">
        <v>36</v>
      </c>
      <c r="N710" s="16" t="n"/>
      <c r="O710" s="17">
        <f>IF(AND(ISNUMBER(F710),ISNUMBER(N710),F710&gt;0),N710/F710,"")</f>
        <v/>
      </c>
      <c r="P710" s="18" t="n"/>
      <c r="Q710" s="18" t="n">
        <v>46331</v>
      </c>
      <c r="R710" s="16" t="n">
        <v>-0.35</v>
      </c>
      <c r="S710" s="19">
        <f>IF(AND(ISNUMBER(F710),ISNUMBER(R710),R710&gt;0),F710/R710,"")</f>
        <v/>
      </c>
      <c r="T710" s="18" t="n">
        <v>46323</v>
      </c>
    </row>
    <row r="711">
      <c r="A711" s="20" t="inlineStr">
        <is>
          <t>SNAP</t>
        </is>
      </c>
      <c r="B711" s="20" t="inlineStr">
        <is>
          <t>Snap Inc.</t>
        </is>
      </c>
      <c r="C711" s="20" t="inlineStr">
        <is>
          <t>Internet Content &amp; Information</t>
        </is>
      </c>
      <c r="D711" s="20" t="inlineStr">
        <is>
          <t>United States</t>
        </is>
      </c>
      <c r="E711" s="21" t="n">
        <v>10.28</v>
      </c>
      <c r="F711" s="22" t="n">
        <v>6.08</v>
      </c>
      <c r="G711" s="22" t="n">
        <v>7.43714</v>
      </c>
      <c r="H711" s="23">
        <f>IF(AND(ISNUMBER(F711),ISNUMBER(G711),F711&gt;0),G711/F711-1,"")</f>
        <v/>
      </c>
      <c r="I711" s="22" t="n">
        <v>5</v>
      </c>
      <c r="J711" s="23">
        <f>IF(AND(ISNUMBER(F711),ISNUMBER(I711),F711&gt;0),I711/F711-1,"")</f>
        <v/>
      </c>
      <c r="K711" s="22" t="n">
        <v>16</v>
      </c>
      <c r="L711" s="23">
        <f>IF(AND(ISNUMBER(F711),ISNUMBER(K711),F711&gt;0),K711/F711-1,"")</f>
        <v/>
      </c>
      <c r="M711" s="24" t="n">
        <v>35</v>
      </c>
      <c r="N711" s="25" t="n"/>
      <c r="O711" s="26">
        <f>IF(AND(ISNUMBER(F711),ISNUMBER(N711),F711&gt;0),N711/F711,"")</f>
        <v/>
      </c>
      <c r="P711" s="27" t="n"/>
      <c r="Q711" s="27" t="n">
        <v>46330</v>
      </c>
      <c r="R711" s="25" t="n">
        <v>-0.18</v>
      </c>
      <c r="S711" s="28">
        <f>IF(AND(ISNUMBER(F711),ISNUMBER(R711),R711&gt;0),F711/R711,"")</f>
        <v/>
      </c>
      <c r="T711" s="27" t="n">
        <v>46323</v>
      </c>
    </row>
    <row r="712">
      <c r="A712" s="11" t="inlineStr">
        <is>
          <t>DPZ</t>
        </is>
      </c>
      <c r="B712" s="11" t="inlineStr">
        <is>
          <t>Domino's Pizza Inc</t>
        </is>
      </c>
      <c r="C712" s="11" t="inlineStr">
        <is>
          <t>Restaurants</t>
        </is>
      </c>
      <c r="D712" s="11" t="inlineStr">
        <is>
          <t>United States</t>
        </is>
      </c>
      <c r="E712" s="12" t="n">
        <v>10.26</v>
      </c>
      <c r="F712" s="13" t="n">
        <v>312.03</v>
      </c>
      <c r="G712" s="13" t="n">
        <v>356.48148</v>
      </c>
      <c r="H712" s="14">
        <f>IF(AND(ISNUMBER(F712),ISNUMBER(G712),F712&gt;0),G712/F712-1,"")</f>
        <v/>
      </c>
      <c r="I712" s="13" t="n">
        <v>257</v>
      </c>
      <c r="J712" s="14">
        <f>IF(AND(ISNUMBER(F712),ISNUMBER(I712),F712&gt;0),I712/F712-1,"")</f>
        <v/>
      </c>
      <c r="K712" s="13" t="n">
        <v>425</v>
      </c>
      <c r="L712" s="14">
        <f>IF(AND(ISNUMBER(F712),ISNUMBER(K712),F712&gt;0),K712/F712-1,"")</f>
        <v/>
      </c>
      <c r="M712" s="15" t="n">
        <v>27</v>
      </c>
      <c r="N712" s="16" t="n">
        <v>7.96</v>
      </c>
      <c r="O712" s="17">
        <f>IF(AND(ISNUMBER(F712),ISNUMBER(N712),F712&gt;0),N712/F712,"")</f>
        <v/>
      </c>
      <c r="P712" s="18" t="n">
        <v>46371</v>
      </c>
      <c r="Q712" s="18" t="n">
        <v>46308</v>
      </c>
      <c r="R712" s="16" t="n">
        <v>18.15</v>
      </c>
      <c r="S712" s="19">
        <f>IF(AND(ISNUMBER(F712),ISNUMBER(R712),R712&gt;0),F712/R712,"")</f>
        <v/>
      </c>
      <c r="T712" s="18" t="n">
        <v>46323</v>
      </c>
    </row>
    <row r="713">
      <c r="A713" s="20" t="inlineStr">
        <is>
          <t>AUR</t>
        </is>
      </c>
      <c r="B713" s="20" t="inlineStr">
        <is>
          <t>Aurora Innovation, Inc.</t>
        </is>
      </c>
      <c r="C713" s="20" t="inlineStr">
        <is>
          <t>Auto Parts</t>
        </is>
      </c>
      <c r="D713" s="20" t="inlineStr">
        <is>
          <t>United States</t>
        </is>
      </c>
      <c r="E713" s="21" t="n">
        <v>10.26</v>
      </c>
      <c r="F713" s="22" t="n">
        <v>5.12</v>
      </c>
      <c r="G713" s="22" t="n">
        <v>12.1325</v>
      </c>
      <c r="H713" s="23">
        <f>IF(AND(ISNUMBER(F713),ISNUMBER(G713),F713&gt;0),G713/F713-1,"")</f>
        <v/>
      </c>
      <c r="I713" s="22" t="n">
        <v>3.59</v>
      </c>
      <c r="J713" s="23">
        <f>IF(AND(ISNUMBER(F713),ISNUMBER(I713),F713&gt;0),I713/F713-1,"")</f>
        <v/>
      </c>
      <c r="K713" s="22" t="n">
        <v>18</v>
      </c>
      <c r="L713" s="23">
        <f>IF(AND(ISNUMBER(F713),ISNUMBER(K713),F713&gt;0),K713/F713-1,"")</f>
        <v/>
      </c>
      <c r="M713" s="24" t="n">
        <v>12</v>
      </c>
      <c r="N713" s="25" t="n"/>
      <c r="O713" s="26">
        <f>IF(AND(ISNUMBER(F713),ISNUMBER(N713),F713&gt;0),N713/F713,"")</f>
        <v/>
      </c>
      <c r="P713" s="27" t="n"/>
      <c r="Q713" s="27" t="n">
        <v>46323</v>
      </c>
      <c r="R713" s="25" t="n">
        <v>-0.46</v>
      </c>
      <c r="S713" s="28">
        <f>IF(AND(ISNUMBER(F713),ISNUMBER(R713),R713&gt;0),F713/R713,"")</f>
        <v/>
      </c>
      <c r="T713" s="27" t="n">
        <v>46323</v>
      </c>
    </row>
    <row r="714">
      <c r="A714" s="11" t="inlineStr">
        <is>
          <t>KNX</t>
        </is>
      </c>
      <c r="B714" s="11" t="inlineStr">
        <is>
          <t>Knight-Swift Transportation Hol</t>
        </is>
      </c>
      <c r="C714" s="11" t="inlineStr">
        <is>
          <t>Trucking</t>
        </is>
      </c>
      <c r="D714" s="11" t="inlineStr">
        <is>
          <t>United States</t>
        </is>
      </c>
      <c r="E714" s="12" t="n">
        <v>10.26</v>
      </c>
      <c r="F714" s="13" t="n">
        <v>63.02</v>
      </c>
      <c r="G714" s="13" t="n">
        <v>85.65000000000001</v>
      </c>
      <c r="H714" s="14">
        <f>IF(AND(ISNUMBER(F714),ISNUMBER(G714),F714&gt;0),G714/F714-1,"")</f>
        <v/>
      </c>
      <c r="I714" s="13" t="n">
        <v>59</v>
      </c>
      <c r="J714" s="14">
        <f>IF(AND(ISNUMBER(F714),ISNUMBER(I714),F714&gt;0),I714/F714-1,"")</f>
        <v/>
      </c>
      <c r="K714" s="13" t="n">
        <v>100</v>
      </c>
      <c r="L714" s="14">
        <f>IF(AND(ISNUMBER(F714),ISNUMBER(K714),F714&gt;0),K714/F714-1,"")</f>
        <v/>
      </c>
      <c r="M714" s="15" t="n">
        <v>20</v>
      </c>
      <c r="N714" s="16" t="n">
        <v>0.8</v>
      </c>
      <c r="O714" s="17">
        <f>IF(AND(ISNUMBER(F714),ISNUMBER(N714),F714&gt;0),N714/F714,"")</f>
        <v/>
      </c>
      <c r="P714" s="18" t="n">
        <v>46269</v>
      </c>
      <c r="Q714" s="18" t="n">
        <v>46407</v>
      </c>
      <c r="R714" s="16" t="n">
        <v>0.9399999999999999</v>
      </c>
      <c r="S714" s="19">
        <f>IF(AND(ISNUMBER(F714),ISNUMBER(R714),R714&gt;0),F714/R714,"")</f>
        <v/>
      </c>
      <c r="T714" s="18" t="n">
        <v>46323</v>
      </c>
    </row>
    <row r="715">
      <c r="A715" s="20" t="inlineStr">
        <is>
          <t>MTCH</t>
        </is>
      </c>
      <c r="B715" s="20" t="inlineStr">
        <is>
          <t>Match Group, Inc.</t>
        </is>
      </c>
      <c r="C715" s="20" t="inlineStr">
        <is>
          <t>Internet Content &amp; Information</t>
        </is>
      </c>
      <c r="D715" s="20" t="inlineStr">
        <is>
          <t>United States</t>
        </is>
      </c>
      <c r="E715" s="21" t="n">
        <v>10.19</v>
      </c>
      <c r="F715" s="22" t="n">
        <v>43.69</v>
      </c>
      <c r="G715" s="22" t="n">
        <v>43.29412</v>
      </c>
      <c r="H715" s="23">
        <f>IF(AND(ISNUMBER(F715),ISNUMBER(G715),F715&gt;0),G715/F715-1,"")</f>
        <v/>
      </c>
      <c r="I715" s="22" t="n">
        <v>35</v>
      </c>
      <c r="J715" s="23">
        <f>IF(AND(ISNUMBER(F715),ISNUMBER(I715),F715&gt;0),I715/F715-1,"")</f>
        <v/>
      </c>
      <c r="K715" s="22" t="n">
        <v>53</v>
      </c>
      <c r="L715" s="23">
        <f>IF(AND(ISNUMBER(F715),ISNUMBER(K715),F715&gt;0),K715/F715-1,"")</f>
        <v/>
      </c>
      <c r="M715" s="24" t="n">
        <v>17</v>
      </c>
      <c r="N715" s="25" t="n">
        <v>0.8</v>
      </c>
      <c r="O715" s="26">
        <f>IF(AND(ISNUMBER(F715),ISNUMBER(N715),F715&gt;0),N715/F715,"")</f>
        <v/>
      </c>
      <c r="P715" s="27" t="n">
        <v>46300</v>
      </c>
      <c r="Q715" s="27" t="n">
        <v>46328</v>
      </c>
      <c r="R715" s="25" t="n">
        <v>2.82</v>
      </c>
      <c r="S715" s="28">
        <f>IF(AND(ISNUMBER(F715),ISNUMBER(R715),R715&gt;0),F715/R715,"")</f>
        <v/>
      </c>
      <c r="T715" s="27" t="n">
        <v>46323</v>
      </c>
    </row>
    <row r="716">
      <c r="A716" s="11" t="inlineStr">
        <is>
          <t>BIO</t>
        </is>
      </c>
      <c r="B716" s="11" t="inlineStr">
        <is>
          <t>Bio-Rad Laboratories, Inc.</t>
        </is>
      </c>
      <c r="C716" s="11" t="inlineStr">
        <is>
          <t>Medical Devices</t>
        </is>
      </c>
      <c r="D716" s="11" t="inlineStr">
        <is>
          <t>United States</t>
        </is>
      </c>
      <c r="E716" s="12" t="n">
        <v>10.19</v>
      </c>
      <c r="F716" s="13" t="n">
        <v>380.99</v>
      </c>
      <c r="G716" s="13" t="n">
        <v>335</v>
      </c>
      <c r="H716" s="14">
        <f>IF(AND(ISNUMBER(F716),ISNUMBER(G716),F716&gt;0),G716/F716-1,"")</f>
        <v/>
      </c>
      <c r="I716" s="13" t="n">
        <v>280</v>
      </c>
      <c r="J716" s="14">
        <f>IF(AND(ISNUMBER(F716),ISNUMBER(I716),F716&gt;0),I716/F716-1,"")</f>
        <v/>
      </c>
      <c r="K716" s="13" t="n">
        <v>390</v>
      </c>
      <c r="L716" s="14">
        <f>IF(AND(ISNUMBER(F716),ISNUMBER(K716),F716&gt;0),K716/F716-1,"")</f>
        <v/>
      </c>
      <c r="M716" s="15" t="n">
        <v>3</v>
      </c>
      <c r="N716" s="16" t="n"/>
      <c r="O716" s="17">
        <f>IF(AND(ISNUMBER(F716),ISNUMBER(N716),F716&gt;0),N716/F716,"")</f>
        <v/>
      </c>
      <c r="P716" s="18" t="n"/>
      <c r="Q716" s="18" t="n">
        <v>46330</v>
      </c>
      <c r="R716" s="16" t="n">
        <v>7.89</v>
      </c>
      <c r="S716" s="19">
        <f>IF(AND(ISNUMBER(F716),ISNUMBER(R716),R716&gt;0),F716/R716,"")</f>
        <v/>
      </c>
      <c r="T716" s="18" t="n">
        <v>46323</v>
      </c>
    </row>
    <row r="717">
      <c r="A717" s="20" t="inlineStr">
        <is>
          <t>MDGL</t>
        </is>
      </c>
      <c r="B717" s="20" t="inlineStr">
        <is>
          <t>Madrigal Pharmaceuticals, Inc.</t>
        </is>
      </c>
      <c r="C717" s="20" t="inlineStr">
        <is>
          <t>Biotechnology</t>
        </is>
      </c>
      <c r="D717" s="20" t="inlineStr">
        <is>
          <t>United States</t>
        </is>
      </c>
      <c r="E717" s="21" t="n">
        <v>10.17</v>
      </c>
      <c r="F717" s="22" t="n">
        <v>440.33</v>
      </c>
      <c r="G717" s="22" t="n">
        <v>685.2222</v>
      </c>
      <c r="H717" s="23">
        <f>IF(AND(ISNUMBER(F717),ISNUMBER(G717),F717&gt;0),G717/F717-1,"")</f>
        <v/>
      </c>
      <c r="I717" s="22" t="n">
        <v>533</v>
      </c>
      <c r="J717" s="23">
        <f>IF(AND(ISNUMBER(F717),ISNUMBER(I717),F717&gt;0),I717/F717-1,"")</f>
        <v/>
      </c>
      <c r="K717" s="22" t="n">
        <v>962</v>
      </c>
      <c r="L717" s="23">
        <f>IF(AND(ISNUMBER(F717),ISNUMBER(K717),F717&gt;0),K717/F717-1,"")</f>
        <v/>
      </c>
      <c r="M717" s="24" t="n">
        <v>18</v>
      </c>
      <c r="N717" s="25" t="n"/>
      <c r="O717" s="26">
        <f>IF(AND(ISNUMBER(F717),ISNUMBER(N717),F717&gt;0),N717/F717,"")</f>
        <v/>
      </c>
      <c r="P717" s="27" t="n"/>
      <c r="Q717" s="27" t="n">
        <v>46329</v>
      </c>
      <c r="R717" s="25" t="n">
        <v>-12.85</v>
      </c>
      <c r="S717" s="28">
        <f>IF(AND(ISNUMBER(F717),ISNUMBER(R717),R717&gt;0),F717/R717,"")</f>
        <v/>
      </c>
      <c r="T717" s="27" t="n">
        <v>46323</v>
      </c>
    </row>
    <row r="718">
      <c r="A718" s="11" t="inlineStr">
        <is>
          <t>QRVO</t>
        </is>
      </c>
      <c r="B718" s="11" t="inlineStr">
        <is>
          <t>Qorvo, Inc.</t>
        </is>
      </c>
      <c r="C718" s="11" t="inlineStr">
        <is>
          <t>Semiconductors</t>
        </is>
      </c>
      <c r="D718" s="11" t="inlineStr">
        <is>
          <t>United States</t>
        </is>
      </c>
      <c r="E718" s="12" t="n">
        <v>10.07</v>
      </c>
      <c r="F718" s="13" t="n">
        <v>114.17</v>
      </c>
      <c r="G718" s="13" t="n">
        <v>91.66667</v>
      </c>
      <c r="H718" s="14">
        <f>IF(AND(ISNUMBER(F718),ISNUMBER(G718),F718&gt;0),G718/F718-1,"")</f>
        <v/>
      </c>
      <c r="I718" s="13" t="n">
        <v>80</v>
      </c>
      <c r="J718" s="14">
        <f>IF(AND(ISNUMBER(F718),ISNUMBER(I718),F718&gt;0),I718/F718-1,"")</f>
        <v/>
      </c>
      <c r="K718" s="13" t="n">
        <v>105</v>
      </c>
      <c r="L718" s="14">
        <f>IF(AND(ISNUMBER(F718),ISNUMBER(K718),F718&gt;0),K718/F718-1,"")</f>
        <v/>
      </c>
      <c r="M718" s="15" t="n">
        <v>9</v>
      </c>
      <c r="N718" s="16" t="n"/>
      <c r="O718" s="17">
        <f>IF(AND(ISNUMBER(F718),ISNUMBER(N718),F718&gt;0),N718/F718,"")</f>
        <v/>
      </c>
      <c r="P718" s="18" t="n"/>
      <c r="Q718" s="18" t="n"/>
      <c r="R718" s="16" t="n">
        <v>4.31</v>
      </c>
      <c r="S718" s="19">
        <f>IF(AND(ISNUMBER(F718),ISNUMBER(R718),R718&gt;0),F718/R718,"")</f>
        <v/>
      </c>
      <c r="T718" s="18" t="n">
        <v>46323</v>
      </c>
    </row>
    <row r="719">
      <c r="A719" s="20" t="inlineStr">
        <is>
          <t>AM</t>
        </is>
      </c>
      <c r="B719" s="20" t="inlineStr">
        <is>
          <t>Antero Midstream Corporation</t>
        </is>
      </c>
      <c r="C719" s="20" t="inlineStr">
        <is>
          <t>Oil &amp; Gas Midstream</t>
        </is>
      </c>
      <c r="D719" s="20" t="inlineStr">
        <is>
          <t>United States</t>
        </is>
      </c>
      <c r="E719" s="21" t="n">
        <v>10.02</v>
      </c>
      <c r="F719" s="22" t="n">
        <v>21.1</v>
      </c>
      <c r="G719" s="22" t="n">
        <v>24</v>
      </c>
      <c r="H719" s="23">
        <f>IF(AND(ISNUMBER(F719),ISNUMBER(G719),F719&gt;0),G719/F719-1,"")</f>
        <v/>
      </c>
      <c r="I719" s="22" t="n">
        <v>22</v>
      </c>
      <c r="J719" s="23">
        <f>IF(AND(ISNUMBER(F719),ISNUMBER(I719),F719&gt;0),I719/F719-1,"")</f>
        <v/>
      </c>
      <c r="K719" s="22" t="n">
        <v>26</v>
      </c>
      <c r="L719" s="23">
        <f>IF(AND(ISNUMBER(F719),ISNUMBER(K719),F719&gt;0),K719/F719-1,"")</f>
        <v/>
      </c>
      <c r="M719" s="24" t="n">
        <v>7</v>
      </c>
      <c r="N719" s="25" t="n">
        <v>0.9</v>
      </c>
      <c r="O719" s="26">
        <f>IF(AND(ISNUMBER(F719),ISNUMBER(N719),F719&gt;0),N719/F719,"")</f>
        <v/>
      </c>
      <c r="P719" s="27" t="n">
        <v>46323</v>
      </c>
      <c r="Q719" s="27" t="n">
        <v>46323</v>
      </c>
      <c r="R719" s="25" t="n">
        <v>0.83</v>
      </c>
      <c r="S719" s="28">
        <f>IF(AND(ISNUMBER(F719),ISNUMBER(R719),R719&gt;0),F719/R719,"")</f>
        <v/>
      </c>
      <c r="T719" s="27" t="n">
        <v>46323</v>
      </c>
    </row>
    <row r="720">
      <c r="A720" s="11" t="inlineStr">
        <is>
          <t>HL</t>
        </is>
      </c>
      <c r="B720" s="11" t="inlineStr">
        <is>
          <t>Hecla Mining Company</t>
        </is>
      </c>
      <c r="C720" s="11" t="inlineStr">
        <is>
          <t>Other Precious Metals &amp; Mining</t>
        </is>
      </c>
      <c r="D720" s="11" t="inlineStr">
        <is>
          <t>United States</t>
        </is>
      </c>
      <c r="E720" s="12" t="n">
        <v>9.82</v>
      </c>
      <c r="F720" s="13" t="n">
        <v>14.62</v>
      </c>
      <c r="G720" s="13" t="n">
        <v>21.875</v>
      </c>
      <c r="H720" s="14">
        <f>IF(AND(ISNUMBER(F720),ISNUMBER(G720),F720&gt;0),G720/F720-1,"")</f>
        <v/>
      </c>
      <c r="I720" s="13" t="n">
        <v>17</v>
      </c>
      <c r="J720" s="14">
        <f>IF(AND(ISNUMBER(F720),ISNUMBER(I720),F720&gt;0),I720/F720-1,"")</f>
        <v/>
      </c>
      <c r="K720" s="13" t="n">
        <v>32</v>
      </c>
      <c r="L720" s="14">
        <f>IF(AND(ISNUMBER(F720),ISNUMBER(K720),F720&gt;0),K720/F720-1,"")</f>
        <v/>
      </c>
      <c r="M720" s="15" t="n">
        <v>10</v>
      </c>
      <c r="N720" s="16" t="n">
        <v>0.02</v>
      </c>
      <c r="O720" s="17">
        <f>IF(AND(ISNUMBER(F720),ISNUMBER(N720),F720&gt;0),N720/F720,"")</f>
        <v/>
      </c>
      <c r="P720" s="18" t="n">
        <v>46260</v>
      </c>
      <c r="Q720" s="18" t="n">
        <v>46329</v>
      </c>
      <c r="R720" s="16" t="n">
        <v>0.78</v>
      </c>
      <c r="S720" s="19">
        <f>IF(AND(ISNUMBER(F720),ISNUMBER(R720),R720&gt;0),F720/R720,"")</f>
        <v/>
      </c>
      <c r="T720" s="18" t="n">
        <v>46323</v>
      </c>
    </row>
    <row r="721">
      <c r="A721" s="20" t="inlineStr">
        <is>
          <t>NUVL</t>
        </is>
      </c>
      <c r="B721" s="20" t="inlineStr">
        <is>
          <t>Nuvalent, Inc.</t>
        </is>
      </c>
      <c r="C721" s="20" t="inlineStr">
        <is>
          <t>Biotechnology</t>
        </is>
      </c>
      <c r="D721" s="20" t="inlineStr">
        <is>
          <t>United States</t>
        </is>
      </c>
      <c r="E721" s="21" t="n">
        <v>9.81</v>
      </c>
      <c r="F721" s="22" t="n">
        <v>123.96</v>
      </c>
      <c r="G721" s="22" t="n">
        <v>124</v>
      </c>
      <c r="H721" s="23">
        <f>IF(AND(ISNUMBER(F721),ISNUMBER(G721),F721&gt;0),G721/F721-1,"")</f>
        <v/>
      </c>
      <c r="I721" s="22" t="n">
        <v>124</v>
      </c>
      <c r="J721" s="23">
        <f>IF(AND(ISNUMBER(F721),ISNUMBER(I721),F721&gt;0),I721/F721-1,"")</f>
        <v/>
      </c>
      <c r="K721" s="22" t="n">
        <v>124</v>
      </c>
      <c r="L721" s="23">
        <f>IF(AND(ISNUMBER(F721),ISNUMBER(K721),F721&gt;0),K721/F721-1,"")</f>
        <v/>
      </c>
      <c r="M721" s="24" t="n">
        <v>9</v>
      </c>
      <c r="N721" s="25" t="n"/>
      <c r="O721" s="26">
        <f>IF(AND(ISNUMBER(F721),ISNUMBER(N721),F721&gt;0),N721/F721,"")</f>
        <v/>
      </c>
      <c r="P721" s="27" t="n"/>
      <c r="Q721" s="27" t="n"/>
      <c r="R721" s="25" t="n">
        <v>-6.06</v>
      </c>
      <c r="S721" s="28">
        <f>IF(AND(ISNUMBER(F721),ISNUMBER(R721),R721&gt;0),F721/R721,"")</f>
        <v/>
      </c>
      <c r="T721" s="27" t="n">
        <v>46323</v>
      </c>
    </row>
    <row r="722">
      <c r="A722" s="11" t="inlineStr">
        <is>
          <t>VICR</t>
        </is>
      </c>
      <c r="B722" s="11" t="inlineStr">
        <is>
          <t>Vicor Corporation</t>
        </is>
      </c>
      <c r="C722" s="11" t="inlineStr">
        <is>
          <t>Electronic Components</t>
        </is>
      </c>
      <c r="D722" s="11" t="inlineStr">
        <is>
          <t>United States</t>
        </is>
      </c>
      <c r="E722" s="12" t="n">
        <v>9.779999999999999</v>
      </c>
      <c r="F722" s="13" t="n">
        <v>212</v>
      </c>
      <c r="G722" s="13" t="n">
        <v>390</v>
      </c>
      <c r="H722" s="14">
        <f>IF(AND(ISNUMBER(F722),ISNUMBER(G722),F722&gt;0),G722/F722-1,"")</f>
        <v/>
      </c>
      <c r="I722" s="13" t="n">
        <v>350</v>
      </c>
      <c r="J722" s="14">
        <f>IF(AND(ISNUMBER(F722),ISNUMBER(I722),F722&gt;0),I722/F722-1,"")</f>
        <v/>
      </c>
      <c r="K722" s="13" t="n">
        <v>450</v>
      </c>
      <c r="L722" s="14">
        <f>IF(AND(ISNUMBER(F722),ISNUMBER(K722),F722&gt;0),K722/F722-1,"")</f>
        <v/>
      </c>
      <c r="M722" s="15" t="n">
        <v>4</v>
      </c>
      <c r="N722" s="16" t="n"/>
      <c r="O722" s="17">
        <f>IF(AND(ISNUMBER(F722),ISNUMBER(N722),F722&gt;0),N722/F722,"")</f>
        <v/>
      </c>
      <c r="P722" s="18" t="n"/>
      <c r="Q722" s="18" t="n">
        <v>46315</v>
      </c>
      <c r="R722" s="16" t="n">
        <v>3.83</v>
      </c>
      <c r="S722" s="19">
        <f>IF(AND(ISNUMBER(F722),ISNUMBER(R722),R722&gt;0),F722/R722,"")</f>
        <v/>
      </c>
      <c r="T722" s="18" t="n">
        <v>46323</v>
      </c>
    </row>
    <row r="723">
      <c r="A723" s="20" t="inlineStr">
        <is>
          <t>MUSA</t>
        </is>
      </c>
      <c r="B723" s="20" t="inlineStr">
        <is>
          <t>Murphy USA Inc.</t>
        </is>
      </c>
      <c r="C723" s="20" t="inlineStr">
        <is>
          <t>Specialty Retail</t>
        </is>
      </c>
      <c r="D723" s="20" t="inlineStr">
        <is>
          <t>United States</t>
        </is>
      </c>
      <c r="E723" s="21" t="n">
        <v>9.76</v>
      </c>
      <c r="F723" s="22" t="n">
        <v>531.11</v>
      </c>
      <c r="G723" s="22" t="n">
        <v>616.4</v>
      </c>
      <c r="H723" s="23">
        <f>IF(AND(ISNUMBER(F723),ISNUMBER(G723),F723&gt;0),G723/F723-1,"")</f>
        <v/>
      </c>
      <c r="I723" s="22" t="n">
        <v>550</v>
      </c>
      <c r="J723" s="23">
        <f>IF(AND(ISNUMBER(F723),ISNUMBER(I723),F723&gt;0),I723/F723-1,"")</f>
        <v/>
      </c>
      <c r="K723" s="22" t="n">
        <v>680</v>
      </c>
      <c r="L723" s="23">
        <f>IF(AND(ISNUMBER(F723),ISNUMBER(K723),F723&gt;0),K723/F723-1,"")</f>
        <v/>
      </c>
      <c r="M723" s="24" t="n">
        <v>10</v>
      </c>
      <c r="N723" s="25" t="n">
        <v>2.88</v>
      </c>
      <c r="O723" s="26">
        <f>IF(AND(ISNUMBER(F723),ISNUMBER(N723),F723&gt;0),N723/F723,"")</f>
        <v/>
      </c>
      <c r="P723" s="27" t="n">
        <v>46330</v>
      </c>
      <c r="Q723" s="27" t="n">
        <v>46323</v>
      </c>
      <c r="R723" s="25" t="n">
        <v>32.76</v>
      </c>
      <c r="S723" s="28">
        <f>IF(AND(ISNUMBER(F723),ISNUMBER(R723),R723&gt;0),F723/R723,"")</f>
        <v/>
      </c>
      <c r="T723" s="27" t="n">
        <v>46323</v>
      </c>
    </row>
    <row r="724">
      <c r="A724" s="11" t="inlineStr">
        <is>
          <t>LFUS</t>
        </is>
      </c>
      <c r="B724" s="11" t="inlineStr">
        <is>
          <t>Littelfuse, Inc.</t>
        </is>
      </c>
      <c r="C724" s="11" t="inlineStr">
        <is>
          <t>Electronic Components</t>
        </is>
      </c>
      <c r="D724" s="11" t="inlineStr">
        <is>
          <t>United States</t>
        </is>
      </c>
      <c r="E724" s="12" t="n">
        <v>9.73</v>
      </c>
      <c r="F724" s="13" t="n">
        <v>383</v>
      </c>
      <c r="G724" s="13" t="n">
        <v>496.25</v>
      </c>
      <c r="H724" s="14">
        <f>IF(AND(ISNUMBER(F724),ISNUMBER(G724),F724&gt;0),G724/F724-1,"")</f>
        <v/>
      </c>
      <c r="I724" s="13" t="n">
        <v>415</v>
      </c>
      <c r="J724" s="14">
        <f>IF(AND(ISNUMBER(F724),ISNUMBER(I724),F724&gt;0),I724/F724-1,"")</f>
        <v/>
      </c>
      <c r="K724" s="13" t="n">
        <v>550</v>
      </c>
      <c r="L724" s="14">
        <f>IF(AND(ISNUMBER(F724),ISNUMBER(K724),F724&gt;0),K724/F724-1,"")</f>
        <v/>
      </c>
      <c r="M724" s="15" t="n">
        <v>4</v>
      </c>
      <c r="N724" s="16" t="n">
        <v>3.2</v>
      </c>
      <c r="O724" s="17">
        <f>IF(AND(ISNUMBER(F724),ISNUMBER(N724),F724&gt;0),N724/F724,"")</f>
        <v/>
      </c>
      <c r="P724" s="18" t="n">
        <v>46254</v>
      </c>
      <c r="Q724" s="18" t="n">
        <v>46323</v>
      </c>
      <c r="R724" s="16" t="n">
        <v>-0.52</v>
      </c>
      <c r="S724" s="19">
        <f>IF(AND(ISNUMBER(F724),ISNUMBER(R724),R724&gt;0),F724/R724,"")</f>
        <v/>
      </c>
      <c r="T724" s="18" t="n">
        <v>46323</v>
      </c>
    </row>
    <row r="725">
      <c r="A725" s="20" t="inlineStr">
        <is>
          <t>RMBS</t>
        </is>
      </c>
      <c r="B725" s="20" t="inlineStr">
        <is>
          <t>Rambus, Inc.</t>
        </is>
      </c>
      <c r="C725" s="20" t="inlineStr">
        <is>
          <t>Semiconductors</t>
        </is>
      </c>
      <c r="D725" s="20" t="inlineStr">
        <is>
          <t>United States</t>
        </is>
      </c>
      <c r="E725" s="21" t="n">
        <v>9.640000000000001</v>
      </c>
      <c r="F725" s="22" t="n">
        <v>88.91</v>
      </c>
      <c r="G725" s="22" t="n">
        <v>140.57143</v>
      </c>
      <c r="H725" s="23">
        <f>IF(AND(ISNUMBER(F725),ISNUMBER(G725),F725&gt;0),G725/F725-1,"")</f>
        <v/>
      </c>
      <c r="I725" s="22" t="n">
        <v>103</v>
      </c>
      <c r="J725" s="23">
        <f>IF(AND(ISNUMBER(F725),ISNUMBER(I725),F725&gt;0),I725/F725-1,"")</f>
        <v/>
      </c>
      <c r="K725" s="22" t="n">
        <v>165</v>
      </c>
      <c r="L725" s="23">
        <f>IF(AND(ISNUMBER(F725),ISNUMBER(K725),F725&gt;0),K725/F725-1,"")</f>
        <v/>
      </c>
      <c r="M725" s="24" t="n">
        <v>7</v>
      </c>
      <c r="N725" s="25" t="n"/>
      <c r="O725" s="26">
        <f>IF(AND(ISNUMBER(F725),ISNUMBER(N725),F725&gt;0),N725/F725,"")</f>
        <v/>
      </c>
      <c r="P725" s="27" t="n"/>
      <c r="Q725" s="27" t="n">
        <v>46321</v>
      </c>
      <c r="R725" s="25" t="n">
        <v>2.42</v>
      </c>
      <c r="S725" s="28">
        <f>IF(AND(ISNUMBER(F725),ISNUMBER(R725),R725&gt;0),F725/R725,"")</f>
        <v/>
      </c>
      <c r="T725" s="27" t="n">
        <v>46323</v>
      </c>
    </row>
    <row r="726">
      <c r="A726" s="11" t="inlineStr">
        <is>
          <t>IESC</t>
        </is>
      </c>
      <c r="B726" s="11" t="inlineStr">
        <is>
          <t>IES Holdings, Inc.</t>
        </is>
      </c>
      <c r="C726" s="11" t="inlineStr">
        <is>
          <t>Engineering &amp; Construction</t>
        </is>
      </c>
      <c r="D726" s="11" t="inlineStr">
        <is>
          <t>United States</t>
        </is>
      </c>
      <c r="E726" s="12" t="n">
        <v>9.640000000000001</v>
      </c>
      <c r="F726" s="13" t="n">
        <v>227.41</v>
      </c>
      <c r="G726" s="13" t="n">
        <v>440</v>
      </c>
      <c r="H726" s="14">
        <f>IF(AND(ISNUMBER(F726),ISNUMBER(G726),F726&gt;0),G726/F726-1,"")</f>
        <v/>
      </c>
      <c r="I726" s="13" t="n">
        <v>440</v>
      </c>
      <c r="J726" s="14">
        <f>IF(AND(ISNUMBER(F726),ISNUMBER(I726),F726&gt;0),I726/F726-1,"")</f>
        <v/>
      </c>
      <c r="K726" s="13" t="n">
        <v>440</v>
      </c>
      <c r="L726" s="14">
        <f>IF(AND(ISNUMBER(F726),ISNUMBER(K726),F726&gt;0),K726/F726-1,"")</f>
        <v/>
      </c>
      <c r="M726" s="15" t="n">
        <v>1</v>
      </c>
      <c r="N726" s="16" t="n"/>
      <c r="O726" s="17">
        <f>IF(AND(ISNUMBER(F726),ISNUMBER(N726),F726&gt;0),N726/F726,"")</f>
        <v/>
      </c>
      <c r="P726" s="18" t="n"/>
      <c r="Q726" s="18" t="n">
        <v>46346</v>
      </c>
      <c r="R726" s="16" t="n">
        <v>11.25</v>
      </c>
      <c r="S726" s="19">
        <f>IF(AND(ISNUMBER(F726),ISNUMBER(R726),R726&gt;0),F726/R726,"")</f>
        <v/>
      </c>
      <c r="T726" s="18" t="n">
        <v>46323</v>
      </c>
    </row>
    <row r="727">
      <c r="A727" s="20" t="inlineStr">
        <is>
          <t>CORT</t>
        </is>
      </c>
      <c r="B727" s="20" t="inlineStr">
        <is>
          <t>Corcept Therapeutics Incorporat</t>
        </is>
      </c>
      <c r="C727" s="20" t="inlineStr">
        <is>
          <t>Biotechnology</t>
        </is>
      </c>
      <c r="D727" s="20" t="inlineStr">
        <is>
          <t>United States</t>
        </is>
      </c>
      <c r="E727" s="21" t="n">
        <v>9.470000000000001</v>
      </c>
      <c r="F727" s="22" t="n">
        <v>87.59</v>
      </c>
      <c r="G727" s="22" t="n">
        <v>141</v>
      </c>
      <c r="H727" s="23">
        <f>IF(AND(ISNUMBER(F727),ISNUMBER(G727),F727&gt;0),G727/F727-1,"")</f>
        <v/>
      </c>
      <c r="I727" s="22" t="n">
        <v>50</v>
      </c>
      <c r="J727" s="23">
        <f>IF(AND(ISNUMBER(F727),ISNUMBER(I727),F727&gt;0),I727/F727-1,"")</f>
        <v/>
      </c>
      <c r="K727" s="22" t="n">
        <v>165</v>
      </c>
      <c r="L727" s="23">
        <f>IF(AND(ISNUMBER(F727),ISNUMBER(K727),F727&gt;0),K727/F727-1,"")</f>
        <v/>
      </c>
      <c r="M727" s="24" t="n">
        <v>5</v>
      </c>
      <c r="N727" s="25" t="n"/>
      <c r="O727" s="26">
        <f>IF(AND(ISNUMBER(F727),ISNUMBER(N727),F727&gt;0),N727/F727,"")</f>
        <v/>
      </c>
      <c r="P727" s="27" t="n"/>
      <c r="Q727" s="27" t="n">
        <v>46329</v>
      </c>
      <c r="R727" s="25" t="n">
        <v>0.45</v>
      </c>
      <c r="S727" s="28">
        <f>IF(AND(ISNUMBER(F727),ISNUMBER(R727),R727&gt;0),F727/R727,"")</f>
        <v/>
      </c>
      <c r="T727" s="27" t="n">
        <v>46323</v>
      </c>
    </row>
    <row r="728">
      <c r="A728" s="11" t="inlineStr">
        <is>
          <t>GTLB</t>
        </is>
      </c>
      <c r="B728" s="11" t="inlineStr">
        <is>
          <t>GitLab Inc.</t>
        </is>
      </c>
      <c r="C728" s="11" t="inlineStr">
        <is>
          <t>Software - Infrastructure</t>
        </is>
      </c>
      <c r="D728" s="11" t="inlineStr">
        <is>
          <t>United States</t>
        </is>
      </c>
      <c r="E728" s="12" t="n">
        <v>9.470000000000001</v>
      </c>
      <c r="F728" s="13" t="n">
        <v>56.82</v>
      </c>
      <c r="G728" s="13" t="n">
        <v>56.125</v>
      </c>
      <c r="H728" s="14">
        <f>IF(AND(ISNUMBER(F728),ISNUMBER(G728),F728&gt;0),G728/F728-1,"")</f>
        <v/>
      </c>
      <c r="I728" s="13" t="n">
        <v>45</v>
      </c>
      <c r="J728" s="14">
        <f>IF(AND(ISNUMBER(F728),ISNUMBER(I728),F728&gt;0),I728/F728-1,"")</f>
        <v/>
      </c>
      <c r="K728" s="13" t="n">
        <v>70</v>
      </c>
      <c r="L728" s="14">
        <f>IF(AND(ISNUMBER(F728),ISNUMBER(K728),F728&gt;0),K728/F728-1,"")</f>
        <v/>
      </c>
      <c r="M728" s="15" t="n">
        <v>24</v>
      </c>
      <c r="N728" s="16" t="n"/>
      <c r="O728" s="17">
        <f>IF(AND(ISNUMBER(F728),ISNUMBER(N728),F728&gt;0),N728/F728,"")</f>
        <v/>
      </c>
      <c r="P728" s="18" t="n"/>
      <c r="Q728" s="18" t="n">
        <v>46357</v>
      </c>
      <c r="R728" s="16" t="n">
        <v>-0.32</v>
      </c>
      <c r="S728" s="19">
        <f>IF(AND(ISNUMBER(F728),ISNUMBER(R728),R728&gt;0),F728/R728,"")</f>
        <v/>
      </c>
      <c r="T728" s="18" t="n">
        <v>46323</v>
      </c>
    </row>
    <row r="729">
      <c r="A729" s="20" t="inlineStr">
        <is>
          <t>KNTK</t>
        </is>
      </c>
      <c r="B729" s="20" t="inlineStr">
        <is>
          <t>Kinetik Holdings Inc.</t>
        </is>
      </c>
      <c r="C729" s="20" t="inlineStr">
        <is>
          <t>Oil &amp; Gas Midstream</t>
        </is>
      </c>
      <c r="D729" s="20" t="inlineStr">
        <is>
          <t>United States</t>
        </is>
      </c>
      <c r="E729" s="21" t="n">
        <v>9.43</v>
      </c>
      <c r="F729" s="22" t="n">
        <v>55.75</v>
      </c>
      <c r="G729" s="22" t="n">
        <v>58.5625</v>
      </c>
      <c r="H729" s="23">
        <f>IF(AND(ISNUMBER(F729),ISNUMBER(G729),F729&gt;0),G729/F729-1,"")</f>
        <v/>
      </c>
      <c r="I729" s="22" t="n">
        <v>52</v>
      </c>
      <c r="J729" s="23">
        <f>IF(AND(ISNUMBER(F729),ISNUMBER(I729),F729&gt;0),I729/F729-1,"")</f>
        <v/>
      </c>
      <c r="K729" s="22" t="n">
        <v>67</v>
      </c>
      <c r="L729" s="23">
        <f>IF(AND(ISNUMBER(F729),ISNUMBER(K729),F729&gt;0),K729/F729-1,"")</f>
        <v/>
      </c>
      <c r="M729" s="24" t="n">
        <v>16</v>
      </c>
      <c r="N729" s="25" t="n">
        <v>3.24</v>
      </c>
      <c r="O729" s="26">
        <f>IF(AND(ISNUMBER(F729),ISNUMBER(N729),F729&gt;0),N729/F729,"")</f>
        <v/>
      </c>
      <c r="P729" s="27" t="n">
        <v>46318</v>
      </c>
      <c r="Q729" s="27" t="n">
        <v>46330</v>
      </c>
      <c r="R729" s="25" t="n">
        <v>2.86</v>
      </c>
      <c r="S729" s="28">
        <f>IF(AND(ISNUMBER(F729),ISNUMBER(R729),R729&gt;0),F729/R729,"")</f>
        <v/>
      </c>
      <c r="T729" s="27" t="n">
        <v>46323</v>
      </c>
    </row>
    <row r="730">
      <c r="A730" s="11" t="inlineStr">
        <is>
          <t>TFII</t>
        </is>
      </c>
      <c r="B730" s="11" t="inlineStr">
        <is>
          <t>TFI International Inc.</t>
        </is>
      </c>
      <c r="C730" s="11" t="inlineStr">
        <is>
          <t>Trucking</t>
        </is>
      </c>
      <c r="D730" s="11" t="inlineStr">
        <is>
          <t>Canada</t>
        </is>
      </c>
      <c r="E730" s="12" t="n">
        <v>9.41</v>
      </c>
      <c r="F730" s="13" t="n">
        <v>114.54</v>
      </c>
      <c r="G730" s="13" t="n">
        <v>157.64285</v>
      </c>
      <c r="H730" s="14">
        <f>IF(AND(ISNUMBER(F730),ISNUMBER(G730),F730&gt;0),G730/F730-1,"")</f>
        <v/>
      </c>
      <c r="I730" s="13" t="n">
        <v>132</v>
      </c>
      <c r="J730" s="14">
        <f>IF(AND(ISNUMBER(F730),ISNUMBER(I730),F730&gt;0),I730/F730-1,"")</f>
        <v/>
      </c>
      <c r="K730" s="13" t="n">
        <v>190</v>
      </c>
      <c r="L730" s="14">
        <f>IF(AND(ISNUMBER(F730),ISNUMBER(K730),F730&gt;0),K730/F730-1,"")</f>
        <v/>
      </c>
      <c r="M730" s="15" t="n">
        <v>14</v>
      </c>
      <c r="N730" s="16" t="n">
        <v>1.88</v>
      </c>
      <c r="O730" s="17">
        <f>IF(AND(ISNUMBER(F730),ISNUMBER(N730),F730&gt;0),N730/F730,"")</f>
        <v/>
      </c>
      <c r="P730" s="18" t="n">
        <v>46295</v>
      </c>
      <c r="Q730" s="18" t="n">
        <v>46324</v>
      </c>
      <c r="R730" s="16" t="n">
        <v>4.06</v>
      </c>
      <c r="S730" s="19">
        <f>IF(AND(ISNUMBER(F730),ISNUMBER(R730),R730&gt;0),F730/R730,"")</f>
        <v/>
      </c>
      <c r="T730" s="18" t="n">
        <v>46323</v>
      </c>
    </row>
    <row r="731">
      <c r="A731" s="20" t="inlineStr">
        <is>
          <t>PCOR</t>
        </is>
      </c>
      <c r="B731" s="20" t="inlineStr">
        <is>
          <t>Procore Technologies, Inc.</t>
        </is>
      </c>
      <c r="C731" s="20" t="inlineStr">
        <is>
          <t>Software - Application</t>
        </is>
      </c>
      <c r="D731" s="20" t="inlineStr">
        <is>
          <t>United States</t>
        </is>
      </c>
      <c r="E731" s="21" t="n">
        <v>9.380000000000001</v>
      </c>
      <c r="F731" s="22" t="n">
        <v>61.73</v>
      </c>
      <c r="G731" s="22" t="n">
        <v>69.04761999999999</v>
      </c>
      <c r="H731" s="23">
        <f>IF(AND(ISNUMBER(F731),ISNUMBER(G731),F731&gt;0),G731/F731-1,"")</f>
        <v/>
      </c>
      <c r="I731" s="22" t="n">
        <v>55</v>
      </c>
      <c r="J731" s="23">
        <f>IF(AND(ISNUMBER(F731),ISNUMBER(I731),F731&gt;0),I731/F731-1,"")</f>
        <v/>
      </c>
      <c r="K731" s="22" t="n">
        <v>88</v>
      </c>
      <c r="L731" s="23">
        <f>IF(AND(ISNUMBER(F731),ISNUMBER(K731),F731&gt;0),K731/F731-1,"")</f>
        <v/>
      </c>
      <c r="M731" s="24" t="n">
        <v>21</v>
      </c>
      <c r="N731" s="25" t="n"/>
      <c r="O731" s="26">
        <f>IF(AND(ISNUMBER(F731),ISNUMBER(N731),F731&gt;0),N731/F731,"")</f>
        <v/>
      </c>
      <c r="P731" s="27" t="n"/>
      <c r="Q731" s="27" t="n">
        <v>46329</v>
      </c>
      <c r="R731" s="25" t="n">
        <v>-0.26</v>
      </c>
      <c r="S731" s="28">
        <f>IF(AND(ISNUMBER(F731),ISNUMBER(R731),R731&gt;0),F731/R731,"")</f>
        <v/>
      </c>
      <c r="T731" s="27" t="n">
        <v>46323</v>
      </c>
    </row>
    <row r="732">
      <c r="A732" s="11" t="inlineStr">
        <is>
          <t>SM</t>
        </is>
      </c>
      <c r="B732" s="11" t="inlineStr">
        <is>
          <t>SM Energy Company</t>
        </is>
      </c>
      <c r="C732" s="11" t="inlineStr">
        <is>
          <t>Oil &amp; Gas E&amp;P</t>
        </is>
      </c>
      <c r="D732" s="11" t="inlineStr">
        <is>
          <t>United States</t>
        </is>
      </c>
      <c r="E732" s="12" t="n">
        <v>9.289999999999999</v>
      </c>
      <c r="F732" s="13" t="n">
        <v>39.07</v>
      </c>
      <c r="G732" s="13" t="n">
        <v>46.22222</v>
      </c>
      <c r="H732" s="14">
        <f>IF(AND(ISNUMBER(F732),ISNUMBER(G732),F732&gt;0),G732/F732-1,"")</f>
        <v/>
      </c>
      <c r="I732" s="13" t="n">
        <v>35</v>
      </c>
      <c r="J732" s="14">
        <f>IF(AND(ISNUMBER(F732),ISNUMBER(I732),F732&gt;0),I732/F732-1,"")</f>
        <v/>
      </c>
      <c r="K732" s="13" t="n">
        <v>60</v>
      </c>
      <c r="L732" s="14">
        <f>IF(AND(ISNUMBER(F732),ISNUMBER(K732),F732&gt;0),K732/F732-1,"")</f>
        <v/>
      </c>
      <c r="M732" s="15" t="n">
        <v>18</v>
      </c>
      <c r="N732" s="16" t="n">
        <v>0.88</v>
      </c>
      <c r="O732" s="17">
        <f>IF(AND(ISNUMBER(F732),ISNUMBER(N732),F732&gt;0),N732/F732,"")</f>
        <v/>
      </c>
      <c r="P732" s="18" t="n">
        <v>46269</v>
      </c>
      <c r="Q732" s="18" t="n">
        <v>46329</v>
      </c>
      <c r="R732" s="16" t="n">
        <v>5.64</v>
      </c>
      <c r="S732" s="19">
        <f>IF(AND(ISNUMBER(F732),ISNUMBER(R732),R732&gt;0),F732/R732,"")</f>
        <v/>
      </c>
      <c r="T732" s="18" t="n">
        <v>46323</v>
      </c>
    </row>
    <row r="733">
      <c r="A733" s="20" t="inlineStr">
        <is>
          <t>MSGS</t>
        </is>
      </c>
      <c r="B733" s="20" t="inlineStr">
        <is>
          <t>Madison Square Garden Sports Co</t>
        </is>
      </c>
      <c r="C733" s="20" t="inlineStr">
        <is>
          <t>Entertainment</t>
        </is>
      </c>
      <c r="D733" s="20" t="inlineStr">
        <is>
          <t>United States</t>
        </is>
      </c>
      <c r="E733" s="21" t="n">
        <v>9.26</v>
      </c>
      <c r="F733" s="22" t="n">
        <v>384.39</v>
      </c>
      <c r="G733" s="22" t="n">
        <v>493.8</v>
      </c>
      <c r="H733" s="23">
        <f>IF(AND(ISNUMBER(F733),ISNUMBER(G733),F733&gt;0),G733/F733-1,"")</f>
        <v/>
      </c>
      <c r="I733" s="22" t="n">
        <v>450</v>
      </c>
      <c r="J733" s="23">
        <f>IF(AND(ISNUMBER(F733),ISNUMBER(I733),F733&gt;0),I733/F733-1,"")</f>
        <v/>
      </c>
      <c r="K733" s="22" t="n">
        <v>584</v>
      </c>
      <c r="L733" s="23">
        <f>IF(AND(ISNUMBER(F733),ISNUMBER(K733),F733&gt;0),K733/F733-1,"")</f>
        <v/>
      </c>
      <c r="M733" s="24" t="n">
        <v>5</v>
      </c>
      <c r="N733" s="25" t="n"/>
      <c r="O733" s="26">
        <f>IF(AND(ISNUMBER(F733),ISNUMBER(N733),F733&gt;0),N733/F733,"")</f>
        <v/>
      </c>
      <c r="P733" s="27" t="n"/>
      <c r="Q733" s="27" t="n">
        <v>46325</v>
      </c>
      <c r="R733" s="25" t="n">
        <v>0.32</v>
      </c>
      <c r="S733" s="28">
        <f>IF(AND(ISNUMBER(F733),ISNUMBER(R733),R733&gt;0),F733/R733,"")</f>
        <v/>
      </c>
      <c r="T733" s="27" t="n">
        <v>46323</v>
      </c>
    </row>
    <row r="734">
      <c r="A734" s="11" t="inlineStr">
        <is>
          <t>BRKR</t>
        </is>
      </c>
      <c r="B734" s="11" t="inlineStr">
        <is>
          <t>Bruker Corporation</t>
        </is>
      </c>
      <c r="C734" s="11" t="inlineStr">
        <is>
          <t>Medical Devices</t>
        </is>
      </c>
      <c r="D734" s="11" t="inlineStr">
        <is>
          <t>United States</t>
        </is>
      </c>
      <c r="E734" s="12" t="n">
        <v>9.25</v>
      </c>
      <c r="F734" s="13" t="n">
        <v>60.74</v>
      </c>
      <c r="G734" s="13" t="n">
        <v>63.83333</v>
      </c>
      <c r="H734" s="14">
        <f>IF(AND(ISNUMBER(F734),ISNUMBER(G734),F734&gt;0),G734/F734-1,"")</f>
        <v/>
      </c>
      <c r="I734" s="13" t="n">
        <v>50</v>
      </c>
      <c r="J734" s="14">
        <f>IF(AND(ISNUMBER(F734),ISNUMBER(I734),F734&gt;0),I734/F734-1,"")</f>
        <v/>
      </c>
      <c r="K734" s="13" t="n">
        <v>80</v>
      </c>
      <c r="L734" s="14">
        <f>IF(AND(ISNUMBER(F734),ISNUMBER(K734),F734&gt;0),K734/F734-1,"")</f>
        <v/>
      </c>
      <c r="M734" s="15" t="n">
        <v>12</v>
      </c>
      <c r="N734" s="16" t="n">
        <v>0.2</v>
      </c>
      <c r="O734" s="17">
        <f>IF(AND(ISNUMBER(F734),ISNUMBER(N734),F734&gt;0),N734/F734,"")</f>
        <v/>
      </c>
      <c r="P734" s="18" t="n">
        <v>46286</v>
      </c>
      <c r="Q734" s="18" t="n">
        <v>46330</v>
      </c>
      <c r="R734" s="16" t="n">
        <v>-0.7</v>
      </c>
      <c r="S734" s="19">
        <f>IF(AND(ISNUMBER(F734),ISNUMBER(R734),R734&gt;0),F734/R734,"")</f>
        <v/>
      </c>
      <c r="T734" s="18" t="n">
        <v>46323</v>
      </c>
    </row>
    <row r="735">
      <c r="A735" s="20" t="inlineStr">
        <is>
          <t>ORI</t>
        </is>
      </c>
      <c r="B735" s="20" t="inlineStr">
        <is>
          <t>Old Republic International Corp</t>
        </is>
      </c>
      <c r="C735" s="20" t="inlineStr">
        <is>
          <t>Insurance - Property &amp; Casualty</t>
        </is>
      </c>
      <c r="D735" s="20" t="inlineStr">
        <is>
          <t>United States</t>
        </is>
      </c>
      <c r="E735" s="21" t="n">
        <v>9.199999999999999</v>
      </c>
      <c r="F735" s="22" t="n">
        <v>38.1</v>
      </c>
      <c r="G735" s="22" t="n">
        <v>43.5</v>
      </c>
      <c r="H735" s="23">
        <f>IF(AND(ISNUMBER(F735),ISNUMBER(G735),F735&gt;0),G735/F735-1,"")</f>
        <v/>
      </c>
      <c r="I735" s="22" t="n">
        <v>42</v>
      </c>
      <c r="J735" s="23">
        <f>IF(AND(ISNUMBER(F735),ISNUMBER(I735),F735&gt;0),I735/F735-1,"")</f>
        <v/>
      </c>
      <c r="K735" s="22" t="n">
        <v>45</v>
      </c>
      <c r="L735" s="23">
        <f>IF(AND(ISNUMBER(F735),ISNUMBER(K735),F735&gt;0),K735/F735-1,"")</f>
        <v/>
      </c>
      <c r="M735" s="24" t="n">
        <v>2</v>
      </c>
      <c r="N735" s="25" t="n">
        <v>1.26</v>
      </c>
      <c r="O735" s="26">
        <f>IF(AND(ISNUMBER(F735),ISNUMBER(N735),F735&gt;0),N735/F735,"")</f>
        <v/>
      </c>
      <c r="P735" s="27" t="n">
        <v>46269</v>
      </c>
      <c r="Q735" s="27" t="n">
        <v>46408</v>
      </c>
      <c r="R735" s="25" t="n">
        <v>4.38</v>
      </c>
      <c r="S735" s="28">
        <f>IF(AND(ISNUMBER(F735),ISNUMBER(R735),R735&gt;0),F735/R735,"")</f>
        <v/>
      </c>
      <c r="T735" s="27" t="n">
        <v>46323</v>
      </c>
    </row>
    <row r="736">
      <c r="A736" s="11" t="inlineStr">
        <is>
          <t>SIRI</t>
        </is>
      </c>
      <c r="B736" s="11" t="inlineStr">
        <is>
          <t>SiriusXM Holdings Inc.</t>
        </is>
      </c>
      <c r="C736" s="11" t="inlineStr">
        <is>
          <t>Entertainment</t>
        </is>
      </c>
      <c r="D736" s="11" t="inlineStr">
        <is>
          <t>United States</t>
        </is>
      </c>
      <c r="E736" s="12" t="n">
        <v>9.19</v>
      </c>
      <c r="F736" s="13" t="n">
        <v>27.25</v>
      </c>
      <c r="G736" s="13" t="n">
        <v>33.23077</v>
      </c>
      <c r="H736" s="14">
        <f>IF(AND(ISNUMBER(F736),ISNUMBER(G736),F736&gt;0),G736/F736-1,"")</f>
        <v/>
      </c>
      <c r="I736" s="13" t="n">
        <v>24</v>
      </c>
      <c r="J736" s="14">
        <f>IF(AND(ISNUMBER(F736),ISNUMBER(I736),F736&gt;0),I736/F736-1,"")</f>
        <v/>
      </c>
      <c r="K736" s="13" t="n">
        <v>46</v>
      </c>
      <c r="L736" s="14">
        <f>IF(AND(ISNUMBER(F736),ISNUMBER(K736),F736&gt;0),K736/F736-1,"")</f>
        <v/>
      </c>
      <c r="M736" s="15" t="n">
        <v>13</v>
      </c>
      <c r="N736" s="16" t="n">
        <v>1.08</v>
      </c>
      <c r="O736" s="17">
        <f>IF(AND(ISNUMBER(F736),ISNUMBER(N736),F736&gt;0),N736/F736,"")</f>
        <v/>
      </c>
      <c r="P736" s="18" t="n">
        <v>46332</v>
      </c>
      <c r="Q736" s="18" t="n">
        <v>46324</v>
      </c>
      <c r="R736" s="16" t="n">
        <v>2.5</v>
      </c>
      <c r="S736" s="19">
        <f>IF(AND(ISNUMBER(F736),ISNUMBER(R736),R736&gt;0),F736/R736,"")</f>
        <v/>
      </c>
      <c r="T736" s="18" t="n">
        <v>46323</v>
      </c>
    </row>
    <row r="737">
      <c r="A737" s="20" t="inlineStr">
        <is>
          <t>TTMI</t>
        </is>
      </c>
      <c r="B737" s="20" t="inlineStr">
        <is>
          <t>TTM Technologies, Inc.</t>
        </is>
      </c>
      <c r="C737" s="20" t="inlineStr">
        <is>
          <t>Electronic Components</t>
        </is>
      </c>
      <c r="D737" s="20" t="inlineStr">
        <is>
          <t>United States</t>
        </is>
      </c>
      <c r="E737" s="21" t="n">
        <v>9.140000000000001</v>
      </c>
      <c r="F737" s="22" t="n">
        <v>86.78</v>
      </c>
      <c r="G737" s="22" t="n">
        <v>185.8</v>
      </c>
      <c r="H737" s="23">
        <f>IF(AND(ISNUMBER(F737),ISNUMBER(G737),F737&gt;0),G737/F737-1,"")</f>
        <v/>
      </c>
      <c r="I737" s="22" t="n">
        <v>150</v>
      </c>
      <c r="J737" s="23">
        <f>IF(AND(ISNUMBER(F737),ISNUMBER(I737),F737&gt;0),I737/F737-1,"")</f>
        <v/>
      </c>
      <c r="K737" s="22" t="n">
        <v>236</v>
      </c>
      <c r="L737" s="23">
        <f>IF(AND(ISNUMBER(F737),ISNUMBER(K737),F737&gt;0),K737/F737-1,"")</f>
        <v/>
      </c>
      <c r="M737" s="24" t="n">
        <v>5</v>
      </c>
      <c r="N737" s="25" t="n"/>
      <c r="O737" s="26">
        <f>IF(AND(ISNUMBER(F737),ISNUMBER(N737),F737&gt;0),N737/F737,"")</f>
        <v/>
      </c>
      <c r="P737" s="27" t="n"/>
      <c r="Q737" s="27" t="n">
        <v>46317</v>
      </c>
      <c r="R737" s="25" t="n">
        <v>2.5</v>
      </c>
      <c r="S737" s="28">
        <f>IF(AND(ISNUMBER(F737),ISNUMBER(R737),R737&gt;0),F737/R737,"")</f>
        <v/>
      </c>
      <c r="T737" s="27" t="n">
        <v>46323</v>
      </c>
    </row>
    <row r="738">
      <c r="A738" s="11" t="inlineStr">
        <is>
          <t>LKNCY</t>
        </is>
      </c>
      <c r="B738" s="11" t="inlineStr">
        <is>
          <t>Luckin Coffee Inc.</t>
        </is>
      </c>
      <c r="C738" s="11" t="inlineStr">
        <is>
          <t>Restaurants</t>
        </is>
      </c>
      <c r="D738" s="11" t="inlineStr">
        <is>
          <t>China</t>
        </is>
      </c>
      <c r="E738" s="12" t="n">
        <v>9.119999999999999</v>
      </c>
      <c r="F738" s="13" t="n">
        <v>31.85</v>
      </c>
      <c r="G738" s="13" t="n">
        <v>48.54143</v>
      </c>
      <c r="H738" s="14">
        <f>IF(AND(ISNUMBER(F738),ISNUMBER(G738),F738&gt;0),G738/F738-1,"")</f>
        <v/>
      </c>
      <c r="I738" s="13" t="n">
        <v>44</v>
      </c>
      <c r="J738" s="14">
        <f>IF(AND(ISNUMBER(F738),ISNUMBER(I738),F738&gt;0),I738/F738-1,"")</f>
        <v/>
      </c>
      <c r="K738" s="13" t="n">
        <v>54.68</v>
      </c>
      <c r="L738" s="14">
        <f>IF(AND(ISNUMBER(F738),ISNUMBER(K738),F738&gt;0),K738/F738-1,"")</f>
        <v/>
      </c>
      <c r="M738" s="15" t="n">
        <v>14</v>
      </c>
      <c r="N738" s="16" t="n"/>
      <c r="O738" s="17">
        <f>IF(AND(ISNUMBER(F738),ISNUMBER(N738),F738&gt;0),N738/F738,"")</f>
        <v/>
      </c>
      <c r="P738" s="18" t="n"/>
      <c r="Q738" s="18" t="n">
        <v>46329</v>
      </c>
      <c r="R738" s="16" t="n">
        <v>1.68</v>
      </c>
      <c r="S738" s="19">
        <f>IF(AND(ISNUMBER(F738),ISNUMBER(R738),R738&gt;0),F738/R738,"")</f>
        <v/>
      </c>
      <c r="T738" s="18" t="n">
        <v>46323</v>
      </c>
    </row>
    <row r="739">
      <c r="A739" s="20" t="inlineStr">
        <is>
          <t>SAIA</t>
        </is>
      </c>
      <c r="B739" s="20" t="inlineStr">
        <is>
          <t>Saia, Inc.</t>
        </is>
      </c>
      <c r="C739" s="20" t="inlineStr">
        <is>
          <t>Trucking</t>
        </is>
      </c>
      <c r="D739" s="20" t="inlineStr">
        <is>
          <t>United States</t>
        </is>
      </c>
      <c r="E739" s="21" t="n">
        <v>9.07</v>
      </c>
      <c r="F739" s="22" t="n">
        <v>340.86</v>
      </c>
      <c r="G739" s="22" t="n">
        <v>420.2857</v>
      </c>
      <c r="H739" s="23">
        <f>IF(AND(ISNUMBER(F739),ISNUMBER(G739),F739&gt;0),G739/F739-1,"")</f>
        <v/>
      </c>
      <c r="I739" s="22" t="n">
        <v>285</v>
      </c>
      <c r="J739" s="23">
        <f>IF(AND(ISNUMBER(F739),ISNUMBER(I739),F739&gt;0),I739/F739-1,"")</f>
        <v/>
      </c>
      <c r="K739" s="22" t="n">
        <v>510</v>
      </c>
      <c r="L739" s="23">
        <f>IF(AND(ISNUMBER(F739),ISNUMBER(K739),F739&gt;0),K739/F739-1,"")</f>
        <v/>
      </c>
      <c r="M739" s="24" t="n">
        <v>21</v>
      </c>
      <c r="N739" s="25" t="n"/>
      <c r="O739" s="26">
        <f>IF(AND(ISNUMBER(F739),ISNUMBER(N739),F739&gt;0),N739/F739,"")</f>
        <v/>
      </c>
      <c r="P739" s="27" t="n"/>
      <c r="Q739" s="27" t="n">
        <v>46324</v>
      </c>
      <c r="R739" s="25" t="n">
        <v>10.36</v>
      </c>
      <c r="S739" s="28">
        <f>IF(AND(ISNUMBER(F739),ISNUMBER(R739),R739&gt;0),F739/R739,"")</f>
        <v/>
      </c>
      <c r="T739" s="27" t="n">
        <v>46323</v>
      </c>
    </row>
    <row r="740">
      <c r="A740" s="11" t="inlineStr">
        <is>
          <t>APTV</t>
        </is>
      </c>
      <c r="B740" s="11" t="inlineStr">
        <is>
          <t>Aptiv PLC</t>
        </is>
      </c>
      <c r="C740" s="11" t="inlineStr">
        <is>
          <t>Auto Parts</t>
        </is>
      </c>
      <c r="D740" s="11" t="inlineStr">
        <is>
          <t>Switzerland</t>
        </is>
      </c>
      <c r="E740" s="12" t="n">
        <v>9.06</v>
      </c>
      <c r="F740" s="13" t="n">
        <v>43.65</v>
      </c>
      <c r="G740" s="13" t="n">
        <v>64.33333</v>
      </c>
      <c r="H740" s="14">
        <f>IF(AND(ISNUMBER(F740),ISNUMBER(G740),F740&gt;0),G740/F740-1,"")</f>
        <v/>
      </c>
      <c r="I740" s="13" t="n">
        <v>50</v>
      </c>
      <c r="J740" s="14">
        <f>IF(AND(ISNUMBER(F740),ISNUMBER(I740),F740&gt;0),I740/F740-1,"")</f>
        <v/>
      </c>
      <c r="K740" s="13" t="n">
        <v>77</v>
      </c>
      <c r="L740" s="14">
        <f>IF(AND(ISNUMBER(F740),ISNUMBER(K740),F740&gt;0),K740/F740-1,"")</f>
        <v/>
      </c>
      <c r="M740" s="15" t="n">
        <v>18</v>
      </c>
      <c r="N740" s="16" t="n"/>
      <c r="O740" s="17">
        <f>IF(AND(ISNUMBER(F740),ISNUMBER(N740),F740&gt;0),N740/F740,"")</f>
        <v/>
      </c>
      <c r="P740" s="18" t="n"/>
      <c r="Q740" s="18" t="n">
        <v>46329</v>
      </c>
      <c r="R740" s="16" t="n">
        <v>1.01</v>
      </c>
      <c r="S740" s="19">
        <f>IF(AND(ISNUMBER(F740),ISNUMBER(R740),R740&gt;0),F740/R740,"")</f>
        <v/>
      </c>
      <c r="T740" s="18" t="n">
        <v>46323</v>
      </c>
    </row>
    <row r="741">
      <c r="A741" s="20" t="inlineStr">
        <is>
          <t>FLS</t>
        </is>
      </c>
      <c r="B741" s="20" t="inlineStr">
        <is>
          <t>Flowserve Corporation</t>
        </is>
      </c>
      <c r="C741" s="20" t="inlineStr">
        <is>
          <t>Specialty Industrial Machinery</t>
        </is>
      </c>
      <c r="D741" s="20" t="inlineStr">
        <is>
          <t>United States</t>
        </is>
      </c>
      <c r="E741" s="21" t="n">
        <v>9</v>
      </c>
      <c r="F741" s="22" t="n">
        <v>70.84</v>
      </c>
      <c r="G741" s="22" t="n">
        <v>87.59999999999999</v>
      </c>
      <c r="H741" s="23">
        <f>IF(AND(ISNUMBER(F741),ISNUMBER(G741),F741&gt;0),G741/F741-1,"")</f>
        <v/>
      </c>
      <c r="I741" s="22" t="n">
        <v>70</v>
      </c>
      <c r="J741" s="23">
        <f>IF(AND(ISNUMBER(F741),ISNUMBER(I741),F741&gt;0),I741/F741-1,"")</f>
        <v/>
      </c>
      <c r="K741" s="22" t="n">
        <v>100</v>
      </c>
      <c r="L741" s="23">
        <f>IF(AND(ISNUMBER(F741),ISNUMBER(K741),F741&gt;0),K741/F741-1,"")</f>
        <v/>
      </c>
      <c r="M741" s="24" t="n">
        <v>10</v>
      </c>
      <c r="N741" s="25" t="n">
        <v>0.88</v>
      </c>
      <c r="O741" s="26">
        <f>IF(AND(ISNUMBER(F741),ISNUMBER(N741),F741&gt;0),N741/F741,"")</f>
        <v/>
      </c>
      <c r="P741" s="27" t="n">
        <v>46290</v>
      </c>
      <c r="Q741" s="27" t="n">
        <v>46323</v>
      </c>
      <c r="R741" s="25" t="n">
        <v>2.93</v>
      </c>
      <c r="S741" s="28">
        <f>IF(AND(ISNUMBER(F741),ISNUMBER(R741),R741&gt;0),F741/R741,"")</f>
        <v/>
      </c>
      <c r="T741" s="27" t="n">
        <v>46323</v>
      </c>
    </row>
    <row r="742">
      <c r="A742" s="11" t="inlineStr">
        <is>
          <t>S</t>
        </is>
      </c>
      <c r="B742" s="11" t="inlineStr">
        <is>
          <t>SentinelOne, Inc.</t>
        </is>
      </c>
      <c r="C742" s="11" t="inlineStr">
        <is>
          <t>Software - Infrastructure</t>
        </is>
      </c>
      <c r="D742" s="11" t="inlineStr">
        <is>
          <t>United States</t>
        </is>
      </c>
      <c r="E742" s="12" t="n">
        <v>8.93</v>
      </c>
      <c r="F742" s="13" t="n">
        <v>25.65</v>
      </c>
      <c r="G742" s="13" t="n">
        <v>24.91667</v>
      </c>
      <c r="H742" s="14">
        <f>IF(AND(ISNUMBER(F742),ISNUMBER(G742),F742&gt;0),G742/F742-1,"")</f>
        <v/>
      </c>
      <c r="I742" s="13" t="n">
        <v>17.5</v>
      </c>
      <c r="J742" s="14">
        <f>IF(AND(ISNUMBER(F742),ISNUMBER(I742),F742&gt;0),I742/F742-1,"")</f>
        <v/>
      </c>
      <c r="K742" s="13" t="n">
        <v>31</v>
      </c>
      <c r="L742" s="14">
        <f>IF(AND(ISNUMBER(F742),ISNUMBER(K742),F742&gt;0),K742/F742-1,"")</f>
        <v/>
      </c>
      <c r="M742" s="15" t="n">
        <v>30</v>
      </c>
      <c r="N742" s="16" t="n"/>
      <c r="O742" s="17">
        <f>IF(AND(ISNUMBER(F742),ISNUMBER(N742),F742&gt;0),N742/F742,"")</f>
        <v/>
      </c>
      <c r="P742" s="18" t="n"/>
      <c r="Q742" s="18" t="n">
        <v>46261</v>
      </c>
      <c r="R742" s="16" t="n">
        <v>-1.01</v>
      </c>
      <c r="S742" s="19">
        <f>IF(AND(ISNUMBER(F742),ISNUMBER(R742),R742&gt;0),F742/R742,"")</f>
        <v/>
      </c>
      <c r="T742" s="18" t="n">
        <v>46323</v>
      </c>
    </row>
    <row r="743">
      <c r="A743" s="20" t="inlineStr">
        <is>
          <t>XPEV</t>
        </is>
      </c>
      <c r="B743" s="20" t="inlineStr">
        <is>
          <t>XPeng Inc.</t>
        </is>
      </c>
      <c r="C743" s="20" t="inlineStr">
        <is>
          <t>Auto Manufacturers</t>
        </is>
      </c>
      <c r="D743" s="20" t="inlineStr">
        <is>
          <t>China</t>
        </is>
      </c>
      <c r="E743" s="21" t="n">
        <v>8.9</v>
      </c>
      <c r="F743" s="22" t="n">
        <v>9.289999999999999</v>
      </c>
      <c r="G743" s="22" t="n">
        <v>17.989584</v>
      </c>
      <c r="H743" s="23">
        <f>IF(AND(ISNUMBER(F743),ISNUMBER(G743),F743&gt;0),G743/F743-1,"")</f>
        <v/>
      </c>
      <c r="I743" s="22" t="n">
        <v>10.008699</v>
      </c>
      <c r="J743" s="23">
        <f>IF(AND(ISNUMBER(F743),ISNUMBER(I743),F743&gt;0),I743/F743-1,"")</f>
        <v/>
      </c>
      <c r="K743" s="22" t="n">
        <v>25.387083</v>
      </c>
      <c r="L743" s="23">
        <f>IF(AND(ISNUMBER(F743),ISNUMBER(K743),F743&gt;0),K743/F743-1,"")</f>
        <v/>
      </c>
      <c r="M743" s="24" t="n">
        <v>25</v>
      </c>
      <c r="N743" s="25" t="n"/>
      <c r="O743" s="26">
        <f>IF(AND(ISNUMBER(F743),ISNUMBER(N743),F743&gt;0),N743/F743,"")</f>
        <v/>
      </c>
      <c r="P743" s="27" t="n"/>
      <c r="Q743" s="27" t="n">
        <v>46342</v>
      </c>
      <c r="R743" s="25" t="n">
        <v>-0.46</v>
      </c>
      <c r="S743" s="28">
        <f>IF(AND(ISNUMBER(F743),ISNUMBER(R743),R743&gt;0),F743/R743,"")</f>
        <v/>
      </c>
      <c r="T743" s="27" t="n">
        <v>46323</v>
      </c>
    </row>
    <row r="744">
      <c r="A744" s="11" t="inlineStr">
        <is>
          <t>PCTY</t>
        </is>
      </c>
      <c r="B744" s="11" t="inlineStr">
        <is>
          <t>Paylocity Holding Corporation</t>
        </is>
      </c>
      <c r="C744" s="11" t="inlineStr">
        <is>
          <t>Software - Application</t>
        </is>
      </c>
      <c r="D744" s="11" t="inlineStr">
        <is>
          <t>United States</t>
        </is>
      </c>
      <c r="E744" s="12" t="n">
        <v>8.869999999999999</v>
      </c>
      <c r="F744" s="13" t="n">
        <v>170.07</v>
      </c>
      <c r="G744" s="13" t="n">
        <v>178.85</v>
      </c>
      <c r="H744" s="14">
        <f>IF(AND(ISNUMBER(F744),ISNUMBER(G744),F744&gt;0),G744/F744-1,"")</f>
        <v/>
      </c>
      <c r="I744" s="13" t="n">
        <v>128</v>
      </c>
      <c r="J744" s="14">
        <f>IF(AND(ISNUMBER(F744),ISNUMBER(I744),F744&gt;0),I744/F744-1,"")</f>
        <v/>
      </c>
      <c r="K744" s="13" t="n">
        <v>250</v>
      </c>
      <c r="L744" s="14">
        <f>IF(AND(ISNUMBER(F744),ISNUMBER(K744),F744&gt;0),K744/F744-1,"")</f>
        <v/>
      </c>
      <c r="M744" s="15" t="n">
        <v>20</v>
      </c>
      <c r="N744" s="16" t="n"/>
      <c r="O744" s="17">
        <f>IF(AND(ISNUMBER(F744),ISNUMBER(N744),F744&gt;0),N744/F744,"")</f>
        <v/>
      </c>
      <c r="P744" s="18" t="n"/>
      <c r="Q744" s="18" t="n">
        <v>46331</v>
      </c>
      <c r="R744" s="16" t="n">
        <v>4.92</v>
      </c>
      <c r="S744" s="19">
        <f>IF(AND(ISNUMBER(F744),ISNUMBER(R744),R744&gt;0),F744/R744,"")</f>
        <v/>
      </c>
      <c r="T744" s="18" t="n">
        <v>46323</v>
      </c>
    </row>
    <row r="745">
      <c r="A745" s="20" t="inlineStr">
        <is>
          <t>PBF</t>
        </is>
      </c>
      <c r="B745" s="20" t="inlineStr">
        <is>
          <t>PBF Energy Inc.</t>
        </is>
      </c>
      <c r="C745" s="20" t="inlineStr">
        <is>
          <t>Oil &amp; Gas Refining &amp; Marketing</t>
        </is>
      </c>
      <c r="D745" s="20" t="inlineStr">
        <is>
          <t>United States</t>
        </is>
      </c>
      <c r="E745" s="21" t="n">
        <v>8.73</v>
      </c>
      <c r="F745" s="22" t="n">
        <v>73.63</v>
      </c>
      <c r="G745" s="22" t="n">
        <v>85.35714</v>
      </c>
      <c r="H745" s="23">
        <f>IF(AND(ISNUMBER(F745),ISNUMBER(G745),F745&gt;0),G745/F745-1,"")</f>
        <v/>
      </c>
      <c r="I745" s="22" t="n">
        <v>55</v>
      </c>
      <c r="J745" s="23">
        <f>IF(AND(ISNUMBER(F745),ISNUMBER(I745),F745&gt;0),I745/F745-1,"")</f>
        <v/>
      </c>
      <c r="K745" s="22" t="n">
        <v>113</v>
      </c>
      <c r="L745" s="23">
        <f>IF(AND(ISNUMBER(F745),ISNUMBER(K745),F745&gt;0),K745/F745-1,"")</f>
        <v/>
      </c>
      <c r="M745" s="24" t="n">
        <v>14</v>
      </c>
      <c r="N745" s="25" t="n">
        <v>1.1</v>
      </c>
      <c r="O745" s="26">
        <f>IF(AND(ISNUMBER(F745),ISNUMBER(N745),F745&gt;0),N745/F745,"")</f>
        <v/>
      </c>
      <c r="P745" s="27" t="n">
        <v>46248</v>
      </c>
      <c r="Q745" s="27" t="n">
        <v>46324</v>
      </c>
      <c r="R745" s="25" t="n">
        <v>11.36</v>
      </c>
      <c r="S745" s="28">
        <f>IF(AND(ISNUMBER(F745),ISNUMBER(R745),R745&gt;0),F745/R745,"")</f>
        <v/>
      </c>
      <c r="T745" s="27" t="n">
        <v>46323</v>
      </c>
    </row>
    <row r="746">
      <c r="A746" s="11" t="inlineStr">
        <is>
          <t>TGTX</t>
        </is>
      </c>
      <c r="B746" s="11" t="inlineStr">
        <is>
          <t>TG Therapeutics, Inc.</t>
        </is>
      </c>
      <c r="C746" s="11" t="inlineStr">
        <is>
          <t>Biotechnology</t>
        </is>
      </c>
      <c r="D746" s="11" t="inlineStr">
        <is>
          <t>United States</t>
        </is>
      </c>
      <c r="E746" s="12" t="n">
        <v>8.640000000000001</v>
      </c>
      <c r="F746" s="13" t="n">
        <v>56.44</v>
      </c>
      <c r="G746" s="13" t="n">
        <v>69.71429000000001</v>
      </c>
      <c r="H746" s="14">
        <f>IF(AND(ISNUMBER(F746),ISNUMBER(G746),F746&gt;0),G746/F746-1,"")</f>
        <v/>
      </c>
      <c r="I746" s="13" t="n">
        <v>21</v>
      </c>
      <c r="J746" s="14">
        <f>IF(AND(ISNUMBER(F746),ISNUMBER(I746),F746&gt;0),I746/F746-1,"")</f>
        <v/>
      </c>
      <c r="K746" s="13" t="n">
        <v>86</v>
      </c>
      <c r="L746" s="14">
        <f>IF(AND(ISNUMBER(F746),ISNUMBER(K746),F746&gt;0),K746/F746-1,"")</f>
        <v/>
      </c>
      <c r="M746" s="15" t="n">
        <v>7</v>
      </c>
      <c r="N746" s="16" t="n"/>
      <c r="O746" s="17">
        <f>IF(AND(ISNUMBER(F746),ISNUMBER(N746),F746&gt;0),N746/F746,"")</f>
        <v/>
      </c>
      <c r="P746" s="18" t="n"/>
      <c r="Q746" s="18" t="n">
        <v>46328</v>
      </c>
      <c r="R746" s="16" t="n">
        <v>2.75</v>
      </c>
      <c r="S746" s="19">
        <f>IF(AND(ISNUMBER(F746),ISNUMBER(R746),R746&gt;0),F746/R746,"")</f>
        <v/>
      </c>
      <c r="T746" s="18" t="n">
        <v>46323</v>
      </c>
    </row>
    <row r="747">
      <c r="A747" s="20" t="inlineStr">
        <is>
          <t>PRI</t>
        </is>
      </c>
      <c r="B747" s="20" t="inlineStr">
        <is>
          <t>Primerica, Inc.</t>
        </is>
      </c>
      <c r="C747" s="20" t="inlineStr">
        <is>
          <t>Insurance - Life</t>
        </is>
      </c>
      <c r="D747" s="20" t="inlineStr">
        <is>
          <t>United States</t>
        </is>
      </c>
      <c r="E747" s="21" t="n">
        <v>8.539999999999999</v>
      </c>
      <c r="F747" s="22" t="n">
        <v>277.55</v>
      </c>
      <c r="G747" s="22" t="n">
        <v>323.66666</v>
      </c>
      <c r="H747" s="23">
        <f>IF(AND(ISNUMBER(F747),ISNUMBER(G747),F747&gt;0),G747/F747-1,"")</f>
        <v/>
      </c>
      <c r="I747" s="22" t="n">
        <v>276</v>
      </c>
      <c r="J747" s="23">
        <f>IF(AND(ISNUMBER(F747),ISNUMBER(I747),F747&gt;0),I747/F747-1,"")</f>
        <v/>
      </c>
      <c r="K747" s="22" t="n">
        <v>360</v>
      </c>
      <c r="L747" s="23">
        <f>IF(AND(ISNUMBER(F747),ISNUMBER(K747),F747&gt;0),K747/F747-1,"")</f>
        <v/>
      </c>
      <c r="M747" s="24" t="n">
        <v>6</v>
      </c>
      <c r="N747" s="25" t="n">
        <v>4.8</v>
      </c>
      <c r="O747" s="26">
        <f>IF(AND(ISNUMBER(F747),ISNUMBER(N747),F747&gt;0),N747/F747,"")</f>
        <v/>
      </c>
      <c r="P747" s="27" t="n">
        <v>46255</v>
      </c>
      <c r="Q747" s="27" t="n">
        <v>46330</v>
      </c>
      <c r="R747" s="25" t="n">
        <v>24.9</v>
      </c>
      <c r="S747" s="28">
        <f>IF(AND(ISNUMBER(F747),ISNUMBER(R747),R747&gt;0),F747/R747,"")</f>
        <v/>
      </c>
      <c r="T747" s="27" t="n">
        <v>46323</v>
      </c>
    </row>
    <row r="748">
      <c r="A748" s="11" t="inlineStr">
        <is>
          <t>CTRE</t>
        </is>
      </c>
      <c r="B748" s="11" t="inlineStr">
        <is>
          <t>CareTrust REIT, Inc.</t>
        </is>
      </c>
      <c r="C748" s="11" t="inlineStr">
        <is>
          <t>Reit - Healthcare Facilities</t>
        </is>
      </c>
      <c r="D748" s="11" t="inlineStr">
        <is>
          <t>United States</t>
        </is>
      </c>
      <c r="E748" s="12" t="n">
        <v>8.539999999999999</v>
      </c>
      <c r="F748" s="13" t="n">
        <v>36.14</v>
      </c>
      <c r="G748" s="13" t="n">
        <v>43.64286</v>
      </c>
      <c r="H748" s="14">
        <f>IF(AND(ISNUMBER(F748),ISNUMBER(G748),F748&gt;0),G748/F748-1,"")</f>
        <v/>
      </c>
      <c r="I748" s="13" t="n">
        <v>41</v>
      </c>
      <c r="J748" s="14">
        <f>IF(AND(ISNUMBER(F748),ISNUMBER(I748),F748&gt;0),I748/F748-1,"")</f>
        <v/>
      </c>
      <c r="K748" s="13" t="n">
        <v>49</v>
      </c>
      <c r="L748" s="14">
        <f>IF(AND(ISNUMBER(F748),ISNUMBER(K748),F748&gt;0),K748/F748-1,"")</f>
        <v/>
      </c>
      <c r="M748" s="15" t="n">
        <v>14</v>
      </c>
      <c r="N748" s="16" t="n">
        <v>1.56</v>
      </c>
      <c r="O748" s="17">
        <f>IF(AND(ISNUMBER(F748),ISNUMBER(N748),F748&gt;0),N748/F748,"")</f>
        <v/>
      </c>
      <c r="P748" s="18" t="n">
        <v>46295</v>
      </c>
      <c r="Q748" s="18" t="n">
        <v>46331</v>
      </c>
      <c r="R748" s="16" t="n">
        <v>1.62</v>
      </c>
      <c r="S748" s="19">
        <f>IF(AND(ISNUMBER(F748),ISNUMBER(R748),R748&gt;0),F748/R748,"")</f>
        <v/>
      </c>
      <c r="T748" s="18" t="n">
        <v>46323</v>
      </c>
    </row>
    <row r="749">
      <c r="A749" s="20" t="inlineStr">
        <is>
          <t>TIMB</t>
        </is>
      </c>
      <c r="B749" s="20" t="inlineStr">
        <is>
          <t>TIM S.A.</t>
        </is>
      </c>
      <c r="C749" s="20" t="inlineStr">
        <is>
          <t>Telecom Services</t>
        </is>
      </c>
      <c r="D749" s="20" t="inlineStr">
        <is>
          <t>Brazil</t>
        </is>
      </c>
      <c r="E749" s="21" t="n">
        <v>8.460000000000001</v>
      </c>
      <c r="F749" s="22" t="n">
        <v>17.8</v>
      </c>
      <c r="G749" s="22" t="n">
        <v>23.49</v>
      </c>
      <c r="H749" s="23">
        <f>IF(AND(ISNUMBER(F749),ISNUMBER(G749),F749&gt;0),G749/F749-1,"")</f>
        <v/>
      </c>
      <c r="I749" s="22" t="n">
        <v>21.4</v>
      </c>
      <c r="J749" s="23">
        <f>IF(AND(ISNUMBER(F749),ISNUMBER(I749),F749&gt;0),I749/F749-1,"")</f>
        <v/>
      </c>
      <c r="K749" s="22" t="n">
        <v>28.5</v>
      </c>
      <c r="L749" s="23">
        <f>IF(AND(ISNUMBER(F749),ISNUMBER(K749),F749&gt;0),K749/F749-1,"")</f>
        <v/>
      </c>
      <c r="M749" s="24" t="n">
        <v>7</v>
      </c>
      <c r="N749" s="25" t="n">
        <v>1.57</v>
      </c>
      <c r="O749" s="26">
        <f>IF(AND(ISNUMBER(F749),ISNUMBER(N749),F749&gt;0),N749/F749,"")</f>
        <v/>
      </c>
      <c r="P749" s="27" t="n">
        <v>46293</v>
      </c>
      <c r="Q749" s="27" t="n">
        <v>46335</v>
      </c>
      <c r="R749" s="25" t="n">
        <v>1.7</v>
      </c>
      <c r="S749" s="28">
        <f>IF(AND(ISNUMBER(F749),ISNUMBER(R749),R749&gt;0),F749/R749,"")</f>
        <v/>
      </c>
      <c r="T749" s="27" t="n">
        <v>46323</v>
      </c>
    </row>
    <row r="750">
      <c r="A750" s="11" t="inlineStr">
        <is>
          <t>AOS</t>
        </is>
      </c>
      <c r="B750" s="11" t="inlineStr">
        <is>
          <t>A.O. Smith Corporation</t>
        </is>
      </c>
      <c r="C750" s="11" t="inlineStr">
        <is>
          <t>Specialty Industrial Machinery</t>
        </is>
      </c>
      <c r="D750" s="11" t="inlineStr">
        <is>
          <t>United States</t>
        </is>
      </c>
      <c r="E750" s="12" t="n">
        <v>8.43</v>
      </c>
      <c r="F750" s="13" t="n">
        <v>62.06</v>
      </c>
      <c r="G750" s="13" t="n">
        <v>66.2</v>
      </c>
      <c r="H750" s="14">
        <f>IF(AND(ISNUMBER(F750),ISNUMBER(G750),F750&gt;0),G750/F750-1,"")</f>
        <v/>
      </c>
      <c r="I750" s="13" t="n">
        <v>55</v>
      </c>
      <c r="J750" s="14">
        <f>IF(AND(ISNUMBER(F750),ISNUMBER(I750),F750&gt;0),I750/F750-1,"")</f>
        <v/>
      </c>
      <c r="K750" s="13" t="n">
        <v>80</v>
      </c>
      <c r="L750" s="14">
        <f>IF(AND(ISNUMBER(F750),ISNUMBER(K750),F750&gt;0),K750/F750-1,"")</f>
        <v/>
      </c>
      <c r="M750" s="15" t="n">
        <v>10</v>
      </c>
      <c r="N750" s="16" t="n">
        <v>1.52</v>
      </c>
      <c r="O750" s="17">
        <f>IF(AND(ISNUMBER(F750),ISNUMBER(N750),F750&gt;0),N750/F750,"")</f>
        <v/>
      </c>
      <c r="P750" s="18" t="n">
        <v>46325</v>
      </c>
      <c r="Q750" s="18" t="n">
        <v>46324</v>
      </c>
      <c r="R750" s="16" t="n">
        <v>3.61</v>
      </c>
      <c r="S750" s="19">
        <f>IF(AND(ISNUMBER(F750),ISNUMBER(R750),R750&gt;0),F750/R750,"")</f>
        <v/>
      </c>
      <c r="T750" s="18" t="n">
        <v>46323</v>
      </c>
    </row>
    <row r="751">
      <c r="A751" s="20" t="inlineStr">
        <is>
          <t>UGI</t>
        </is>
      </c>
      <c r="B751" s="20" t="inlineStr">
        <is>
          <t>UGI Corporation</t>
        </is>
      </c>
      <c r="C751" s="20" t="inlineStr">
        <is>
          <t>Utilities - Regulated Gas</t>
        </is>
      </c>
      <c r="D751" s="20" t="inlineStr">
        <is>
          <t>United States</t>
        </is>
      </c>
      <c r="E751" s="21" t="n">
        <v>8.42</v>
      </c>
      <c r="F751" s="22" t="n">
        <v>39.26</v>
      </c>
      <c r="G751" s="22" t="n">
        <v>43.5</v>
      </c>
      <c r="H751" s="23">
        <f>IF(AND(ISNUMBER(F751),ISNUMBER(G751),F751&gt;0),G751/F751-1,"")</f>
        <v/>
      </c>
      <c r="I751" s="22" t="n">
        <v>42</v>
      </c>
      <c r="J751" s="23">
        <f>IF(AND(ISNUMBER(F751),ISNUMBER(I751),F751&gt;0),I751/F751-1,"")</f>
        <v/>
      </c>
      <c r="K751" s="22" t="n">
        <v>46</v>
      </c>
      <c r="L751" s="23">
        <f>IF(AND(ISNUMBER(F751),ISNUMBER(K751),F751&gt;0),K751/F751-1,"")</f>
        <v/>
      </c>
      <c r="M751" s="24" t="n">
        <v>4</v>
      </c>
      <c r="N751" s="25" t="n">
        <v>1.5</v>
      </c>
      <c r="O751" s="26">
        <f>IF(AND(ISNUMBER(F751),ISNUMBER(N751),F751&gt;0),N751/F751,"")</f>
        <v/>
      </c>
      <c r="P751" s="27" t="n">
        <v>46280</v>
      </c>
      <c r="Q751" s="27" t="n">
        <v>46344</v>
      </c>
      <c r="R751" s="25" t="n">
        <v>3.01</v>
      </c>
      <c r="S751" s="28">
        <f>IF(AND(ISNUMBER(F751),ISNUMBER(R751),R751&gt;0),F751/R751,"")</f>
        <v/>
      </c>
      <c r="T751" s="27" t="n">
        <v>46323</v>
      </c>
    </row>
    <row r="752">
      <c r="A752" s="11" t="inlineStr">
        <is>
          <t>CHRD</t>
        </is>
      </c>
      <c r="B752" s="11" t="inlineStr">
        <is>
          <t>Chord Energy Corporation</t>
        </is>
      </c>
      <c r="C752" s="11" t="inlineStr">
        <is>
          <t>Oil &amp; Gas E&amp;P</t>
        </is>
      </c>
      <c r="D752" s="11" t="inlineStr">
        <is>
          <t>United States</t>
        </is>
      </c>
      <c r="E752" s="12" t="n">
        <v>8.390000000000001</v>
      </c>
      <c r="F752" s="13" t="n">
        <v>153.31</v>
      </c>
      <c r="G752" s="13" t="n">
        <v>181.875</v>
      </c>
      <c r="H752" s="14">
        <f>IF(AND(ISNUMBER(F752),ISNUMBER(G752),F752&gt;0),G752/F752-1,"")</f>
        <v/>
      </c>
      <c r="I752" s="13" t="n">
        <v>150</v>
      </c>
      <c r="J752" s="14">
        <f>IF(AND(ISNUMBER(F752),ISNUMBER(I752),F752&gt;0),I752/F752-1,"")</f>
        <v/>
      </c>
      <c r="K752" s="13" t="n">
        <v>228</v>
      </c>
      <c r="L752" s="14">
        <f>IF(AND(ISNUMBER(F752),ISNUMBER(K752),F752&gt;0),K752/F752-1,"")</f>
        <v/>
      </c>
      <c r="M752" s="15" t="n">
        <v>16</v>
      </c>
      <c r="N752" s="16" t="n">
        <v>5.2</v>
      </c>
      <c r="O752" s="17">
        <f>IF(AND(ISNUMBER(F752),ISNUMBER(N752),F752&gt;0),N752/F752,"")</f>
        <v/>
      </c>
      <c r="P752" s="18" t="n">
        <v>46254</v>
      </c>
      <c r="Q752" s="18" t="n">
        <v>46330</v>
      </c>
      <c r="R752" s="16" t="n">
        <v>14.86</v>
      </c>
      <c r="S752" s="19">
        <f>IF(AND(ISNUMBER(F752),ISNUMBER(R752),R752&gt;0),F752/R752,"")</f>
        <v/>
      </c>
      <c r="T752" s="18" t="n">
        <v>46323</v>
      </c>
    </row>
    <row r="753">
      <c r="A753" s="20" t="inlineStr">
        <is>
          <t>ADC</t>
        </is>
      </c>
      <c r="B753" s="20" t="inlineStr">
        <is>
          <t>Agree Realty Corporation</t>
        </is>
      </c>
      <c r="C753" s="20" t="inlineStr">
        <is>
          <t>Reit - Retail</t>
        </is>
      </c>
      <c r="D753" s="20" t="inlineStr">
        <is>
          <t>United States</t>
        </is>
      </c>
      <c r="E753" s="21" t="n">
        <v>8.359999999999999</v>
      </c>
      <c r="F753" s="22" t="n">
        <v>67</v>
      </c>
      <c r="G753" s="22" t="n">
        <v>77.75</v>
      </c>
      <c r="H753" s="23">
        <f>IF(AND(ISNUMBER(F753),ISNUMBER(G753),F753&gt;0),G753/F753-1,"")</f>
        <v/>
      </c>
      <c r="I753" s="22" t="n">
        <v>72</v>
      </c>
      <c r="J753" s="23">
        <f>IF(AND(ISNUMBER(F753),ISNUMBER(I753),F753&gt;0),I753/F753-1,"")</f>
        <v/>
      </c>
      <c r="K753" s="22" t="n">
        <v>91</v>
      </c>
      <c r="L753" s="23">
        <f>IF(AND(ISNUMBER(F753),ISNUMBER(K753),F753&gt;0),K753/F753-1,"")</f>
        <v/>
      </c>
      <c r="M753" s="24" t="n">
        <v>18</v>
      </c>
      <c r="N753" s="25" t="n">
        <v>3.25</v>
      </c>
      <c r="O753" s="26">
        <f>IF(AND(ISNUMBER(F753),ISNUMBER(N753),F753&gt;0),N753/F753,"")</f>
        <v/>
      </c>
      <c r="P753" s="27" t="n">
        <v>46325</v>
      </c>
      <c r="Q753" s="27" t="n">
        <v>46315</v>
      </c>
      <c r="R753" s="25" t="n">
        <v>1.94</v>
      </c>
      <c r="S753" s="28">
        <f>IF(AND(ISNUMBER(F753),ISNUMBER(R753),R753&gt;0),F753/R753,"")</f>
        <v/>
      </c>
      <c r="T753" s="27" t="n">
        <v>46323</v>
      </c>
    </row>
    <row r="754">
      <c r="A754" s="11" t="inlineStr">
        <is>
          <t>AAL</t>
        </is>
      </c>
      <c r="B754" s="11" t="inlineStr">
        <is>
          <t>American Airlines Group, Inc.</t>
        </is>
      </c>
      <c r="C754" s="11" t="inlineStr">
        <is>
          <t>Airlines</t>
        </is>
      </c>
      <c r="D754" s="11" t="inlineStr">
        <is>
          <t>United States</t>
        </is>
      </c>
      <c r="E754" s="12" t="n">
        <v>8.359999999999999</v>
      </c>
      <c r="F754" s="13" t="n">
        <v>12.61</v>
      </c>
      <c r="G754" s="13" t="n">
        <v>15.43913</v>
      </c>
      <c r="H754" s="14">
        <f>IF(AND(ISNUMBER(F754),ISNUMBER(G754),F754&gt;0),G754/F754-1,"")</f>
        <v/>
      </c>
      <c r="I754" s="13" t="n">
        <v>6.1</v>
      </c>
      <c r="J754" s="14">
        <f>IF(AND(ISNUMBER(F754),ISNUMBER(I754),F754&gt;0),I754/F754-1,"")</f>
        <v/>
      </c>
      <c r="K754" s="13" t="n">
        <v>24</v>
      </c>
      <c r="L754" s="14">
        <f>IF(AND(ISNUMBER(F754),ISNUMBER(K754),F754&gt;0),K754/F754-1,"")</f>
        <v/>
      </c>
      <c r="M754" s="15" t="n">
        <v>23</v>
      </c>
      <c r="N754" s="16" t="n"/>
      <c r="O754" s="17">
        <f>IF(AND(ISNUMBER(F754),ISNUMBER(N754),F754&gt;0),N754/F754,"")</f>
        <v/>
      </c>
      <c r="P754" s="18" t="n"/>
      <c r="Q754" s="18" t="n">
        <v>46317</v>
      </c>
      <c r="R754" s="16" t="n">
        <v>-0.73</v>
      </c>
      <c r="S754" s="19">
        <f>IF(AND(ISNUMBER(F754),ISNUMBER(R754),R754&gt;0),F754/R754,"")</f>
        <v/>
      </c>
      <c r="T754" s="18" t="n">
        <v>46323</v>
      </c>
    </row>
    <row r="755">
      <c r="A755" s="20" t="inlineStr">
        <is>
          <t>LEVI</t>
        </is>
      </c>
      <c r="B755" s="20" t="inlineStr">
        <is>
          <t>Levi Strauss &amp; Co</t>
        </is>
      </c>
      <c r="C755" s="20" t="inlineStr">
        <is>
          <t>Apparel Manufacturing</t>
        </is>
      </c>
      <c r="D755" s="20" t="inlineStr">
        <is>
          <t>United States</t>
        </is>
      </c>
      <c r="E755" s="21" t="n">
        <v>8.35</v>
      </c>
      <c r="F755" s="22" t="n">
        <v>21.78</v>
      </c>
      <c r="G755" s="22" t="n">
        <v>26.78571</v>
      </c>
      <c r="H755" s="23">
        <f>IF(AND(ISNUMBER(F755),ISNUMBER(G755),F755&gt;0),G755/F755-1,"")</f>
        <v/>
      </c>
      <c r="I755" s="22" t="n">
        <v>20</v>
      </c>
      <c r="J755" s="23">
        <f>IF(AND(ISNUMBER(F755),ISNUMBER(I755),F755&gt;0),I755/F755-1,"")</f>
        <v/>
      </c>
      <c r="K755" s="22" t="n">
        <v>35</v>
      </c>
      <c r="L755" s="23">
        <f>IF(AND(ISNUMBER(F755),ISNUMBER(K755),F755&gt;0),K755/F755-1,"")</f>
        <v/>
      </c>
      <c r="M755" s="24" t="n">
        <v>14</v>
      </c>
      <c r="N755" s="25" t="n">
        <v>0.64</v>
      </c>
      <c r="O755" s="26">
        <f>IF(AND(ISNUMBER(F755),ISNUMBER(N755),F755&gt;0),N755/F755,"")</f>
        <v/>
      </c>
      <c r="P755" s="27" t="n">
        <v>46316</v>
      </c>
      <c r="Q755" s="27" t="n">
        <v>46302</v>
      </c>
      <c r="R755" s="25" t="n">
        <v>1.57</v>
      </c>
      <c r="S755" s="28">
        <f>IF(AND(ISNUMBER(F755),ISNUMBER(R755),R755&gt;0),F755/R755,"")</f>
        <v/>
      </c>
      <c r="T755" s="27" t="n">
        <v>46323</v>
      </c>
    </row>
    <row r="756">
      <c r="A756" s="11" t="inlineStr">
        <is>
          <t>ZETA</t>
        </is>
      </c>
      <c r="B756" s="11" t="inlineStr">
        <is>
          <t>Zeta Global Holdings Corp.</t>
        </is>
      </c>
      <c r="C756" s="11" t="inlineStr">
        <is>
          <t>Software - Infrastructure</t>
        </is>
      </c>
      <c r="D756" s="11" t="inlineStr">
        <is>
          <t>United States</t>
        </is>
      </c>
      <c r="E756" s="12" t="n">
        <v>8.31</v>
      </c>
      <c r="F756" s="13" t="n">
        <v>33.35</v>
      </c>
      <c r="G756" s="13" t="n">
        <v>38.28571</v>
      </c>
      <c r="H756" s="14">
        <f>IF(AND(ISNUMBER(F756),ISNUMBER(G756),F756&gt;0),G756/F756-1,"")</f>
        <v/>
      </c>
      <c r="I756" s="13" t="n">
        <v>25</v>
      </c>
      <c r="J756" s="14">
        <f>IF(AND(ISNUMBER(F756),ISNUMBER(I756),F756&gt;0),I756/F756-1,"")</f>
        <v/>
      </c>
      <c r="K756" s="13" t="n">
        <v>55</v>
      </c>
      <c r="L756" s="14">
        <f>IF(AND(ISNUMBER(F756),ISNUMBER(K756),F756&gt;0),K756/F756-1,"")</f>
        <v/>
      </c>
      <c r="M756" s="15" t="n">
        <v>14</v>
      </c>
      <c r="N756" s="16" t="n"/>
      <c r="O756" s="17">
        <f>IF(AND(ISNUMBER(F756),ISNUMBER(N756),F756&gt;0),N756/F756,"")</f>
        <v/>
      </c>
      <c r="P756" s="18" t="n"/>
      <c r="Q756" s="18" t="n">
        <v>46335</v>
      </c>
      <c r="R756" s="16" t="n">
        <v>-0.01</v>
      </c>
      <c r="S756" s="19">
        <f>IF(AND(ISNUMBER(F756),ISNUMBER(R756),R756&gt;0),F756/R756,"")</f>
        <v/>
      </c>
      <c r="T756" s="18" t="n">
        <v>46323</v>
      </c>
    </row>
    <row r="757">
      <c r="A757" s="20" t="inlineStr">
        <is>
          <t>HUT</t>
        </is>
      </c>
      <c r="B757" s="20" t="inlineStr">
        <is>
          <t>Hut 8 Corp.</t>
        </is>
      </c>
      <c r="C757" s="20" t="inlineStr">
        <is>
          <t>Capital Markets</t>
        </is>
      </c>
      <c r="D757" s="20" t="inlineStr">
        <is>
          <t>United States</t>
        </is>
      </c>
      <c r="E757" s="21" t="n">
        <v>8.300000000000001</v>
      </c>
      <c r="F757" s="22" t="n">
        <v>67.34</v>
      </c>
      <c r="G757" s="22" t="n">
        <v>149.73914</v>
      </c>
      <c r="H757" s="23">
        <f>IF(AND(ISNUMBER(F757),ISNUMBER(G757),F757&gt;0),G757/F757-1,"")</f>
        <v/>
      </c>
      <c r="I757" s="22" t="n">
        <v>90</v>
      </c>
      <c r="J757" s="23">
        <f>IF(AND(ISNUMBER(F757),ISNUMBER(I757),F757&gt;0),I757/F757-1,"")</f>
        <v/>
      </c>
      <c r="K757" s="22" t="n">
        <v>275</v>
      </c>
      <c r="L757" s="23">
        <f>IF(AND(ISNUMBER(F757),ISNUMBER(K757),F757&gt;0),K757/F757-1,"")</f>
        <v/>
      </c>
      <c r="M757" s="24" t="n">
        <v>23</v>
      </c>
      <c r="N757" s="25" t="n"/>
      <c r="O757" s="26">
        <f>IF(AND(ISNUMBER(F757),ISNUMBER(N757),F757&gt;0),N757/F757,"")</f>
        <v/>
      </c>
      <c r="P757" s="27" t="n"/>
      <c r="Q757" s="27" t="n">
        <v>46330</v>
      </c>
      <c r="R757" s="25" t="n">
        <v>-5.42</v>
      </c>
      <c r="S757" s="28">
        <f>IF(AND(ISNUMBER(F757),ISNUMBER(R757),R757&gt;0),F757/R757,"")</f>
        <v/>
      </c>
      <c r="T757" s="27" t="n">
        <v>46323</v>
      </c>
    </row>
    <row r="758">
      <c r="A758" s="11" t="inlineStr">
        <is>
          <t>NIO</t>
        </is>
      </c>
      <c r="B758" s="11" t="inlineStr">
        <is>
          <t>NIO Inc.</t>
        </is>
      </c>
      <c r="C758" s="11" t="inlineStr">
        <is>
          <t>Auto Manufacturers</t>
        </is>
      </c>
      <c r="D758" s="11" t="inlineStr">
        <is>
          <t>China</t>
        </is>
      </c>
      <c r="E758" s="12" t="n">
        <v>8.24</v>
      </c>
      <c r="F758" s="13" t="n">
        <v>3.29</v>
      </c>
      <c r="G758" s="13" t="n">
        <v>6.0908303</v>
      </c>
      <c r="H758" s="14">
        <f>IF(AND(ISNUMBER(F758),ISNUMBER(G758),F758&gt;0),G758/F758-1,"")</f>
        <v/>
      </c>
      <c r="I758" s="13" t="n">
        <v>3.7031813</v>
      </c>
      <c r="J758" s="14">
        <f>IF(AND(ISNUMBER(F758),ISNUMBER(I758),F758&gt;0),I758/F758-1,"")</f>
        <v/>
      </c>
      <c r="K758" s="13" t="n">
        <v>10.1610985</v>
      </c>
      <c r="L758" s="14">
        <f>IF(AND(ISNUMBER(F758),ISNUMBER(K758),F758&gt;0),K758/F758-1,"")</f>
        <v/>
      </c>
      <c r="M758" s="15" t="n">
        <v>23</v>
      </c>
      <c r="N758" s="16" t="n"/>
      <c r="O758" s="17">
        <f>IF(AND(ISNUMBER(F758),ISNUMBER(N758),F758&gt;0),N758/F758,"")</f>
        <v/>
      </c>
      <c r="P758" s="18" t="n"/>
      <c r="Q758" s="18" t="n">
        <v>46350</v>
      </c>
      <c r="R758" s="16" t="n">
        <v>-0.25</v>
      </c>
      <c r="S758" s="19">
        <f>IF(AND(ISNUMBER(F758),ISNUMBER(R758),R758&gt;0),F758/R758,"")</f>
        <v/>
      </c>
      <c r="T758" s="18" t="n">
        <v>46323</v>
      </c>
    </row>
    <row r="759">
      <c r="A759" s="20" t="inlineStr">
        <is>
          <t>EAT</t>
        </is>
      </c>
      <c r="B759" s="20" t="inlineStr">
        <is>
          <t>Brinker International, Inc.</t>
        </is>
      </c>
      <c r="C759" s="20" t="inlineStr">
        <is>
          <t>Restaurants</t>
        </is>
      </c>
      <c r="D759" s="20" t="inlineStr">
        <is>
          <t>United States</t>
        </is>
      </c>
      <c r="E759" s="21" t="n">
        <v>8.24</v>
      </c>
      <c r="F759" s="22" t="n">
        <v>196.72</v>
      </c>
      <c r="G759" s="22" t="n">
        <v>256.72726</v>
      </c>
      <c r="H759" s="23">
        <f>IF(AND(ISNUMBER(F759),ISNUMBER(G759),F759&gt;0),G759/F759-1,"")</f>
        <v/>
      </c>
      <c r="I759" s="22" t="n">
        <v>151</v>
      </c>
      <c r="J759" s="23">
        <f>IF(AND(ISNUMBER(F759),ISNUMBER(I759),F759&gt;0),I759/F759-1,"")</f>
        <v/>
      </c>
      <c r="K759" s="22" t="n">
        <v>310</v>
      </c>
      <c r="L759" s="23">
        <f>IF(AND(ISNUMBER(F759),ISNUMBER(K759),F759&gt;0),K759/F759-1,"")</f>
        <v/>
      </c>
      <c r="M759" s="24" t="n">
        <v>22</v>
      </c>
      <c r="N759" s="25" t="n"/>
      <c r="O759" s="26">
        <f>IF(AND(ISNUMBER(F759),ISNUMBER(N759),F759&gt;0),N759/F759,"")</f>
        <v/>
      </c>
      <c r="P759" s="27" t="n"/>
      <c r="Q759" s="27" t="n">
        <v>46323</v>
      </c>
      <c r="R759" s="25" t="n">
        <v>10.87</v>
      </c>
      <c r="S759" s="28">
        <f>IF(AND(ISNUMBER(F759),ISNUMBER(R759),R759&gt;0),F759/R759,"")</f>
        <v/>
      </c>
      <c r="T759" s="27" t="n">
        <v>46323</v>
      </c>
    </row>
    <row r="760">
      <c r="A760" s="11" t="inlineStr">
        <is>
          <t>THG</t>
        </is>
      </c>
      <c r="B760" s="11" t="inlineStr">
        <is>
          <t>Hanover Insurance Group Inc</t>
        </is>
      </c>
      <c r="C760" s="11" t="inlineStr">
        <is>
          <t>Insurance - Property &amp; Casualty</t>
        </is>
      </c>
      <c r="D760" s="11" t="inlineStr">
        <is>
          <t>United States</t>
        </is>
      </c>
      <c r="E760" s="12" t="n">
        <v>8.210000000000001</v>
      </c>
      <c r="F760" s="13" t="n">
        <v>235.84</v>
      </c>
      <c r="G760" s="13" t="n">
        <v>235.875</v>
      </c>
      <c r="H760" s="14">
        <f>IF(AND(ISNUMBER(F760),ISNUMBER(G760),F760&gt;0),G760/F760-1,"")</f>
        <v/>
      </c>
      <c r="I760" s="13" t="n">
        <v>223</v>
      </c>
      <c r="J760" s="14">
        <f>IF(AND(ISNUMBER(F760),ISNUMBER(I760),F760&gt;0),I760/F760-1,"")</f>
        <v/>
      </c>
      <c r="K760" s="13" t="n">
        <v>260</v>
      </c>
      <c r="L760" s="14">
        <f>IF(AND(ISNUMBER(F760),ISNUMBER(K760),F760&gt;0),K760/F760-1,"")</f>
        <v/>
      </c>
      <c r="M760" s="15" t="n">
        <v>8</v>
      </c>
      <c r="N760" s="16" t="n">
        <v>3.8</v>
      </c>
      <c r="O760" s="17">
        <f>IF(AND(ISNUMBER(F760),ISNUMBER(N760),F760&gt;0),N760/F760,"")</f>
        <v/>
      </c>
      <c r="P760" s="18" t="n">
        <v>46276</v>
      </c>
      <c r="Q760" s="18" t="n">
        <v>46323</v>
      </c>
      <c r="R760" s="16" t="n">
        <v>20.89</v>
      </c>
      <c r="S760" s="19">
        <f>IF(AND(ISNUMBER(F760),ISNUMBER(R760),R760&gt;0),F760/R760,"")</f>
        <v/>
      </c>
      <c r="T760" s="18" t="n">
        <v>46323</v>
      </c>
    </row>
    <row r="761">
      <c r="A761" s="20" t="inlineStr">
        <is>
          <t>MORN</t>
        </is>
      </c>
      <c r="B761" s="20" t="inlineStr">
        <is>
          <t>Morningstar, Inc.</t>
        </is>
      </c>
      <c r="C761" s="20" t="inlineStr">
        <is>
          <t>Financial Data &amp; Stock Exchanges</t>
        </is>
      </c>
      <c r="D761" s="20" t="inlineStr">
        <is>
          <t>United States</t>
        </is>
      </c>
      <c r="E761" s="21" t="n">
        <v>8.09</v>
      </c>
      <c r="F761" s="22" t="n">
        <v>215.78</v>
      </c>
      <c r="G761" s="22" t="n">
        <v>239</v>
      </c>
      <c r="H761" s="23">
        <f>IF(AND(ISNUMBER(F761),ISNUMBER(G761),F761&gt;0),G761/F761-1,"")</f>
        <v/>
      </c>
      <c r="I761" s="22" t="n">
        <v>220</v>
      </c>
      <c r="J761" s="23">
        <f>IF(AND(ISNUMBER(F761),ISNUMBER(I761),F761&gt;0),I761/F761-1,"")</f>
        <v/>
      </c>
      <c r="K761" s="22" t="n">
        <v>260</v>
      </c>
      <c r="L761" s="23">
        <f>IF(AND(ISNUMBER(F761),ISNUMBER(K761),F761&gt;0),K761/F761-1,"")</f>
        <v/>
      </c>
      <c r="M761" s="24" t="n">
        <v>3</v>
      </c>
      <c r="N761" s="25" t="n">
        <v>2</v>
      </c>
      <c r="O761" s="26">
        <f>IF(AND(ISNUMBER(F761),ISNUMBER(N761),F761&gt;0),N761/F761,"")</f>
        <v/>
      </c>
      <c r="P761" s="27" t="n">
        <v>46297</v>
      </c>
      <c r="Q761" s="27" t="n">
        <v>46323</v>
      </c>
      <c r="R761" s="25" t="n">
        <v>10.53</v>
      </c>
      <c r="S761" s="28">
        <f>IF(AND(ISNUMBER(F761),ISNUMBER(R761),R761&gt;0),F761/R761,"")</f>
        <v/>
      </c>
      <c r="T761" s="27" t="n">
        <v>46323</v>
      </c>
    </row>
    <row r="762">
      <c r="A762" s="11" t="inlineStr">
        <is>
          <t>ETSY</t>
        </is>
      </c>
      <c r="B762" s="11" t="inlineStr">
        <is>
          <t>Etsy, Inc.</t>
        </is>
      </c>
      <c r="C762" s="11" t="inlineStr">
        <is>
          <t>Internet Retail</t>
        </is>
      </c>
      <c r="D762" s="11" t="inlineStr">
        <is>
          <t>United States</t>
        </is>
      </c>
      <c r="E762" s="12" t="n">
        <v>8.050000000000001</v>
      </c>
      <c r="F762" s="13" t="n">
        <v>87.66</v>
      </c>
      <c r="G762" s="13" t="n">
        <v>88.07407000000001</v>
      </c>
      <c r="H762" s="14">
        <f>IF(AND(ISNUMBER(F762),ISNUMBER(G762),F762&gt;0),G762/F762-1,"")</f>
        <v/>
      </c>
      <c r="I762" s="13" t="n">
        <v>59</v>
      </c>
      <c r="J762" s="14">
        <f>IF(AND(ISNUMBER(F762),ISNUMBER(I762),F762&gt;0),I762/F762-1,"")</f>
        <v/>
      </c>
      <c r="K762" s="13" t="n">
        <v>105</v>
      </c>
      <c r="L762" s="14">
        <f>IF(AND(ISNUMBER(F762),ISNUMBER(K762),F762&gt;0),K762/F762-1,"")</f>
        <v/>
      </c>
      <c r="M762" s="15" t="n">
        <v>27</v>
      </c>
      <c r="N762" s="16" t="n"/>
      <c r="O762" s="17">
        <f>IF(AND(ISNUMBER(F762),ISNUMBER(N762),F762&gt;0),N762/F762,"")</f>
        <v/>
      </c>
      <c r="P762" s="18" t="n"/>
      <c r="Q762" s="18" t="n">
        <v>46323</v>
      </c>
      <c r="R762" s="16" t="n">
        <v>3.42</v>
      </c>
      <c r="S762" s="19">
        <f>IF(AND(ISNUMBER(F762),ISNUMBER(R762),R762&gt;0),F762/R762,"")</f>
        <v/>
      </c>
      <c r="T762" s="18" t="n">
        <v>46323</v>
      </c>
    </row>
    <row r="763">
      <c r="A763" s="20" t="inlineStr">
        <is>
          <t>ATR</t>
        </is>
      </c>
      <c r="B763" s="20" t="inlineStr">
        <is>
          <t>AptarGroup, Inc.</t>
        </is>
      </c>
      <c r="C763" s="20" t="inlineStr">
        <is>
          <t>Medical Instruments &amp; Supplies</t>
        </is>
      </c>
      <c r="D763" s="20" t="inlineStr">
        <is>
          <t>United States</t>
        </is>
      </c>
      <c r="E763" s="21" t="n">
        <v>8.039999999999999</v>
      </c>
      <c r="F763" s="22" t="n">
        <v>126.51</v>
      </c>
      <c r="G763" s="22" t="n">
        <v>162.25</v>
      </c>
      <c r="H763" s="23">
        <f>IF(AND(ISNUMBER(F763),ISNUMBER(G763),F763&gt;0),G763/F763-1,"")</f>
        <v/>
      </c>
      <c r="I763" s="22" t="n">
        <v>135</v>
      </c>
      <c r="J763" s="23">
        <f>IF(AND(ISNUMBER(F763),ISNUMBER(I763),F763&gt;0),I763/F763-1,"")</f>
        <v/>
      </c>
      <c r="K763" s="22" t="n">
        <v>220</v>
      </c>
      <c r="L763" s="23">
        <f>IF(AND(ISNUMBER(F763),ISNUMBER(K763),F763&gt;0),K763/F763-1,"")</f>
        <v/>
      </c>
      <c r="M763" s="24" t="n">
        <v>8</v>
      </c>
      <c r="N763" s="25" t="n">
        <v>1.92</v>
      </c>
      <c r="O763" s="26">
        <f>IF(AND(ISNUMBER(F763),ISNUMBER(N763),F763&gt;0),N763/F763,"")</f>
        <v/>
      </c>
      <c r="P763" s="27" t="n">
        <v>46233</v>
      </c>
      <c r="Q763" s="27" t="n">
        <v>46324</v>
      </c>
      <c r="R763" s="25" t="n">
        <v>5.56</v>
      </c>
      <c r="S763" s="28">
        <f>IF(AND(ISNUMBER(F763),ISNUMBER(R763),R763&gt;0),F763/R763,"")</f>
        <v/>
      </c>
      <c r="T763" s="27" t="n">
        <v>46323</v>
      </c>
    </row>
    <row r="764">
      <c r="A764" s="11" t="inlineStr">
        <is>
          <t>DBX</t>
        </is>
      </c>
      <c r="B764" s="11" t="inlineStr">
        <is>
          <t>Dropbox, Inc.</t>
        </is>
      </c>
      <c r="C764" s="11" t="inlineStr">
        <is>
          <t>Software - Infrastructure</t>
        </is>
      </c>
      <c r="D764" s="11" t="inlineStr">
        <is>
          <t>United States</t>
        </is>
      </c>
      <c r="E764" s="12" t="n">
        <v>8.029999999999999</v>
      </c>
      <c r="F764" s="13" t="n">
        <v>36.93</v>
      </c>
      <c r="G764" s="13" t="n">
        <v>32.4</v>
      </c>
      <c r="H764" s="14">
        <f>IF(AND(ISNUMBER(F764),ISNUMBER(G764),F764&gt;0),G764/F764-1,"")</f>
        <v/>
      </c>
      <c r="I764" s="13" t="n">
        <v>23</v>
      </c>
      <c r="J764" s="14">
        <f>IF(AND(ISNUMBER(F764),ISNUMBER(I764),F764&gt;0),I764/F764-1,"")</f>
        <v/>
      </c>
      <c r="K764" s="13" t="n">
        <v>42</v>
      </c>
      <c r="L764" s="14">
        <f>IF(AND(ISNUMBER(F764),ISNUMBER(K764),F764&gt;0),K764/F764-1,"")</f>
        <v/>
      </c>
      <c r="M764" s="15" t="n">
        <v>5</v>
      </c>
      <c r="N764" s="16" t="n"/>
      <c r="O764" s="17">
        <f>IF(AND(ISNUMBER(F764),ISNUMBER(N764),F764&gt;0),N764/F764,"")</f>
        <v/>
      </c>
      <c r="P764" s="18" t="n"/>
      <c r="Q764" s="18" t="n">
        <v>46331</v>
      </c>
      <c r="R764" s="16" t="n">
        <v>1.81</v>
      </c>
      <c r="S764" s="19">
        <f>IF(AND(ISNUMBER(F764),ISNUMBER(R764),R764&gt;0),F764/R764,"")</f>
        <v/>
      </c>
      <c r="T764" s="18" t="n">
        <v>46323</v>
      </c>
    </row>
    <row r="765">
      <c r="A765" s="20" t="inlineStr">
        <is>
          <t>KT</t>
        </is>
      </c>
      <c r="B765" s="20" t="inlineStr">
        <is>
          <t>KT Corporation</t>
        </is>
      </c>
      <c r="C765" s="20" t="inlineStr">
        <is>
          <t>Telecom Services</t>
        </is>
      </c>
      <c r="D765" s="20" t="inlineStr">
        <is>
          <t>South Korea</t>
        </is>
      </c>
      <c r="E765" s="21" t="n">
        <v>7.97</v>
      </c>
      <c r="F765" s="22" t="n">
        <v>16.84</v>
      </c>
      <c r="G765" s="22" t="n">
        <v>21.94458</v>
      </c>
      <c r="H765" s="23">
        <f>IF(AND(ISNUMBER(F765),ISNUMBER(G765),F765&gt;0),G765/F765-1,"")</f>
        <v/>
      </c>
      <c r="I765" s="22" t="n">
        <v>20</v>
      </c>
      <c r="J765" s="23">
        <f>IF(AND(ISNUMBER(F765),ISNUMBER(I765),F765&gt;0),I765/F765-1,"")</f>
        <v/>
      </c>
      <c r="K765" s="22" t="n">
        <v>26</v>
      </c>
      <c r="L765" s="23">
        <f>IF(AND(ISNUMBER(F765),ISNUMBER(K765),F765&gt;0),K765/F765-1,"")</f>
        <v/>
      </c>
      <c r="M765" s="24" t="n">
        <v>4</v>
      </c>
      <c r="N765" s="25" t="n">
        <v>0.8100000000000001</v>
      </c>
      <c r="O765" s="26">
        <f>IF(AND(ISNUMBER(F765),ISNUMBER(N765),F765&gt;0),N765/F765,"")</f>
        <v/>
      </c>
      <c r="P765" s="27" t="n">
        <v>46232</v>
      </c>
      <c r="Q765" s="27" t="n">
        <v>46331</v>
      </c>
      <c r="R765" s="25" t="n">
        <v>1.84</v>
      </c>
      <c r="S765" s="28">
        <f>IF(AND(ISNUMBER(F765),ISNUMBER(R765),R765&gt;0),F765/R765,"")</f>
        <v/>
      </c>
      <c r="T765" s="27" t="n">
        <v>46323</v>
      </c>
    </row>
    <row r="766">
      <c r="A766" s="11" t="inlineStr">
        <is>
          <t>CLF</t>
        </is>
      </c>
      <c r="B766" s="11" t="inlineStr">
        <is>
          <t>Cleveland-Cliffs Inc.</t>
        </is>
      </c>
      <c r="C766" s="11" t="inlineStr">
        <is>
          <t>Steel</t>
        </is>
      </c>
      <c r="D766" s="11" t="inlineStr">
        <is>
          <t>United States</t>
        </is>
      </c>
      <c r="E766" s="12" t="n">
        <v>7.93</v>
      </c>
      <c r="F766" s="13" t="n">
        <v>13.9</v>
      </c>
      <c r="G766" s="13" t="n">
        <v>14.05</v>
      </c>
      <c r="H766" s="14">
        <f>IF(AND(ISNUMBER(F766),ISNUMBER(G766),F766&gt;0),G766/F766-1,"")</f>
        <v/>
      </c>
      <c r="I766" s="13" t="n">
        <v>12</v>
      </c>
      <c r="J766" s="14">
        <f>IF(AND(ISNUMBER(F766),ISNUMBER(I766),F766&gt;0),I766/F766-1,"")</f>
        <v/>
      </c>
      <c r="K766" s="13" t="n">
        <v>18</v>
      </c>
      <c r="L766" s="14">
        <f>IF(AND(ISNUMBER(F766),ISNUMBER(K766),F766&gt;0),K766/F766-1,"")</f>
        <v/>
      </c>
      <c r="M766" s="15" t="n">
        <v>10</v>
      </c>
      <c r="N766" s="16" t="n"/>
      <c r="O766" s="17">
        <f>IF(AND(ISNUMBER(F766),ISNUMBER(N766),F766&gt;0),N766/F766,"")</f>
        <v/>
      </c>
      <c r="P766" s="18" t="n"/>
      <c r="Q766" s="18" t="n">
        <v>46314</v>
      </c>
      <c r="R766" s="16" t="n">
        <v>-0.83</v>
      </c>
      <c r="S766" s="19">
        <f>IF(AND(ISNUMBER(F766),ISNUMBER(R766),R766&gt;0),F766/R766,"")</f>
        <v/>
      </c>
      <c r="T766" s="18" t="n">
        <v>46323</v>
      </c>
    </row>
    <row r="767">
      <c r="A767" s="20" t="inlineStr">
        <is>
          <t>VIST</t>
        </is>
      </c>
      <c r="B767" s="20" t="inlineStr">
        <is>
          <t>Vista Energy S.A.B. de C.V.</t>
        </is>
      </c>
      <c r="C767" s="20" t="inlineStr">
        <is>
          <t>Oil &amp; Gas E&amp;P</t>
        </is>
      </c>
      <c r="D767" s="20" t="inlineStr">
        <is>
          <t>Mexico</t>
        </is>
      </c>
      <c r="E767" s="21" t="n">
        <v>7.91</v>
      </c>
      <c r="F767" s="22" t="n">
        <v>71.53</v>
      </c>
      <c r="G767" s="22" t="n">
        <v>91.64904</v>
      </c>
      <c r="H767" s="23">
        <f>IF(AND(ISNUMBER(F767),ISNUMBER(G767),F767&gt;0),G767/F767-1,"")</f>
        <v/>
      </c>
      <c r="I767" s="22" t="n">
        <v>74.56823</v>
      </c>
      <c r="J767" s="23">
        <f>IF(AND(ISNUMBER(F767),ISNUMBER(I767),F767&gt;0),I767/F767-1,"")</f>
        <v/>
      </c>
      <c r="K767" s="22" t="n">
        <v>112.110794</v>
      </c>
      <c r="L767" s="23">
        <f>IF(AND(ISNUMBER(F767),ISNUMBER(K767),F767&gt;0),K767/F767-1,"")</f>
        <v/>
      </c>
      <c r="M767" s="24" t="n">
        <v>12</v>
      </c>
      <c r="N767" s="25" t="n"/>
      <c r="O767" s="26">
        <f>IF(AND(ISNUMBER(F767),ISNUMBER(N767),F767&gt;0),N767/F767,"")</f>
        <v/>
      </c>
      <c r="P767" s="27" t="n"/>
      <c r="Q767" s="27" t="n">
        <v>46323</v>
      </c>
      <c r="R767" s="25" t="n">
        <v>7.56</v>
      </c>
      <c r="S767" s="28">
        <f>IF(AND(ISNUMBER(F767),ISNUMBER(R767),R767&gt;0),F767/R767,"")</f>
        <v/>
      </c>
      <c r="T767" s="27" t="n">
        <v>46323</v>
      </c>
    </row>
    <row r="768">
      <c r="A768" s="11" t="inlineStr">
        <is>
          <t>DSGX</t>
        </is>
      </c>
      <c r="B768" s="11" t="inlineStr">
        <is>
          <t>The Descartes Systems Group Inc</t>
        </is>
      </c>
      <c r="C768" s="11" t="inlineStr">
        <is>
          <t>Software - Application</t>
        </is>
      </c>
      <c r="D768" s="11" t="inlineStr">
        <is>
          <t>Canada</t>
        </is>
      </c>
      <c r="E768" s="12" t="n">
        <v>7.89</v>
      </c>
      <c r="F768" s="13" t="n">
        <v>92.18000000000001</v>
      </c>
      <c r="G768" s="13" t="n">
        <v>102.61538</v>
      </c>
      <c r="H768" s="14">
        <f>IF(AND(ISNUMBER(F768),ISNUMBER(G768),F768&gt;0),G768/F768-1,"")</f>
        <v/>
      </c>
      <c r="I768" s="13" t="n">
        <v>90</v>
      </c>
      <c r="J768" s="14">
        <f>IF(AND(ISNUMBER(F768),ISNUMBER(I768),F768&gt;0),I768/F768-1,"")</f>
        <v/>
      </c>
      <c r="K768" s="13" t="n">
        <v>126</v>
      </c>
      <c r="L768" s="14">
        <f>IF(AND(ISNUMBER(F768),ISNUMBER(K768),F768&gt;0),K768/F768-1,"")</f>
        <v/>
      </c>
      <c r="M768" s="15" t="n">
        <v>13</v>
      </c>
      <c r="N768" s="16" t="n"/>
      <c r="O768" s="17">
        <f>IF(AND(ISNUMBER(F768),ISNUMBER(N768),F768&gt;0),N768/F768,"")</f>
        <v/>
      </c>
      <c r="P768" s="18" t="n"/>
      <c r="Q768" s="18" t="n">
        <v>46358</v>
      </c>
      <c r="R768" s="16" t="n">
        <v>2.15</v>
      </c>
      <c r="S768" s="19">
        <f>IF(AND(ISNUMBER(F768),ISNUMBER(R768),R768&gt;0),F768/R768,"")</f>
        <v/>
      </c>
      <c r="T768" s="18" t="n">
        <v>46323</v>
      </c>
    </row>
    <row r="769">
      <c r="A769" s="20" t="inlineStr">
        <is>
          <t>TTAN</t>
        </is>
      </c>
      <c r="B769" s="20" t="inlineStr">
        <is>
          <t>ServiceTitan, Inc.</t>
        </is>
      </c>
      <c r="C769" s="20" t="inlineStr">
        <is>
          <t>Software - Application</t>
        </is>
      </c>
      <c r="D769" s="20" t="inlineStr">
        <is>
          <t>United States</t>
        </is>
      </c>
      <c r="E769" s="21" t="n">
        <v>7.87</v>
      </c>
      <c r="F769" s="22" t="n">
        <v>81.62</v>
      </c>
      <c r="G769" s="22" t="n">
        <v>97.53333000000001</v>
      </c>
      <c r="H769" s="23">
        <f>IF(AND(ISNUMBER(F769),ISNUMBER(G769),F769&gt;0),G769/F769-1,"")</f>
        <v/>
      </c>
      <c r="I769" s="22" t="n">
        <v>76</v>
      </c>
      <c r="J769" s="23">
        <f>IF(AND(ISNUMBER(F769),ISNUMBER(I769),F769&gt;0),I769/F769-1,"")</f>
        <v/>
      </c>
      <c r="K769" s="22" t="n">
        <v>110</v>
      </c>
      <c r="L769" s="23">
        <f>IF(AND(ISNUMBER(F769),ISNUMBER(K769),F769&gt;0),K769/F769-1,"")</f>
        <v/>
      </c>
      <c r="M769" s="24" t="n">
        <v>15</v>
      </c>
      <c r="N769" s="25" t="n"/>
      <c r="O769" s="26">
        <f>IF(AND(ISNUMBER(F769),ISNUMBER(N769),F769&gt;0),N769/F769,"")</f>
        <v/>
      </c>
      <c r="P769" s="27" t="n"/>
      <c r="Q769" s="27" t="n">
        <v>46359</v>
      </c>
      <c r="R769" s="25" t="n">
        <v>-1.3</v>
      </c>
      <c r="S769" s="28">
        <f>IF(AND(ISNUMBER(F769),ISNUMBER(R769),R769&gt;0),F769/R769,"")</f>
        <v/>
      </c>
      <c r="T769" s="27" t="n">
        <v>46323</v>
      </c>
    </row>
    <row r="770">
      <c r="A770" s="11" t="inlineStr">
        <is>
          <t>URBN</t>
        </is>
      </c>
      <c r="B770" s="11" t="inlineStr">
        <is>
          <t>Urban Outfitters, Inc.</t>
        </is>
      </c>
      <c r="C770" s="11" t="inlineStr">
        <is>
          <t>Apparel Retail</t>
        </is>
      </c>
      <c r="D770" s="11" t="inlineStr">
        <is>
          <t>United States</t>
        </is>
      </c>
      <c r="E770" s="12" t="n">
        <v>7.77</v>
      </c>
      <c r="F770" s="13" t="n">
        <v>90.73</v>
      </c>
      <c r="G770" s="13" t="n">
        <v>90.35714</v>
      </c>
      <c r="H770" s="14">
        <f>IF(AND(ISNUMBER(F770),ISNUMBER(G770),F770&gt;0),G770/F770-1,"")</f>
        <v/>
      </c>
      <c r="I770" s="13" t="n">
        <v>75</v>
      </c>
      <c r="J770" s="14">
        <f>IF(AND(ISNUMBER(F770),ISNUMBER(I770),F770&gt;0),I770/F770-1,"")</f>
        <v/>
      </c>
      <c r="K770" s="13" t="n">
        <v>111</v>
      </c>
      <c r="L770" s="14">
        <f>IF(AND(ISNUMBER(F770),ISNUMBER(K770),F770&gt;0),K770/F770-1,"")</f>
        <v/>
      </c>
      <c r="M770" s="15" t="n">
        <v>14</v>
      </c>
      <c r="N770" s="16" t="n"/>
      <c r="O770" s="17">
        <f>IF(AND(ISNUMBER(F770),ISNUMBER(N770),F770&gt;0),N770/F770,"")</f>
        <v/>
      </c>
      <c r="P770" s="18" t="n"/>
      <c r="Q770" s="18" t="n">
        <v>46350</v>
      </c>
      <c r="R770" s="16" t="n">
        <v>6.39</v>
      </c>
      <c r="S770" s="19">
        <f>IF(AND(ISNUMBER(F770),ISNUMBER(R770),R770&gt;0),F770/R770,"")</f>
        <v/>
      </c>
      <c r="T770" s="18" t="n">
        <v>46323</v>
      </c>
    </row>
    <row r="771">
      <c r="A771" s="20" t="inlineStr">
        <is>
          <t>CTVA</t>
        </is>
      </c>
      <c r="B771" s="20" t="inlineStr">
        <is>
          <t>Corteva, Inc.</t>
        </is>
      </c>
      <c r="C771" s="20" t="inlineStr">
        <is>
          <t>Agricultural Inputs</t>
        </is>
      </c>
      <c r="D771" s="20" t="inlineStr">
        <is>
          <t>United States</t>
        </is>
      </c>
      <c r="E771" s="21" t="n">
        <v>7.76</v>
      </c>
      <c r="F771" s="22" t="n">
        <v>11.63</v>
      </c>
      <c r="G771" s="22" t="n">
        <v>17.12715</v>
      </c>
      <c r="H771" s="23">
        <f>IF(AND(ISNUMBER(F771),ISNUMBER(G771),F771&gt;0),G771/F771-1,"")</f>
        <v/>
      </c>
      <c r="I771" s="22" t="n">
        <v>13.65291</v>
      </c>
      <c r="J771" s="23">
        <f>IF(AND(ISNUMBER(F771),ISNUMBER(I771),F771&gt;0),I771/F771-1,"")</f>
        <v/>
      </c>
      <c r="K771" s="22" t="n">
        <v>20</v>
      </c>
      <c r="L771" s="23">
        <f>IF(AND(ISNUMBER(F771),ISNUMBER(K771),F771&gt;0),K771/F771-1,"")</f>
        <v/>
      </c>
      <c r="M771" s="24" t="n">
        <v>13</v>
      </c>
      <c r="N771" s="25" t="n">
        <v>0.72</v>
      </c>
      <c r="O771" s="26">
        <f>IF(AND(ISNUMBER(F771),ISNUMBER(N771),F771&gt;0),N771/F771,"")</f>
        <v/>
      </c>
      <c r="P771" s="27" t="n">
        <v>46357</v>
      </c>
      <c r="Q771" s="27" t="n">
        <v>46337</v>
      </c>
      <c r="R771" s="25" t="n">
        <v>1.62</v>
      </c>
      <c r="S771" s="28">
        <f>IF(AND(ISNUMBER(F771),ISNUMBER(R771),R771&gt;0),F771/R771,"")</f>
        <v/>
      </c>
      <c r="T771" s="27" t="n">
        <v>46323</v>
      </c>
    </row>
    <row r="772">
      <c r="A772" s="11" t="inlineStr">
        <is>
          <t>KTOS</t>
        </is>
      </c>
      <c r="B772" s="11" t="inlineStr">
        <is>
          <t>Kratos Defense &amp; Security Solut</t>
        </is>
      </c>
      <c r="C772" s="11" t="inlineStr">
        <is>
          <t>Aerospace &amp; Defense</t>
        </is>
      </c>
      <c r="D772" s="11" t="inlineStr">
        <is>
          <t>United States</t>
        </is>
      </c>
      <c r="E772" s="12" t="n">
        <v>7.76</v>
      </c>
      <c r="F772" s="13" t="n">
        <v>41.31</v>
      </c>
      <c r="G772" s="13" t="n">
        <v>94.44</v>
      </c>
      <c r="H772" s="14">
        <f>IF(AND(ISNUMBER(F772),ISNUMBER(G772),F772&gt;0),G772/F772-1,"")</f>
        <v/>
      </c>
      <c r="I772" s="13" t="n">
        <v>50</v>
      </c>
      <c r="J772" s="14">
        <f>IF(AND(ISNUMBER(F772),ISNUMBER(I772),F772&gt;0),I772/F772-1,"")</f>
        <v/>
      </c>
      <c r="K772" s="13" t="n">
        <v>150</v>
      </c>
      <c r="L772" s="14">
        <f>IF(AND(ISNUMBER(F772),ISNUMBER(K772),F772&gt;0),K772/F772-1,"")</f>
        <v/>
      </c>
      <c r="M772" s="15" t="n">
        <v>25</v>
      </c>
      <c r="N772" s="16" t="n"/>
      <c r="O772" s="17">
        <f>IF(AND(ISNUMBER(F772),ISNUMBER(N772),F772&gt;0),N772/F772,"")</f>
        <v/>
      </c>
      <c r="P772" s="18" t="n"/>
      <c r="Q772" s="18" t="n">
        <v>46331</v>
      </c>
      <c r="R772" s="16" t="n">
        <v>0.17</v>
      </c>
      <c r="S772" s="19">
        <f>IF(AND(ISNUMBER(F772),ISNUMBER(R772),R772&gt;0),F772/R772,"")</f>
        <v/>
      </c>
      <c r="T772" s="18" t="n">
        <v>46323</v>
      </c>
    </row>
    <row r="773">
      <c r="A773" s="20" t="inlineStr">
        <is>
          <t>NFG</t>
        </is>
      </c>
      <c r="B773" s="20" t="inlineStr">
        <is>
          <t>National Fuel Gas Company</t>
        </is>
      </c>
      <c r="C773" s="20" t="inlineStr">
        <is>
          <t>Oil &amp; Gas Integrated</t>
        </is>
      </c>
      <c r="D773" s="20" t="inlineStr">
        <is>
          <t>United States</t>
        </is>
      </c>
      <c r="E773" s="21" t="n">
        <v>7.75</v>
      </c>
      <c r="F773" s="22" t="n">
        <v>81.56999999999999</v>
      </c>
      <c r="G773" s="22" t="n">
        <v>93</v>
      </c>
      <c r="H773" s="23">
        <f>IF(AND(ISNUMBER(F773),ISNUMBER(G773),F773&gt;0),G773/F773-1,"")</f>
        <v/>
      </c>
      <c r="I773" s="22" t="n">
        <v>91</v>
      </c>
      <c r="J773" s="23">
        <f>IF(AND(ISNUMBER(F773),ISNUMBER(I773),F773&gt;0),I773/F773-1,"")</f>
        <v/>
      </c>
      <c r="K773" s="22" t="n">
        <v>95</v>
      </c>
      <c r="L773" s="23">
        <f>IF(AND(ISNUMBER(F773),ISNUMBER(K773),F773&gt;0),K773/F773-1,"")</f>
        <v/>
      </c>
      <c r="M773" s="24" t="n">
        <v>2</v>
      </c>
      <c r="N773" s="25" t="n">
        <v>2.22</v>
      </c>
      <c r="O773" s="26">
        <f>IF(AND(ISNUMBER(F773),ISNUMBER(N773),F773&gt;0),N773/F773,"")</f>
        <v/>
      </c>
      <c r="P773" s="27" t="n">
        <v>46295</v>
      </c>
      <c r="Q773" s="27" t="n">
        <v>46330</v>
      </c>
      <c r="R773" s="25" t="n">
        <v>7.18</v>
      </c>
      <c r="S773" s="28">
        <f>IF(AND(ISNUMBER(F773),ISNUMBER(R773),R773&gt;0),F773/R773,"")</f>
        <v/>
      </c>
      <c r="T773" s="27" t="n">
        <v>46323</v>
      </c>
    </row>
    <row r="774">
      <c r="A774" s="11" t="inlineStr">
        <is>
          <t>KMX</t>
        </is>
      </c>
      <c r="B774" s="11" t="inlineStr">
        <is>
          <t>CarMax Inc</t>
        </is>
      </c>
      <c r="C774" s="11" t="inlineStr">
        <is>
          <t>Auto &amp; Truck Dealerships</t>
        </is>
      </c>
      <c r="D774" s="11" t="inlineStr">
        <is>
          <t>United States</t>
        </is>
      </c>
      <c r="E774" s="12" t="n">
        <v>7.65</v>
      </c>
      <c r="F774" s="13" t="n">
        <v>53.89</v>
      </c>
      <c r="G774" s="13" t="n">
        <v>63.76923</v>
      </c>
      <c r="H774" s="14">
        <f>IF(AND(ISNUMBER(F774),ISNUMBER(G774),F774&gt;0),G774/F774-1,"")</f>
        <v/>
      </c>
      <c r="I774" s="13" t="n">
        <v>43</v>
      </c>
      <c r="J774" s="14">
        <f>IF(AND(ISNUMBER(F774),ISNUMBER(I774),F774&gt;0),I774/F774-1,"")</f>
        <v/>
      </c>
      <c r="K774" s="13" t="n">
        <v>96</v>
      </c>
      <c r="L774" s="14">
        <f>IF(AND(ISNUMBER(F774),ISNUMBER(K774),F774&gt;0),K774/F774-1,"")</f>
        <v/>
      </c>
      <c r="M774" s="15" t="n">
        <v>13</v>
      </c>
      <c r="N774" s="16" t="n"/>
      <c r="O774" s="17">
        <f>IF(AND(ISNUMBER(F774),ISNUMBER(N774),F774&gt;0),N774/F774,"")</f>
        <v/>
      </c>
      <c r="P774" s="18" t="n"/>
      <c r="Q774" s="18" t="n">
        <v>46373</v>
      </c>
      <c r="R774" s="16" t="n">
        <v>2.11</v>
      </c>
      <c r="S774" s="19">
        <f>IF(AND(ISNUMBER(F774),ISNUMBER(R774),R774&gt;0),F774/R774,"")</f>
        <v/>
      </c>
      <c r="T774" s="18" t="n">
        <v>46323</v>
      </c>
    </row>
    <row r="775">
      <c r="A775" s="20" t="inlineStr">
        <is>
          <t>GAP</t>
        </is>
      </c>
      <c r="B775" s="20" t="inlineStr">
        <is>
          <t>Gap, Inc. (The)</t>
        </is>
      </c>
      <c r="C775" s="20" t="inlineStr">
        <is>
          <t>Apparel Retail</t>
        </is>
      </c>
      <c r="D775" s="20" t="inlineStr">
        <is>
          <t>United States</t>
        </is>
      </c>
      <c r="E775" s="21" t="n">
        <v>7.62</v>
      </c>
      <c r="F775" s="22" t="n">
        <v>21.7</v>
      </c>
      <c r="G775" s="22" t="n">
        <v>26.42778</v>
      </c>
      <c r="H775" s="23">
        <f>IF(AND(ISNUMBER(F775),ISNUMBER(G775),F775&gt;0),G775/F775-1,"")</f>
        <v/>
      </c>
      <c r="I775" s="22" t="n">
        <v>21</v>
      </c>
      <c r="J775" s="23">
        <f>IF(AND(ISNUMBER(F775),ISNUMBER(I775),F775&gt;0),I775/F775-1,"")</f>
        <v/>
      </c>
      <c r="K775" s="22" t="n">
        <v>42</v>
      </c>
      <c r="L775" s="23">
        <f>IF(AND(ISNUMBER(F775),ISNUMBER(K775),F775&gt;0),K775/F775-1,"")</f>
        <v/>
      </c>
      <c r="M775" s="24" t="n">
        <v>18</v>
      </c>
      <c r="N775" s="25" t="n">
        <v>0.7</v>
      </c>
      <c r="O775" s="26">
        <f>IF(AND(ISNUMBER(F775),ISNUMBER(N775),F775&gt;0),N775/F775,"")</f>
        <v/>
      </c>
      <c r="P775" s="27" t="n">
        <v>46302</v>
      </c>
      <c r="Q775" s="27" t="n">
        <v>46345</v>
      </c>
      <c r="R775" s="25" t="n">
        <v>3.32</v>
      </c>
      <c r="S775" s="28">
        <f>IF(AND(ISNUMBER(F775),ISNUMBER(R775),R775&gt;0),F775/R775,"")</f>
        <v/>
      </c>
      <c r="T775" s="27" t="n">
        <v>46323</v>
      </c>
    </row>
    <row r="776">
      <c r="A776" s="11" t="inlineStr">
        <is>
          <t>EMN</t>
        </is>
      </c>
      <c r="B776" s="11" t="inlineStr">
        <is>
          <t>Eastman Chemical Company</t>
        </is>
      </c>
      <c r="C776" s="11" t="inlineStr">
        <is>
          <t>Specialty Chemicals</t>
        </is>
      </c>
      <c r="D776" s="11" t="inlineStr">
        <is>
          <t>United States</t>
        </is>
      </c>
      <c r="E776" s="12" t="n">
        <v>7.56</v>
      </c>
      <c r="F776" s="13" t="n">
        <v>66.12</v>
      </c>
      <c r="G776" s="13" t="n">
        <v>75.0625</v>
      </c>
      <c r="H776" s="14">
        <f>IF(AND(ISNUMBER(F776),ISNUMBER(G776),F776&gt;0),G776/F776-1,"")</f>
        <v/>
      </c>
      <c r="I776" s="13" t="n">
        <v>65</v>
      </c>
      <c r="J776" s="14">
        <f>IF(AND(ISNUMBER(F776),ISNUMBER(I776),F776&gt;0),I776/F776-1,"")</f>
        <v/>
      </c>
      <c r="K776" s="13" t="n">
        <v>85</v>
      </c>
      <c r="L776" s="14">
        <f>IF(AND(ISNUMBER(F776),ISNUMBER(K776),F776&gt;0),K776/F776-1,"")</f>
        <v/>
      </c>
      <c r="M776" s="15" t="n">
        <v>16</v>
      </c>
      <c r="N776" s="16" t="n">
        <v>3.36</v>
      </c>
      <c r="O776" s="17">
        <f>IF(AND(ISNUMBER(F776),ISNUMBER(N776),F776&gt;0),N776/F776,"")</f>
        <v/>
      </c>
      <c r="P776" s="18" t="n">
        <v>46280</v>
      </c>
      <c r="Q776" s="18" t="n">
        <v>46324</v>
      </c>
      <c r="R776" s="16" t="n">
        <v>3.83</v>
      </c>
      <c r="S776" s="19">
        <f>IF(AND(ISNUMBER(F776),ISNUMBER(R776),R776&gt;0),F776/R776,"")</f>
        <v/>
      </c>
      <c r="T776" s="18" t="n">
        <v>46323</v>
      </c>
    </row>
    <row r="777">
      <c r="A777" s="20" t="inlineStr">
        <is>
          <t>ZG</t>
        </is>
      </c>
      <c r="B777" s="20" t="inlineStr">
        <is>
          <t>Zillow Group, Inc.</t>
        </is>
      </c>
      <c r="C777" s="20" t="inlineStr">
        <is>
          <t>Internet Content &amp; Information</t>
        </is>
      </c>
      <c r="D777" s="20" t="inlineStr">
        <is>
          <t>United States</t>
        </is>
      </c>
      <c r="E777" s="21" t="n">
        <v>7.46</v>
      </c>
      <c r="F777" s="22" t="n">
        <v>33.18</v>
      </c>
      <c r="G777" s="22" t="n">
        <v>46.40909</v>
      </c>
      <c r="H777" s="23">
        <f>IF(AND(ISNUMBER(F777),ISNUMBER(G777),F777&gt;0),G777/F777-1,"")</f>
        <v/>
      </c>
      <c r="I777" s="22" t="n">
        <v>31</v>
      </c>
      <c r="J777" s="23">
        <f>IF(AND(ISNUMBER(F777),ISNUMBER(I777),F777&gt;0),I777/F777-1,"")</f>
        <v/>
      </c>
      <c r="K777" s="22" t="n">
        <v>80</v>
      </c>
      <c r="L777" s="23">
        <f>IF(AND(ISNUMBER(F777),ISNUMBER(K777),F777&gt;0),K777/F777-1,"")</f>
        <v/>
      </c>
      <c r="M777" s="24" t="n">
        <v>22</v>
      </c>
      <c r="N777" s="25" t="n"/>
      <c r="O777" s="26">
        <f>IF(AND(ISNUMBER(F777),ISNUMBER(N777),F777&gt;0),N777/F777,"")</f>
        <v/>
      </c>
      <c r="P777" s="27" t="n"/>
      <c r="Q777" s="27" t="n">
        <v>46330</v>
      </c>
      <c r="R777" s="25" t="n">
        <v>0.23</v>
      </c>
      <c r="S777" s="28">
        <f>IF(AND(ISNUMBER(F777),ISNUMBER(R777),R777&gt;0),F777/R777,"")</f>
        <v/>
      </c>
      <c r="T777" s="27" t="n">
        <v>46323</v>
      </c>
    </row>
    <row r="778">
      <c r="A778" s="11" t="inlineStr">
        <is>
          <t>WYNN</t>
        </is>
      </c>
      <c r="B778" s="11" t="inlineStr">
        <is>
          <t>Wynn Resorts, Limited</t>
        </is>
      </c>
      <c r="C778" s="11" t="inlineStr">
        <is>
          <t>Resorts &amp; Casinos</t>
        </is>
      </c>
      <c r="D778" s="11" t="inlineStr">
        <is>
          <t>United States</t>
        </is>
      </c>
      <c r="E778" s="12" t="n">
        <v>7.46</v>
      </c>
      <c r="F778" s="13" t="n">
        <v>72.42</v>
      </c>
      <c r="G778" s="13" t="n">
        <v>121.65</v>
      </c>
      <c r="H778" s="14">
        <f>IF(AND(ISNUMBER(F778),ISNUMBER(G778),F778&gt;0),G778/F778-1,"")</f>
        <v/>
      </c>
      <c r="I778" s="13" t="n">
        <v>102</v>
      </c>
      <c r="J778" s="14">
        <f>IF(AND(ISNUMBER(F778),ISNUMBER(I778),F778&gt;0),I778/F778-1,"")</f>
        <v/>
      </c>
      <c r="K778" s="13" t="n">
        <v>138</v>
      </c>
      <c r="L778" s="14">
        <f>IF(AND(ISNUMBER(F778),ISNUMBER(K778),F778&gt;0),K778/F778-1,"")</f>
        <v/>
      </c>
      <c r="M778" s="15" t="n">
        <v>20</v>
      </c>
      <c r="N778" s="16" t="n">
        <v>1</v>
      </c>
      <c r="O778" s="17">
        <f>IF(AND(ISNUMBER(F778),ISNUMBER(N778),F778&gt;0),N778/F778,"")</f>
        <v/>
      </c>
      <c r="P778" s="18" t="n">
        <v>46248</v>
      </c>
      <c r="Q778" s="18" t="n">
        <v>46331</v>
      </c>
      <c r="R778" s="16" t="n">
        <v>4.17</v>
      </c>
      <c r="S778" s="19">
        <f>IF(AND(ISNUMBER(F778),ISNUMBER(R778),R778&gt;0),F778/R778,"")</f>
        <v/>
      </c>
      <c r="T778" s="18" t="n">
        <v>46323</v>
      </c>
    </row>
    <row r="779">
      <c r="A779" s="20" t="inlineStr">
        <is>
          <t>GIL</t>
        </is>
      </c>
      <c r="B779" s="20" t="inlineStr">
        <is>
          <t>Gildan Activewear, Inc.</t>
        </is>
      </c>
      <c r="C779" s="20" t="inlineStr">
        <is>
          <t>Apparel Manufacturing</t>
        </is>
      </c>
      <c r="D779" s="20" t="inlineStr">
        <is>
          <t>Canada</t>
        </is>
      </c>
      <c r="E779" s="21" t="n">
        <v>7.42</v>
      </c>
      <c r="F779" s="22" t="n">
        <v>40.06</v>
      </c>
      <c r="G779" s="22" t="n">
        <v>70.75</v>
      </c>
      <c r="H779" s="23">
        <f>IF(AND(ISNUMBER(F779),ISNUMBER(G779),F779&gt;0),G779/F779-1,"")</f>
        <v/>
      </c>
      <c r="I779" s="22" t="n">
        <v>54</v>
      </c>
      <c r="J779" s="23">
        <f>IF(AND(ISNUMBER(F779),ISNUMBER(I779),F779&gt;0),I779/F779-1,"")</f>
        <v/>
      </c>
      <c r="K779" s="22" t="n">
        <v>95</v>
      </c>
      <c r="L779" s="23">
        <f>IF(AND(ISNUMBER(F779),ISNUMBER(K779),F779&gt;0),K779/F779-1,"")</f>
        <v/>
      </c>
      <c r="M779" s="24" t="n">
        <v>8</v>
      </c>
      <c r="N779" s="25" t="n">
        <v>1</v>
      </c>
      <c r="O779" s="26">
        <f>IF(AND(ISNUMBER(F779),ISNUMBER(N779),F779&gt;0),N779/F779,"")</f>
        <v/>
      </c>
      <c r="P779" s="27" t="n">
        <v>46254</v>
      </c>
      <c r="Q779" s="27" t="n">
        <v>46331</v>
      </c>
      <c r="R779" s="25" t="n">
        <v>1.31</v>
      </c>
      <c r="S779" s="28">
        <f>IF(AND(ISNUMBER(F779),ISNUMBER(R779),R779&gt;0),F779/R779,"")</f>
        <v/>
      </c>
      <c r="T779" s="27" t="n">
        <v>46323</v>
      </c>
    </row>
    <row r="780">
      <c r="A780" s="11" t="inlineStr">
        <is>
          <t>LW</t>
        </is>
      </c>
      <c r="B780" s="11" t="inlineStr">
        <is>
          <t>Lamb Weston Holdings, Inc.</t>
        </is>
      </c>
      <c r="C780" s="11" t="inlineStr">
        <is>
          <t>Packaged Foods</t>
        </is>
      </c>
      <c r="D780" s="11" t="inlineStr">
        <is>
          <t>United States</t>
        </is>
      </c>
      <c r="E780" s="12" t="n">
        <v>7.41</v>
      </c>
      <c r="F780" s="13" t="n">
        <v>53.78</v>
      </c>
      <c r="G780" s="13" t="n">
        <v>56</v>
      </c>
      <c r="H780" s="14">
        <f>IF(AND(ISNUMBER(F780),ISNUMBER(G780),F780&gt;0),G780/F780-1,"")</f>
        <v/>
      </c>
      <c r="I780" s="13" t="n">
        <v>52</v>
      </c>
      <c r="J780" s="14">
        <f>IF(AND(ISNUMBER(F780),ISNUMBER(I780),F780&gt;0),I780/F780-1,"")</f>
        <v/>
      </c>
      <c r="K780" s="13" t="n">
        <v>65</v>
      </c>
      <c r="L780" s="14">
        <f>IF(AND(ISNUMBER(F780),ISNUMBER(K780),F780&gt;0),K780/F780-1,"")</f>
        <v/>
      </c>
      <c r="M780" s="15" t="n">
        <v>12</v>
      </c>
      <c r="N780" s="16" t="n">
        <v>1.52</v>
      </c>
      <c r="O780" s="17">
        <f>IF(AND(ISNUMBER(F780),ISNUMBER(N780),F780&gt;0),N780/F780,"")</f>
        <v/>
      </c>
      <c r="P780" s="18" t="n">
        <v>46332</v>
      </c>
      <c r="Q780" s="18" t="n">
        <v>46373</v>
      </c>
      <c r="R780" s="16" t="n">
        <v>1.83</v>
      </c>
      <c r="S780" s="19">
        <f>IF(AND(ISNUMBER(F780),ISNUMBER(R780),R780&gt;0),F780/R780,"")</f>
        <v/>
      </c>
      <c r="T780" s="18" t="n">
        <v>46323</v>
      </c>
    </row>
    <row r="781">
      <c r="A781" s="20" t="inlineStr">
        <is>
          <t>SOBO</t>
        </is>
      </c>
      <c r="B781" s="20" t="inlineStr">
        <is>
          <t>South Bow Corporation</t>
        </is>
      </c>
      <c r="C781" s="20" t="inlineStr">
        <is>
          <t>Oil &amp; Gas Midstream</t>
        </is>
      </c>
      <c r="D781" s="20" t="inlineStr">
        <is>
          <t>Canada</t>
        </is>
      </c>
      <c r="E781" s="21" t="n">
        <v>7.4</v>
      </c>
      <c r="F781" s="22" t="n">
        <v>35.48</v>
      </c>
      <c r="G781" s="22" t="n">
        <v>34.50375</v>
      </c>
      <c r="H781" s="23">
        <f>IF(AND(ISNUMBER(F781),ISNUMBER(G781),F781&gt;0),G781/F781-1,"")</f>
        <v/>
      </c>
      <c r="I781" s="22" t="n">
        <v>30</v>
      </c>
      <c r="J781" s="23">
        <f>IF(AND(ISNUMBER(F781),ISNUMBER(I781),F781&gt;0),I781/F781-1,"")</f>
        <v/>
      </c>
      <c r="K781" s="22" t="n">
        <v>39</v>
      </c>
      <c r="L781" s="23">
        <f>IF(AND(ISNUMBER(F781),ISNUMBER(K781),F781&gt;0),K781/F781-1,"")</f>
        <v/>
      </c>
      <c r="M781" s="24" t="n">
        <v>8</v>
      </c>
      <c r="N781" s="25" t="n">
        <v>2</v>
      </c>
      <c r="O781" s="26">
        <f>IF(AND(ISNUMBER(F781),ISNUMBER(N781),F781&gt;0),N781/F781,"")</f>
        <v/>
      </c>
      <c r="P781" s="27" t="n">
        <v>46294</v>
      </c>
      <c r="Q781" s="27" t="n">
        <v>46330</v>
      </c>
      <c r="R781" s="25" t="n">
        <v>2.2</v>
      </c>
      <c r="S781" s="28">
        <f>IF(AND(ISNUMBER(F781),ISNUMBER(R781),R781&gt;0),F781/R781,"")</f>
        <v/>
      </c>
      <c r="T781" s="27" t="n">
        <v>46323</v>
      </c>
    </row>
    <row r="782">
      <c r="A782" s="11" t="inlineStr">
        <is>
          <t>TAP</t>
        </is>
      </c>
      <c r="B782" s="11" t="inlineStr">
        <is>
          <t>Molson Coors Beverage Company</t>
        </is>
      </c>
      <c r="C782" s="11" t="inlineStr">
        <is>
          <t>Beverages - Brewers</t>
        </is>
      </c>
      <c r="D782" s="11" t="inlineStr">
        <is>
          <t>United States</t>
        </is>
      </c>
      <c r="E782" s="12" t="n">
        <v>7.36</v>
      </c>
      <c r="F782" s="13" t="n">
        <v>39.45</v>
      </c>
      <c r="G782" s="13" t="n">
        <v>43.61905</v>
      </c>
      <c r="H782" s="14">
        <f>IF(AND(ISNUMBER(F782),ISNUMBER(G782),F782&gt;0),G782/F782-1,"")</f>
        <v/>
      </c>
      <c r="I782" s="13" t="n">
        <v>33</v>
      </c>
      <c r="J782" s="14">
        <f>IF(AND(ISNUMBER(F782),ISNUMBER(I782),F782&gt;0),I782/F782-1,"")</f>
        <v/>
      </c>
      <c r="K782" s="13" t="n">
        <v>61</v>
      </c>
      <c r="L782" s="14">
        <f>IF(AND(ISNUMBER(F782),ISNUMBER(K782),F782&gt;0),K782/F782-1,"")</f>
        <v/>
      </c>
      <c r="M782" s="15" t="n">
        <v>21</v>
      </c>
      <c r="N782" s="16" t="n">
        <v>1.92</v>
      </c>
      <c r="O782" s="17">
        <f>IF(AND(ISNUMBER(F782),ISNUMBER(N782),F782&gt;0),N782/F782,"")</f>
        <v/>
      </c>
      <c r="P782" s="18" t="n">
        <v>46262</v>
      </c>
      <c r="Q782" s="18" t="n">
        <v>46331</v>
      </c>
      <c r="R782" s="16" t="n">
        <v>-11.64</v>
      </c>
      <c r="S782" s="19">
        <f>IF(AND(ISNUMBER(F782),ISNUMBER(R782),R782&gt;0),F782/R782,"")</f>
        <v/>
      </c>
      <c r="T782" s="18" t="n">
        <v>46323</v>
      </c>
    </row>
    <row r="783">
      <c r="A783" s="20" t="inlineStr">
        <is>
          <t>MTDR</t>
        </is>
      </c>
      <c r="B783" s="20" t="inlineStr">
        <is>
          <t>Matador Resources Company</t>
        </is>
      </c>
      <c r="C783" s="20" t="inlineStr">
        <is>
          <t>Oil &amp; Gas E&amp;P</t>
        </is>
      </c>
      <c r="D783" s="20" t="inlineStr">
        <is>
          <t>United States</t>
        </is>
      </c>
      <c r="E783" s="21" t="n">
        <v>7.33</v>
      </c>
      <c r="F783" s="22" t="n">
        <v>59.27</v>
      </c>
      <c r="G783" s="22" t="n">
        <v>71.09999999999999</v>
      </c>
      <c r="H783" s="23">
        <f>IF(AND(ISNUMBER(F783),ISNUMBER(G783),F783&gt;0),G783/F783-1,"")</f>
        <v/>
      </c>
      <c r="I783" s="22" t="n">
        <v>59</v>
      </c>
      <c r="J783" s="23">
        <f>IF(AND(ISNUMBER(F783),ISNUMBER(I783),F783&gt;0),I783/F783-1,"")</f>
        <v/>
      </c>
      <c r="K783" s="22" t="n">
        <v>101</v>
      </c>
      <c r="L783" s="23">
        <f>IF(AND(ISNUMBER(F783),ISNUMBER(K783),F783&gt;0),K783/F783-1,"")</f>
        <v/>
      </c>
      <c r="M783" s="24" t="n">
        <v>20</v>
      </c>
      <c r="N783" s="25" t="n">
        <v>1.75</v>
      </c>
      <c r="O783" s="26">
        <f>IF(AND(ISNUMBER(F783),ISNUMBER(N783),F783&gt;0),N783/F783,"")</f>
        <v/>
      </c>
      <c r="P783" s="27" t="n">
        <v>46336</v>
      </c>
      <c r="Q783" s="27" t="n">
        <v>46329</v>
      </c>
      <c r="R783" s="25" t="n">
        <v>5.84</v>
      </c>
      <c r="S783" s="28">
        <f>IF(AND(ISNUMBER(F783),ISNUMBER(R783),R783&gt;0),F783/R783,"")</f>
        <v/>
      </c>
      <c r="T783" s="27" t="n">
        <v>46323</v>
      </c>
    </row>
    <row r="784">
      <c r="A784" s="11" t="inlineStr">
        <is>
          <t>CWAN</t>
        </is>
      </c>
      <c r="B784" s="11" t="inlineStr">
        <is>
          <t xml:space="preserve">Clearwater Analytics Holdings, </t>
        </is>
      </c>
      <c r="C784" s="11" t="inlineStr">
        <is>
          <t>Software - Application</t>
        </is>
      </c>
      <c r="D784" s="11" t="inlineStr">
        <is>
          <t>United States</t>
        </is>
      </c>
      <c r="E784" s="12" t="n">
        <v>7.33</v>
      </c>
      <c r="F784" s="13" t="n">
        <v>24.56</v>
      </c>
      <c r="G784" s="13" t="n">
        <v>24.44</v>
      </c>
      <c r="H784" s="14">
        <f>IF(AND(ISNUMBER(F784),ISNUMBER(G784),F784&gt;0),G784/F784-1,"")</f>
        <v/>
      </c>
      <c r="I784" s="13" t="n">
        <v>24</v>
      </c>
      <c r="J784" s="14">
        <f>IF(AND(ISNUMBER(F784),ISNUMBER(I784),F784&gt;0),I784/F784-1,"")</f>
        <v/>
      </c>
      <c r="K784" s="13" t="n">
        <v>24.55</v>
      </c>
      <c r="L784" s="14">
        <f>IF(AND(ISNUMBER(F784),ISNUMBER(K784),F784&gt;0),K784/F784-1,"")</f>
        <v/>
      </c>
      <c r="M784" s="15" t="n">
        <v>5</v>
      </c>
      <c r="N784" s="16" t="n"/>
      <c r="O784" s="17">
        <f>IF(AND(ISNUMBER(F784),ISNUMBER(N784),F784&gt;0),N784/F784,"")</f>
        <v/>
      </c>
      <c r="P784" s="18" t="n"/>
      <c r="Q784" s="18" t="n"/>
      <c r="R784" s="16" t="n">
        <v>-0.18</v>
      </c>
      <c r="S784" s="19">
        <f>IF(AND(ISNUMBER(F784),ISNUMBER(R784),R784&gt;0),F784/R784,"")</f>
        <v/>
      </c>
      <c r="T784" s="18" t="n">
        <v>46323</v>
      </c>
    </row>
    <row r="785">
      <c r="A785" s="20" t="inlineStr">
        <is>
          <t>PATH</t>
        </is>
      </c>
      <c r="B785" s="20" t="inlineStr">
        <is>
          <t>UiPath, Inc.</t>
        </is>
      </c>
      <c r="C785" s="20" t="inlineStr">
        <is>
          <t>Software - Infrastructure</t>
        </is>
      </c>
      <c r="D785" s="20" t="inlineStr">
        <is>
          <t>United States</t>
        </is>
      </c>
      <c r="E785" s="21" t="n">
        <v>7.33</v>
      </c>
      <c r="F785" s="22" t="n">
        <v>14.06</v>
      </c>
      <c r="G785" s="22" t="n">
        <v>15.32235</v>
      </c>
      <c r="H785" s="23">
        <f>IF(AND(ISNUMBER(F785),ISNUMBER(G785),F785&gt;0),G785/F785-1,"")</f>
        <v/>
      </c>
      <c r="I785" s="22" t="n">
        <v>10</v>
      </c>
      <c r="J785" s="23">
        <f>IF(AND(ISNUMBER(F785),ISNUMBER(I785),F785&gt;0),I785/F785-1,"")</f>
        <v/>
      </c>
      <c r="K785" s="22" t="n">
        <v>23</v>
      </c>
      <c r="L785" s="23">
        <f>IF(AND(ISNUMBER(F785),ISNUMBER(K785),F785&gt;0),K785/F785-1,"")</f>
        <v/>
      </c>
      <c r="M785" s="24" t="n">
        <v>17</v>
      </c>
      <c r="N785" s="25" t="n"/>
      <c r="O785" s="26">
        <f>IF(AND(ISNUMBER(F785),ISNUMBER(N785),F785&gt;0),N785/F785,"")</f>
        <v/>
      </c>
      <c r="P785" s="27" t="n"/>
      <c r="Q785" s="27" t="n">
        <v>46358</v>
      </c>
      <c r="R785" s="25" t="n">
        <v>0.67</v>
      </c>
      <c r="S785" s="28">
        <f>IF(AND(ISNUMBER(F785),ISNUMBER(R785),R785&gt;0),F785/R785,"")</f>
        <v/>
      </c>
      <c r="T785" s="27" t="n">
        <v>46323</v>
      </c>
    </row>
    <row r="786">
      <c r="A786" s="11" t="inlineStr">
        <is>
          <t>NOV</t>
        </is>
      </c>
      <c r="B786" s="11" t="inlineStr">
        <is>
          <t>NOV Inc.</t>
        </is>
      </c>
      <c r="C786" s="11" t="inlineStr">
        <is>
          <t>Oil &amp; Gas Equipment &amp; Services</t>
        </is>
      </c>
      <c r="D786" s="11" t="inlineStr">
        <is>
          <t>United States</t>
        </is>
      </c>
      <c r="E786" s="12" t="n">
        <v>7.33</v>
      </c>
      <c r="F786" s="13" t="n">
        <v>20.55</v>
      </c>
      <c r="G786" s="13" t="n">
        <v>22.07895</v>
      </c>
      <c r="H786" s="14">
        <f>IF(AND(ISNUMBER(F786),ISNUMBER(G786),F786&gt;0),G786/F786-1,"")</f>
        <v/>
      </c>
      <c r="I786" s="13" t="n">
        <v>17</v>
      </c>
      <c r="J786" s="14">
        <f>IF(AND(ISNUMBER(F786),ISNUMBER(I786),F786&gt;0),I786/F786-1,"")</f>
        <v/>
      </c>
      <c r="K786" s="13" t="n">
        <v>26</v>
      </c>
      <c r="L786" s="14">
        <f>IF(AND(ISNUMBER(F786),ISNUMBER(K786),F786&gt;0),K786/F786-1,"")</f>
        <v/>
      </c>
      <c r="M786" s="15" t="n">
        <v>19</v>
      </c>
      <c r="N786" s="16" t="n">
        <v>0.36</v>
      </c>
      <c r="O786" s="17">
        <f>IF(AND(ISNUMBER(F786),ISNUMBER(N786),F786&gt;0),N786/F786,"")</f>
        <v/>
      </c>
      <c r="P786" s="18" t="n">
        <v>46276</v>
      </c>
      <c r="Q786" s="18" t="n">
        <v>46322</v>
      </c>
      <c r="R786" s="16" t="n">
        <v>0.28</v>
      </c>
      <c r="S786" s="19">
        <f>IF(AND(ISNUMBER(F786),ISNUMBER(R786),R786&gt;0),F786/R786,"")</f>
        <v/>
      </c>
      <c r="T786" s="18" t="n">
        <v>46323</v>
      </c>
    </row>
    <row r="787">
      <c r="A787" s="20" t="inlineStr">
        <is>
          <t>IONS</t>
        </is>
      </c>
      <c r="B787" s="20" t="inlineStr">
        <is>
          <t>Ionis Pharmaceuticals, Inc.</t>
        </is>
      </c>
      <c r="C787" s="20" t="inlineStr">
        <is>
          <t>Biotechnology</t>
        </is>
      </c>
      <c r="D787" s="20" t="inlineStr">
        <is>
          <t>United States</t>
        </is>
      </c>
      <c r="E787" s="21" t="n">
        <v>7.31</v>
      </c>
      <c r="F787" s="22" t="n">
        <v>43.96</v>
      </c>
      <c r="G787" s="22" t="n">
        <v>84.13043</v>
      </c>
      <c r="H787" s="23">
        <f>IF(AND(ISNUMBER(F787),ISNUMBER(G787),F787&gt;0),G787/F787-1,"")</f>
        <v/>
      </c>
      <c r="I787" s="22" t="n">
        <v>58</v>
      </c>
      <c r="J787" s="23">
        <f>IF(AND(ISNUMBER(F787),ISNUMBER(I787),F787&gt;0),I787/F787-1,"")</f>
        <v/>
      </c>
      <c r="K787" s="22" t="n">
        <v>105</v>
      </c>
      <c r="L787" s="23">
        <f>IF(AND(ISNUMBER(F787),ISNUMBER(K787),F787&gt;0),K787/F787-1,"")</f>
        <v/>
      </c>
      <c r="M787" s="24" t="n">
        <v>23</v>
      </c>
      <c r="N787" s="25" t="n"/>
      <c r="O787" s="26">
        <f>IF(AND(ISNUMBER(F787),ISNUMBER(N787),F787&gt;0),N787/F787,"")</f>
        <v/>
      </c>
      <c r="P787" s="27" t="n"/>
      <c r="Q787" s="27" t="n">
        <v>46330</v>
      </c>
      <c r="R787" s="25" t="n">
        <v>-3.48</v>
      </c>
      <c r="S787" s="28">
        <f>IF(AND(ISNUMBER(F787),ISNUMBER(R787),R787&gt;0),F787/R787,"")</f>
        <v/>
      </c>
      <c r="T787" s="27" t="n">
        <v>46323</v>
      </c>
    </row>
    <row r="788">
      <c r="A788" s="11" t="inlineStr">
        <is>
          <t>BZ</t>
        </is>
      </c>
      <c r="B788" s="11" t="inlineStr">
        <is>
          <t>KANZHUN LIMITED - American Depo</t>
        </is>
      </c>
      <c r="C788" s="11" t="inlineStr">
        <is>
          <t>Internet Content &amp; Information</t>
        </is>
      </c>
      <c r="D788" s="11" t="inlineStr">
        <is>
          <t>China</t>
        </is>
      </c>
      <c r="E788" s="12" t="n">
        <v>7.29</v>
      </c>
      <c r="F788" s="13" t="n">
        <v>16.65</v>
      </c>
      <c r="G788" s="13" t="n">
        <v>21.828238</v>
      </c>
      <c r="H788" s="14">
        <f>IF(AND(ISNUMBER(F788),ISNUMBER(G788),F788&gt;0),G788/F788-1,"")</f>
        <v/>
      </c>
      <c r="I788" s="13" t="n">
        <v>17.138186</v>
      </c>
      <c r="J788" s="14">
        <f>IF(AND(ISNUMBER(F788),ISNUMBER(I788),F788&gt;0),I788/F788-1,"")</f>
        <v/>
      </c>
      <c r="K788" s="13" t="n">
        <v>27.22848</v>
      </c>
      <c r="L788" s="14">
        <f>IF(AND(ISNUMBER(F788),ISNUMBER(K788),F788&gt;0),K788/F788-1,"")</f>
        <v/>
      </c>
      <c r="M788" s="15" t="n">
        <v>21</v>
      </c>
      <c r="N788" s="16" t="n">
        <v>0.51</v>
      </c>
      <c r="O788" s="17">
        <f>IF(AND(ISNUMBER(F788),ISNUMBER(N788),F788&gt;0),N788/F788,"")</f>
        <v/>
      </c>
      <c r="P788" s="18" t="n">
        <v>46293</v>
      </c>
      <c r="Q788" s="18" t="n">
        <v>46343</v>
      </c>
      <c r="R788" s="16" t="n">
        <v>1.39</v>
      </c>
      <c r="S788" s="19">
        <f>IF(AND(ISNUMBER(F788),ISNUMBER(R788),R788&gt;0),F788/R788,"")</f>
        <v/>
      </c>
      <c r="T788" s="18" t="n">
        <v>46323</v>
      </c>
    </row>
    <row r="789">
      <c r="A789" s="20" t="inlineStr">
        <is>
          <t>MP</t>
        </is>
      </c>
      <c r="B789" s="20" t="inlineStr">
        <is>
          <t>MP Materials Corp.</t>
        </is>
      </c>
      <c r="C789" s="20" t="inlineStr">
        <is>
          <t>Other Industrial Metals &amp; Mining</t>
        </is>
      </c>
      <c r="D789" s="20" t="inlineStr">
        <is>
          <t>United States</t>
        </is>
      </c>
      <c r="E789" s="21" t="n">
        <v>7.28</v>
      </c>
      <c r="F789" s="22" t="n">
        <v>40.87</v>
      </c>
      <c r="G789" s="22" t="n">
        <v>70.9375</v>
      </c>
      <c r="H789" s="23">
        <f>IF(AND(ISNUMBER(F789),ISNUMBER(G789),F789&gt;0),G789/F789-1,"")</f>
        <v/>
      </c>
      <c r="I789" s="22" t="n">
        <v>53</v>
      </c>
      <c r="J789" s="23">
        <f>IF(AND(ISNUMBER(F789),ISNUMBER(I789),F789&gt;0),I789/F789-1,"")</f>
        <v/>
      </c>
      <c r="K789" s="22" t="n">
        <v>100</v>
      </c>
      <c r="L789" s="23">
        <f>IF(AND(ISNUMBER(F789),ISNUMBER(K789),F789&gt;0),K789/F789-1,"")</f>
        <v/>
      </c>
      <c r="M789" s="24" t="n">
        <v>16</v>
      </c>
      <c r="N789" s="25" t="n"/>
      <c r="O789" s="26">
        <f>IF(AND(ISNUMBER(F789),ISNUMBER(N789),F789&gt;0),N789/F789,"")</f>
        <v/>
      </c>
      <c r="P789" s="27" t="n"/>
      <c r="Q789" s="27" t="n">
        <v>46331</v>
      </c>
      <c r="R789" s="25" t="n">
        <v>-0.33</v>
      </c>
      <c r="S789" s="28">
        <f>IF(AND(ISNUMBER(F789),ISNUMBER(R789),R789&gt;0),F789/R789,"")</f>
        <v/>
      </c>
      <c r="T789" s="27" t="n">
        <v>46323</v>
      </c>
    </row>
    <row r="790">
      <c r="A790" s="11" t="inlineStr">
        <is>
          <t>MGY</t>
        </is>
      </c>
      <c r="B790" s="11" t="inlineStr">
        <is>
          <t>Magnolia Oil &amp; Gas Corporation</t>
        </is>
      </c>
      <c r="C790" s="11" t="inlineStr">
        <is>
          <t>Oil &amp; Gas E&amp;P</t>
        </is>
      </c>
      <c r="D790" s="11" t="inlineStr">
        <is>
          <t>United States</t>
        </is>
      </c>
      <c r="E790" s="12" t="n">
        <v>7.25</v>
      </c>
      <c r="F790" s="13" t="n">
        <v>26.38</v>
      </c>
      <c r="G790" s="13" t="n">
        <v>33.05882</v>
      </c>
      <c r="H790" s="14">
        <f>IF(AND(ISNUMBER(F790),ISNUMBER(G790),F790&gt;0),G790/F790-1,"")</f>
        <v/>
      </c>
      <c r="I790" s="13" t="n">
        <v>26</v>
      </c>
      <c r="J790" s="14">
        <f>IF(AND(ISNUMBER(F790),ISNUMBER(I790),F790&gt;0),I790/F790-1,"")</f>
        <v/>
      </c>
      <c r="K790" s="13" t="n">
        <v>39</v>
      </c>
      <c r="L790" s="14">
        <f>IF(AND(ISNUMBER(F790),ISNUMBER(K790),F790&gt;0),K790/F790-1,"")</f>
        <v/>
      </c>
      <c r="M790" s="15" t="n">
        <v>17</v>
      </c>
      <c r="N790" s="16" t="n">
        <v>0.66</v>
      </c>
      <c r="O790" s="17">
        <f>IF(AND(ISNUMBER(F790),ISNUMBER(N790),F790&gt;0),N790/F790,"")</f>
        <v/>
      </c>
      <c r="P790" s="18" t="n">
        <v>46244</v>
      </c>
      <c r="Q790" s="18" t="n">
        <v>46330</v>
      </c>
      <c r="R790" s="16" t="n">
        <v>2.28</v>
      </c>
      <c r="S790" s="19">
        <f>IF(AND(ISNUMBER(F790),ISNUMBER(R790),R790&gt;0),F790/R790,"")</f>
        <v/>
      </c>
      <c r="T790" s="18" t="n">
        <v>46323</v>
      </c>
    </row>
    <row r="791">
      <c r="A791" s="20" t="inlineStr">
        <is>
          <t>NCLH</t>
        </is>
      </c>
      <c r="B791" s="20" t="inlineStr">
        <is>
          <t xml:space="preserve">Norwegian Cruise Line Holdings </t>
        </is>
      </c>
      <c r="C791" s="20" t="inlineStr">
        <is>
          <t>Travel Services</t>
        </is>
      </c>
      <c r="D791" s="20" t="inlineStr">
        <is>
          <t>United States</t>
        </is>
      </c>
      <c r="E791" s="21" t="n">
        <v>7.23</v>
      </c>
      <c r="F791" s="22" t="n">
        <v>15.75</v>
      </c>
      <c r="G791" s="22" t="n">
        <v>18.625</v>
      </c>
      <c r="H791" s="23">
        <f>IF(AND(ISNUMBER(F791),ISNUMBER(G791),F791&gt;0),G791/F791-1,"")</f>
        <v/>
      </c>
      <c r="I791" s="22" t="n">
        <v>11</v>
      </c>
      <c r="J791" s="23">
        <f>IF(AND(ISNUMBER(F791),ISNUMBER(I791),F791&gt;0),I791/F791-1,"")</f>
        <v/>
      </c>
      <c r="K791" s="22" t="n">
        <v>26</v>
      </c>
      <c r="L791" s="23">
        <f>IF(AND(ISNUMBER(F791),ISNUMBER(K791),F791&gt;0),K791/F791-1,"")</f>
        <v/>
      </c>
      <c r="M791" s="24" t="n">
        <v>24</v>
      </c>
      <c r="N791" s="25" t="n"/>
      <c r="O791" s="26">
        <f>IF(AND(ISNUMBER(F791),ISNUMBER(N791),F791&gt;0),N791/F791,"")</f>
        <v/>
      </c>
      <c r="P791" s="27" t="n"/>
      <c r="Q791" s="27" t="n">
        <v>46324</v>
      </c>
      <c r="R791" s="25" t="n">
        <v>1.62</v>
      </c>
      <c r="S791" s="28">
        <f>IF(AND(ISNUMBER(F791),ISNUMBER(R791),R791&gt;0),F791/R791,"")</f>
        <v/>
      </c>
      <c r="T791" s="27" t="n">
        <v>46323</v>
      </c>
    </row>
    <row r="792">
      <c r="A792" s="11" t="inlineStr">
        <is>
          <t>NE</t>
        </is>
      </c>
      <c r="B792" s="11" t="inlineStr">
        <is>
          <t>Noble Corporation plc A</t>
        </is>
      </c>
      <c r="C792" s="11" t="inlineStr">
        <is>
          <t>Oil &amp; Gas Drilling</t>
        </is>
      </c>
      <c r="D792" s="11" t="inlineStr">
        <is>
          <t>United States</t>
        </is>
      </c>
      <c r="E792" s="12" t="n">
        <v>7.22</v>
      </c>
      <c r="F792" s="13" t="n">
        <v>45.22</v>
      </c>
      <c r="G792" s="13" t="n">
        <v>46.5</v>
      </c>
      <c r="H792" s="14">
        <f>IF(AND(ISNUMBER(F792),ISNUMBER(G792),F792&gt;0),G792/F792-1,"")</f>
        <v/>
      </c>
      <c r="I792" s="13" t="n">
        <v>25</v>
      </c>
      <c r="J792" s="14">
        <f>IF(AND(ISNUMBER(F792),ISNUMBER(I792),F792&gt;0),I792/F792-1,"")</f>
        <v/>
      </c>
      <c r="K792" s="13" t="n">
        <v>59</v>
      </c>
      <c r="L792" s="14">
        <f>IF(AND(ISNUMBER(F792),ISNUMBER(K792),F792&gt;0),K792/F792-1,"")</f>
        <v/>
      </c>
      <c r="M792" s="15" t="n">
        <v>12</v>
      </c>
      <c r="N792" s="16" t="n">
        <v>2</v>
      </c>
      <c r="O792" s="17">
        <f>IF(AND(ISNUMBER(F792),ISNUMBER(N792),F792&gt;0),N792/F792,"")</f>
        <v/>
      </c>
      <c r="P792" s="18" t="n">
        <v>46268</v>
      </c>
      <c r="Q792" s="18" t="n">
        <v>46321</v>
      </c>
      <c r="R792" s="16" t="n">
        <v>0.9399999999999999</v>
      </c>
      <c r="S792" s="19">
        <f>IF(AND(ISNUMBER(F792),ISNUMBER(R792),R792&gt;0),F792/R792,"")</f>
        <v/>
      </c>
      <c r="T792" s="18" t="n">
        <v>46323</v>
      </c>
    </row>
    <row r="793">
      <c r="A793" s="20" t="inlineStr">
        <is>
          <t>RIG</t>
        </is>
      </c>
      <c r="B793" s="20" t="inlineStr">
        <is>
          <t>Transocean Ltd (Switzerland)</t>
        </is>
      </c>
      <c r="C793" s="20" t="inlineStr">
        <is>
          <t>Oil &amp; Gas Drilling</t>
        </is>
      </c>
      <c r="D793" s="20" t="inlineStr">
        <is>
          <t>Switzerland</t>
        </is>
      </c>
      <c r="E793" s="21" t="n">
        <v>7.22</v>
      </c>
      <c r="F793" s="22" t="n">
        <v>6.46</v>
      </c>
      <c r="G793" s="22" t="n">
        <v>6.5625</v>
      </c>
      <c r="H793" s="23">
        <f>IF(AND(ISNUMBER(F793),ISNUMBER(G793),F793&gt;0),G793/F793-1,"")</f>
        <v/>
      </c>
      <c r="I793" s="22" t="n">
        <v>4.5</v>
      </c>
      <c r="J793" s="23">
        <f>IF(AND(ISNUMBER(F793),ISNUMBER(I793),F793&gt;0),I793/F793-1,"")</f>
        <v/>
      </c>
      <c r="K793" s="22" t="n">
        <v>10</v>
      </c>
      <c r="L793" s="23">
        <f>IF(AND(ISNUMBER(F793),ISNUMBER(K793),F793&gt;0),K793/F793-1,"")</f>
        <v/>
      </c>
      <c r="M793" s="24" t="n">
        <v>12</v>
      </c>
      <c r="N793" s="25" t="n"/>
      <c r="O793" s="26">
        <f>IF(AND(ISNUMBER(F793),ISNUMBER(N793),F793&gt;0),N793/F793,"")</f>
        <v/>
      </c>
      <c r="P793" s="27" t="n"/>
      <c r="Q793" s="27" t="n">
        <v>46328</v>
      </c>
      <c r="R793" s="25" t="n">
        <v>-1.6</v>
      </c>
      <c r="S793" s="28">
        <f>IF(AND(ISNUMBER(F793),ISNUMBER(R793),R793&gt;0),F793/R793,"")</f>
        <v/>
      </c>
      <c r="T793" s="27" t="n">
        <v>46323</v>
      </c>
    </row>
    <row r="794">
      <c r="A794" s="11" t="inlineStr">
        <is>
          <t>Z</t>
        </is>
      </c>
      <c r="B794" s="11" t="inlineStr">
        <is>
          <t>Zillow Group, Inc.</t>
        </is>
      </c>
      <c r="C794" s="11" t="inlineStr">
        <is>
          <t>Internet Content &amp; Information</t>
        </is>
      </c>
      <c r="D794" s="11" t="inlineStr">
        <is>
          <t>United States</t>
        </is>
      </c>
      <c r="E794" s="12" t="n">
        <v>7.21</v>
      </c>
      <c r="F794" s="13" t="n">
        <v>32.05</v>
      </c>
      <c r="G794" s="13" t="n">
        <v>41.16667</v>
      </c>
      <c r="H794" s="14">
        <f>IF(AND(ISNUMBER(F794),ISNUMBER(G794),F794&gt;0),G794/F794-1,"")</f>
        <v/>
      </c>
      <c r="I794" s="13" t="n">
        <v>34</v>
      </c>
      <c r="J794" s="14">
        <f>IF(AND(ISNUMBER(F794),ISNUMBER(I794),F794&gt;0),I794/F794-1,"")</f>
        <v/>
      </c>
      <c r="K794" s="13" t="n">
        <v>62</v>
      </c>
      <c r="L794" s="14">
        <f>IF(AND(ISNUMBER(F794),ISNUMBER(K794),F794&gt;0),K794/F794-1,"")</f>
        <v/>
      </c>
      <c r="M794" s="15" t="n">
        <v>6</v>
      </c>
      <c r="N794" s="16" t="n"/>
      <c r="O794" s="17">
        <f>IF(AND(ISNUMBER(F794),ISNUMBER(N794),F794&gt;0),N794/F794,"")</f>
        <v/>
      </c>
      <c r="P794" s="18" t="n"/>
      <c r="Q794" s="18" t="n">
        <v>46330</v>
      </c>
      <c r="R794" s="16" t="n">
        <v>0.23</v>
      </c>
      <c r="S794" s="19">
        <f>IF(AND(ISNUMBER(F794),ISNUMBER(R794),R794&gt;0),F794/R794,"")</f>
        <v/>
      </c>
      <c r="T794" s="18" t="n">
        <v>46323</v>
      </c>
    </row>
    <row r="795">
      <c r="A795" s="20" t="inlineStr">
        <is>
          <t>MGM</t>
        </is>
      </c>
      <c r="B795" s="20" t="inlineStr">
        <is>
          <t>MGM Resorts International</t>
        </is>
      </c>
      <c r="C795" s="20" t="inlineStr">
        <is>
          <t>Resorts &amp; Casinos</t>
        </is>
      </c>
      <c r="D795" s="20" t="inlineStr">
        <is>
          <t>United States</t>
        </is>
      </c>
      <c r="E795" s="21" t="n">
        <v>7.16</v>
      </c>
      <c r="F795" s="22" t="n">
        <v>27.99</v>
      </c>
      <c r="G795" s="22" t="n">
        <v>41.68421</v>
      </c>
      <c r="H795" s="23">
        <f>IF(AND(ISNUMBER(F795),ISNUMBER(G795),F795&gt;0),G795/F795-1,"")</f>
        <v/>
      </c>
      <c r="I795" s="22" t="n">
        <v>29</v>
      </c>
      <c r="J795" s="23">
        <f>IF(AND(ISNUMBER(F795),ISNUMBER(I795),F795&gt;0),I795/F795-1,"")</f>
        <v/>
      </c>
      <c r="K795" s="22" t="n">
        <v>57</v>
      </c>
      <c r="L795" s="23">
        <f>IF(AND(ISNUMBER(F795),ISNUMBER(K795),F795&gt;0),K795/F795-1,"")</f>
        <v/>
      </c>
      <c r="M795" s="24" t="n">
        <v>19</v>
      </c>
      <c r="N795" s="25" t="n"/>
      <c r="O795" s="26">
        <f>IF(AND(ISNUMBER(F795),ISNUMBER(N795),F795&gt;0),N795/F795,"")</f>
        <v/>
      </c>
      <c r="P795" s="27" t="n"/>
      <c r="Q795" s="27" t="n">
        <v>46323</v>
      </c>
      <c r="R795" s="25" t="n">
        <v>1.62</v>
      </c>
      <c r="S795" s="28">
        <f>IF(AND(ISNUMBER(F795),ISNUMBER(R795),R795&gt;0),F795/R795,"")</f>
        <v/>
      </c>
      <c r="T795" s="27" t="n">
        <v>46323</v>
      </c>
    </row>
    <row r="796">
      <c r="A796" s="11" t="inlineStr">
        <is>
          <t>CVLT</t>
        </is>
      </c>
      <c r="B796" s="11" t="inlineStr">
        <is>
          <t>Commvault Systems, Inc.</t>
        </is>
      </c>
      <c r="C796" s="11" t="inlineStr">
        <is>
          <t>Software - Application</t>
        </is>
      </c>
      <c r="D796" s="11" t="inlineStr">
        <is>
          <t>United States</t>
        </is>
      </c>
      <c r="E796" s="12" t="n">
        <v>7.15</v>
      </c>
      <c r="F796" s="13" t="n">
        <v>172.55</v>
      </c>
      <c r="G796" s="13" t="n">
        <v>165.25882</v>
      </c>
      <c r="H796" s="14">
        <f>IF(AND(ISNUMBER(F796),ISNUMBER(G796),F796&gt;0),G796/F796-1,"")</f>
        <v/>
      </c>
      <c r="I796" s="13" t="n">
        <v>130</v>
      </c>
      <c r="J796" s="14">
        <f>IF(AND(ISNUMBER(F796),ISNUMBER(I796),F796&gt;0),I796/F796-1,"")</f>
        <v/>
      </c>
      <c r="K796" s="13" t="n">
        <v>200</v>
      </c>
      <c r="L796" s="14">
        <f>IF(AND(ISNUMBER(F796),ISNUMBER(K796),F796&gt;0),K796/F796-1,"")</f>
        <v/>
      </c>
      <c r="M796" s="15" t="n">
        <v>17</v>
      </c>
      <c r="N796" s="16" t="n"/>
      <c r="O796" s="17">
        <f>IF(AND(ISNUMBER(F796),ISNUMBER(N796),F796&gt;0),N796/F796,"")</f>
        <v/>
      </c>
      <c r="P796" s="18" t="n"/>
      <c r="Q796" s="18" t="n">
        <v>46322</v>
      </c>
      <c r="R796" s="16" t="n">
        <v>1.57</v>
      </c>
      <c r="S796" s="19">
        <f>IF(AND(ISNUMBER(F796),ISNUMBER(R796),R796&gt;0),F796/R796,"")</f>
        <v/>
      </c>
      <c r="T796" s="18" t="n">
        <v>46323</v>
      </c>
    </row>
    <row r="797">
      <c r="A797" s="20" t="inlineStr">
        <is>
          <t>RNG</t>
        </is>
      </c>
      <c r="B797" s="20" t="inlineStr">
        <is>
          <t>Ringcentral, Inc.</t>
        </is>
      </c>
      <c r="C797" s="20" t="inlineStr">
        <is>
          <t>Software - Application</t>
        </is>
      </c>
      <c r="D797" s="20" t="inlineStr">
        <is>
          <t>United States</t>
        </is>
      </c>
      <c r="E797" s="21" t="n">
        <v>7.15</v>
      </c>
      <c r="F797" s="22" t="n">
        <v>85.59999999999999</v>
      </c>
      <c r="G797" s="22" t="n">
        <v>97.85714</v>
      </c>
      <c r="H797" s="23">
        <f>IF(AND(ISNUMBER(F797),ISNUMBER(G797),F797&gt;0),G797/F797-1,"")</f>
        <v/>
      </c>
      <c r="I797" s="22" t="n">
        <v>75</v>
      </c>
      <c r="J797" s="23">
        <f>IF(AND(ISNUMBER(F797),ISNUMBER(I797),F797&gt;0),I797/F797-1,"")</f>
        <v/>
      </c>
      <c r="K797" s="22" t="n">
        <v>115</v>
      </c>
      <c r="L797" s="23">
        <f>IF(AND(ISNUMBER(F797),ISNUMBER(K797),F797&gt;0),K797/F797-1,"")</f>
        <v/>
      </c>
      <c r="M797" s="24" t="n">
        <v>14</v>
      </c>
      <c r="N797" s="25" t="n">
        <v>0.5</v>
      </c>
      <c r="O797" s="26">
        <f>IF(AND(ISNUMBER(F797),ISNUMBER(N797),F797&gt;0),N797/F797,"")</f>
        <v/>
      </c>
      <c r="P797" s="27" t="n">
        <v>46332</v>
      </c>
      <c r="Q797" s="27" t="n">
        <v>46317</v>
      </c>
      <c r="R797" s="25" t="n">
        <v>7.6</v>
      </c>
      <c r="S797" s="28">
        <f>IF(AND(ISNUMBER(F797),ISNUMBER(R797),R797&gt;0),F797/R797,"")</f>
        <v/>
      </c>
      <c r="T797" s="27" t="n">
        <v>46323</v>
      </c>
    </row>
    <row r="798">
      <c r="A798" s="11" t="inlineStr">
        <is>
          <t>NICE</t>
        </is>
      </c>
      <c r="B798" s="11" t="inlineStr">
        <is>
          <t>NICE Ltd</t>
        </is>
      </c>
      <c r="C798" s="11" t="inlineStr">
        <is>
          <t>Software - Application</t>
        </is>
      </c>
      <c r="D798" s="11" t="inlineStr">
        <is>
          <t>Israel</t>
        </is>
      </c>
      <c r="E798" s="12" t="n">
        <v>7.12</v>
      </c>
      <c r="F798" s="13" t="n">
        <v>121.58</v>
      </c>
      <c r="G798" s="13" t="n">
        <v>132.76923</v>
      </c>
      <c r="H798" s="14">
        <f>IF(AND(ISNUMBER(F798),ISNUMBER(G798),F798&gt;0),G798/F798-1,"")</f>
        <v/>
      </c>
      <c r="I798" s="13" t="n">
        <v>100</v>
      </c>
      <c r="J798" s="14">
        <f>IF(AND(ISNUMBER(F798),ISNUMBER(I798),F798&gt;0),I798/F798-1,"")</f>
        <v/>
      </c>
      <c r="K798" s="13" t="n">
        <v>170</v>
      </c>
      <c r="L798" s="14">
        <f>IF(AND(ISNUMBER(F798),ISNUMBER(K798),F798&gt;0),K798/F798-1,"")</f>
        <v/>
      </c>
      <c r="M798" s="15" t="n">
        <v>13</v>
      </c>
      <c r="N798" s="16" t="n"/>
      <c r="O798" s="17">
        <f>IF(AND(ISNUMBER(F798),ISNUMBER(N798),F798&gt;0),N798/F798,"")</f>
        <v/>
      </c>
      <c r="P798" s="18" t="n"/>
      <c r="Q798" s="18" t="n">
        <v>46338</v>
      </c>
      <c r="R798" s="16" t="n">
        <v>6.87</v>
      </c>
      <c r="S798" s="19">
        <f>IF(AND(ISNUMBER(F798),ISNUMBER(R798),R798&gt;0),F798/R798,"")</f>
        <v/>
      </c>
      <c r="T798" s="18" t="n">
        <v>46323</v>
      </c>
    </row>
    <row r="799">
      <c r="A799" s="20" t="inlineStr">
        <is>
          <t>STAG</t>
        </is>
      </c>
      <c r="B799" s="20" t="inlineStr">
        <is>
          <t>Stag Industrial, Inc.</t>
        </is>
      </c>
      <c r="C799" s="20" t="inlineStr">
        <is>
          <t>Reit - Industrial</t>
        </is>
      </c>
      <c r="D799" s="20" t="inlineStr">
        <is>
          <t>United States</t>
        </is>
      </c>
      <c r="E799" s="21" t="n">
        <v>7.12</v>
      </c>
      <c r="F799" s="22" t="n">
        <v>36.18</v>
      </c>
      <c r="G799" s="22" t="n">
        <v>41.33333</v>
      </c>
      <c r="H799" s="23">
        <f>IF(AND(ISNUMBER(F799),ISNUMBER(G799),F799&gt;0),G799/F799-1,"")</f>
        <v/>
      </c>
      <c r="I799" s="22" t="n">
        <v>38</v>
      </c>
      <c r="J799" s="23">
        <f>IF(AND(ISNUMBER(F799),ISNUMBER(I799),F799&gt;0),I799/F799-1,"")</f>
        <v/>
      </c>
      <c r="K799" s="22" t="n">
        <v>44</v>
      </c>
      <c r="L799" s="23">
        <f>IF(AND(ISNUMBER(F799),ISNUMBER(K799),F799&gt;0),K799/F799-1,"")</f>
        <v/>
      </c>
      <c r="M799" s="24" t="n">
        <v>12</v>
      </c>
      <c r="N799" s="25" t="n">
        <v>1.55</v>
      </c>
      <c r="O799" s="26">
        <f>IF(AND(ISNUMBER(F799),ISNUMBER(N799),F799&gt;0),N799/F799,"")</f>
        <v/>
      </c>
      <c r="P799" s="27" t="n">
        <v>46295</v>
      </c>
      <c r="Q799" s="27" t="n">
        <v>46322</v>
      </c>
      <c r="R799" s="25" t="n">
        <v>1.3</v>
      </c>
      <c r="S799" s="28">
        <f>IF(AND(ISNUMBER(F799),ISNUMBER(R799),R799&gt;0),F799/R799,"")</f>
        <v/>
      </c>
      <c r="T799" s="27" t="n">
        <v>46323</v>
      </c>
    </row>
    <row r="800">
      <c r="A800" s="11" t="inlineStr">
        <is>
          <t>CELH</t>
        </is>
      </c>
      <c r="B800" s="11" t="inlineStr">
        <is>
          <t>Celsius Holdings, Inc.</t>
        </is>
      </c>
      <c r="C800" s="11" t="inlineStr">
        <is>
          <t>Beverages - Non-Alcoholic</t>
        </is>
      </c>
      <c r="D800" s="11" t="inlineStr">
        <is>
          <t>United States</t>
        </is>
      </c>
      <c r="E800" s="12" t="n">
        <v>7.08</v>
      </c>
      <c r="F800" s="13" t="n">
        <v>28</v>
      </c>
      <c r="G800" s="13" t="n">
        <v>41.09524</v>
      </c>
      <c r="H800" s="14">
        <f>IF(AND(ISNUMBER(F800),ISNUMBER(G800),F800&gt;0),G800/F800-1,"")</f>
        <v/>
      </c>
      <c r="I800" s="13" t="n">
        <v>26</v>
      </c>
      <c r="J800" s="14">
        <f>IF(AND(ISNUMBER(F800),ISNUMBER(I800),F800&gt;0),I800/F800-1,"")</f>
        <v/>
      </c>
      <c r="K800" s="13" t="n">
        <v>64</v>
      </c>
      <c r="L800" s="14">
        <f>IF(AND(ISNUMBER(F800),ISNUMBER(K800),F800&gt;0),K800/F800-1,"")</f>
        <v/>
      </c>
      <c r="M800" s="15" t="n">
        <v>21</v>
      </c>
      <c r="N800" s="16" t="n"/>
      <c r="O800" s="17">
        <f>IF(AND(ISNUMBER(F800),ISNUMBER(N800),F800&gt;0),N800/F800,"")</f>
        <v/>
      </c>
      <c r="P800" s="18" t="n"/>
      <c r="Q800" s="18" t="n">
        <v>46335</v>
      </c>
      <c r="R800" s="16" t="n">
        <v>0.23</v>
      </c>
      <c r="S800" s="19">
        <f>IF(AND(ISNUMBER(F800),ISNUMBER(R800),R800&gt;0),F800/R800,"")</f>
        <v/>
      </c>
      <c r="T800" s="18" t="n">
        <v>46323</v>
      </c>
    </row>
    <row r="801">
      <c r="A801" s="20" t="inlineStr">
        <is>
          <t>POOL</t>
        </is>
      </c>
      <c r="B801" s="20" t="inlineStr">
        <is>
          <t>Pool Corporation</t>
        </is>
      </c>
      <c r="C801" s="20" t="inlineStr">
        <is>
          <t>Industrial Distribution</t>
        </is>
      </c>
      <c r="D801" s="20" t="inlineStr">
        <is>
          <t>United States</t>
        </is>
      </c>
      <c r="E801" s="21" t="n">
        <v>7.08</v>
      </c>
      <c r="F801" s="22" t="n">
        <v>194.9</v>
      </c>
      <c r="G801" s="22" t="n">
        <v>209.33333</v>
      </c>
      <c r="H801" s="23">
        <f>IF(AND(ISNUMBER(F801),ISNUMBER(G801),F801&gt;0),G801/F801-1,"")</f>
        <v/>
      </c>
      <c r="I801" s="22" t="n">
        <v>175</v>
      </c>
      <c r="J801" s="23">
        <f>IF(AND(ISNUMBER(F801),ISNUMBER(I801),F801&gt;0),I801/F801-1,"")</f>
        <v/>
      </c>
      <c r="K801" s="22" t="n">
        <v>260</v>
      </c>
      <c r="L801" s="23">
        <f>IF(AND(ISNUMBER(F801),ISNUMBER(K801),F801&gt;0),K801/F801-1,"")</f>
        <v/>
      </c>
      <c r="M801" s="24" t="n">
        <v>12</v>
      </c>
      <c r="N801" s="25" t="n">
        <v>5.2</v>
      </c>
      <c r="O801" s="26">
        <f>IF(AND(ISNUMBER(F801),ISNUMBER(N801),F801&gt;0),N801/F801,"")</f>
        <v/>
      </c>
      <c r="P801" s="27" t="n">
        <v>46247</v>
      </c>
      <c r="Q801" s="27" t="n">
        <v>46317</v>
      </c>
      <c r="R801" s="25" t="n">
        <v>10.9</v>
      </c>
      <c r="S801" s="28">
        <f>IF(AND(ISNUMBER(F801),ISNUMBER(R801),R801&gt;0),F801/R801,"")</f>
        <v/>
      </c>
      <c r="T801" s="27" t="n">
        <v>46323</v>
      </c>
    </row>
    <row r="802">
      <c r="A802" s="11" t="inlineStr">
        <is>
          <t>FSS</t>
        </is>
      </c>
      <c r="B802" s="11" t="inlineStr">
        <is>
          <t>Federal Signal Corporation</t>
        </is>
      </c>
      <c r="C802" s="11" t="inlineStr">
        <is>
          <t>Farm &amp; Heavy Construction Machinery</t>
        </is>
      </c>
      <c r="D802" s="11" t="inlineStr">
        <is>
          <t>United States</t>
        </is>
      </c>
      <c r="E802" s="12" t="n">
        <v>7.07</v>
      </c>
      <c r="F802" s="13" t="n">
        <v>115.81</v>
      </c>
      <c r="G802" s="13" t="n">
        <v>144.2857</v>
      </c>
      <c r="H802" s="14">
        <f>IF(AND(ISNUMBER(F802),ISNUMBER(G802),F802&gt;0),G802/F802-1,"")</f>
        <v/>
      </c>
      <c r="I802" s="13" t="n">
        <v>132</v>
      </c>
      <c r="J802" s="14">
        <f>IF(AND(ISNUMBER(F802),ISNUMBER(I802),F802&gt;0),I802/F802-1,"")</f>
        <v/>
      </c>
      <c r="K802" s="13" t="n">
        <v>150</v>
      </c>
      <c r="L802" s="14">
        <f>IF(AND(ISNUMBER(F802),ISNUMBER(K802),F802&gt;0),K802/F802-1,"")</f>
        <v/>
      </c>
      <c r="M802" s="15" t="n">
        <v>7</v>
      </c>
      <c r="N802" s="16" t="n">
        <v>0.6</v>
      </c>
      <c r="O802" s="17">
        <f>IF(AND(ISNUMBER(F802),ISNUMBER(N802),F802&gt;0),N802/F802,"")</f>
        <v/>
      </c>
      <c r="P802" s="18" t="n">
        <v>46248</v>
      </c>
      <c r="Q802" s="18" t="n">
        <v>46324</v>
      </c>
      <c r="R802" s="16" t="n">
        <v>4.64</v>
      </c>
      <c r="S802" s="19">
        <f>IF(AND(ISNUMBER(F802),ISNUMBER(R802),R802&gt;0),F802/R802,"")</f>
        <v/>
      </c>
      <c r="T802" s="18" t="n">
        <v>46323</v>
      </c>
    </row>
    <row r="803">
      <c r="A803" s="20" t="inlineStr">
        <is>
          <t>NAVN</t>
        </is>
      </c>
      <c r="B803" s="20" t="inlineStr">
        <is>
          <t>Navan, Inc.</t>
        </is>
      </c>
      <c r="C803" s="20" t="inlineStr">
        <is>
          <t>Software - Application</t>
        </is>
      </c>
      <c r="D803" s="20" t="inlineStr">
        <is>
          <t>United States</t>
        </is>
      </c>
      <c r="E803" s="21" t="n">
        <v>7.05</v>
      </c>
      <c r="F803" s="22" t="n">
        <v>27.08</v>
      </c>
      <c r="G803" s="22" t="n">
        <v>30.8</v>
      </c>
      <c r="H803" s="23">
        <f>IF(AND(ISNUMBER(F803),ISNUMBER(G803),F803&gt;0),G803/F803-1,"")</f>
        <v/>
      </c>
      <c r="I803" s="22" t="n">
        <v>26</v>
      </c>
      <c r="J803" s="23">
        <f>IF(AND(ISNUMBER(F803),ISNUMBER(I803),F803&gt;0),I803/F803-1,"")</f>
        <v/>
      </c>
      <c r="K803" s="22" t="n">
        <v>38</v>
      </c>
      <c r="L803" s="23">
        <f>IF(AND(ISNUMBER(F803),ISNUMBER(K803),F803&gt;0),K803/F803-1,"")</f>
        <v/>
      </c>
      <c r="M803" s="24" t="n">
        <v>15</v>
      </c>
      <c r="N803" s="25" t="n"/>
      <c r="O803" s="26">
        <f>IF(AND(ISNUMBER(F803),ISNUMBER(N803),F803&gt;0),N803/F803,"")</f>
        <v/>
      </c>
      <c r="P803" s="27" t="n"/>
      <c r="Q803" s="27" t="n">
        <v>46274</v>
      </c>
      <c r="R803" s="25" t="n">
        <v>-1.87</v>
      </c>
      <c r="S803" s="28">
        <f>IF(AND(ISNUMBER(F803),ISNUMBER(R803),R803&gt;0),F803/R803,"")</f>
        <v/>
      </c>
      <c r="T803" s="27" t="n">
        <v>46323</v>
      </c>
    </row>
    <row r="804">
      <c r="A804" s="11" t="inlineStr">
        <is>
          <t>ARE</t>
        </is>
      </c>
      <c r="B804" s="11" t="inlineStr">
        <is>
          <t>Alexandria Real Estate Equities</t>
        </is>
      </c>
      <c r="C804" s="11" t="inlineStr">
        <is>
          <t>Reit - Office</t>
        </is>
      </c>
      <c r="D804" s="11" t="inlineStr">
        <is>
          <t>United States</t>
        </is>
      </c>
      <c r="E804" s="12" t="n">
        <v>7.03</v>
      </c>
      <c r="F804" s="13" t="n">
        <v>40.86</v>
      </c>
      <c r="G804" s="13" t="n">
        <v>51.92857</v>
      </c>
      <c r="H804" s="14">
        <f>IF(AND(ISNUMBER(F804),ISNUMBER(G804),F804&gt;0),G804/F804-1,"")</f>
        <v/>
      </c>
      <c r="I804" s="13" t="n">
        <v>40</v>
      </c>
      <c r="J804" s="14">
        <f>IF(AND(ISNUMBER(F804),ISNUMBER(I804),F804&gt;0),I804/F804-1,"")</f>
        <v/>
      </c>
      <c r="K804" s="13" t="n">
        <v>60</v>
      </c>
      <c r="L804" s="14">
        <f>IF(AND(ISNUMBER(F804),ISNUMBER(K804),F804&gt;0),K804/F804-1,"")</f>
        <v/>
      </c>
      <c r="M804" s="15" t="n">
        <v>14</v>
      </c>
      <c r="N804" s="16" t="n">
        <v>2.88</v>
      </c>
      <c r="O804" s="17">
        <f>IF(AND(ISNUMBER(F804),ISNUMBER(N804),F804&gt;0),N804/F804,"")</f>
        <v/>
      </c>
      <c r="P804" s="18" t="n">
        <v>46295</v>
      </c>
      <c r="Q804" s="18" t="n">
        <v>46412</v>
      </c>
      <c r="R804" s="16" t="n">
        <v>-6.05</v>
      </c>
      <c r="S804" s="19">
        <f>IF(AND(ISNUMBER(F804),ISNUMBER(R804),R804&gt;0),F804/R804,"")</f>
        <v/>
      </c>
      <c r="T804" s="18" t="n">
        <v>46323</v>
      </c>
    </row>
    <row r="805">
      <c r="A805" s="20" t="inlineStr">
        <is>
          <t>ANF</t>
        </is>
      </c>
      <c r="B805" s="20" t="inlineStr">
        <is>
          <t>Abercrombie &amp; Fitch Company</t>
        </is>
      </c>
      <c r="C805" s="20" t="inlineStr">
        <is>
          <t>Apparel Retail</t>
        </is>
      </c>
      <c r="D805" s="20" t="inlineStr">
        <is>
          <t>United States</t>
        </is>
      </c>
      <c r="E805" s="21" t="n">
        <v>7.02</v>
      </c>
      <c r="F805" s="22" t="n">
        <v>165.38</v>
      </c>
      <c r="G805" s="22" t="n">
        <v>165.81818</v>
      </c>
      <c r="H805" s="23">
        <f>IF(AND(ISNUMBER(F805),ISNUMBER(G805),F805&gt;0),G805/F805-1,"")</f>
        <v/>
      </c>
      <c r="I805" s="22" t="n">
        <v>134</v>
      </c>
      <c r="J805" s="23">
        <f>IF(AND(ISNUMBER(F805),ISNUMBER(I805),F805&gt;0),I805/F805-1,"")</f>
        <v/>
      </c>
      <c r="K805" s="22" t="n">
        <v>185</v>
      </c>
      <c r="L805" s="23">
        <f>IF(AND(ISNUMBER(F805),ISNUMBER(K805),F805&gt;0),K805/F805-1,"")</f>
        <v/>
      </c>
      <c r="M805" s="24" t="n">
        <v>11</v>
      </c>
      <c r="N805" s="25" t="n"/>
      <c r="O805" s="26">
        <f>IF(AND(ISNUMBER(F805),ISNUMBER(N805),F805&gt;0),N805/F805,"")</f>
        <v/>
      </c>
      <c r="P805" s="27" t="n"/>
      <c r="Q805" s="27" t="n">
        <v>46351</v>
      </c>
      <c r="R805" s="25" t="n">
        <v>11.58</v>
      </c>
      <c r="S805" s="28">
        <f>IF(AND(ISNUMBER(F805),ISNUMBER(R805),R805&gt;0),F805/R805,"")</f>
        <v/>
      </c>
      <c r="T805" s="27" t="n">
        <v>46323</v>
      </c>
    </row>
    <row r="806">
      <c r="A806" s="11" t="inlineStr">
        <is>
          <t>GLBE</t>
        </is>
      </c>
      <c r="B806" s="11" t="inlineStr">
        <is>
          <t>Global-E Online Ltd.</t>
        </is>
      </c>
      <c r="C806" s="11" t="inlineStr">
        <is>
          <t>Internet Retail</t>
        </is>
      </c>
      <c r="D806" s="11" t="inlineStr">
        <is>
          <t>Israel</t>
        </is>
      </c>
      <c r="E806" s="12" t="n">
        <v>6.98</v>
      </c>
      <c r="F806" s="13" t="n">
        <v>41.55</v>
      </c>
      <c r="G806" s="13" t="n">
        <v>51.15385</v>
      </c>
      <c r="H806" s="14">
        <f>IF(AND(ISNUMBER(F806),ISNUMBER(G806),F806&gt;0),G806/F806-1,"")</f>
        <v/>
      </c>
      <c r="I806" s="13" t="n">
        <v>45</v>
      </c>
      <c r="J806" s="14">
        <f>IF(AND(ISNUMBER(F806),ISNUMBER(I806),F806&gt;0),I806/F806-1,"")</f>
        <v/>
      </c>
      <c r="K806" s="13" t="n">
        <v>64</v>
      </c>
      <c r="L806" s="14">
        <f>IF(AND(ISNUMBER(F806),ISNUMBER(K806),F806&gt;0),K806/F806-1,"")</f>
        <v/>
      </c>
      <c r="M806" s="15" t="n">
        <v>13</v>
      </c>
      <c r="N806" s="16" t="n"/>
      <c r="O806" s="17">
        <f>IF(AND(ISNUMBER(F806),ISNUMBER(N806),F806&gt;0),N806/F806,"")</f>
        <v/>
      </c>
      <c r="P806" s="18" t="n"/>
      <c r="Q806" s="18" t="n">
        <v>46344</v>
      </c>
      <c r="R806" s="16" t="n">
        <v>0.88</v>
      </c>
      <c r="S806" s="19">
        <f>IF(AND(ISNUMBER(F806),ISNUMBER(R806),R806&gt;0),F806/R806,"")</f>
        <v/>
      </c>
      <c r="T806" s="18" t="n">
        <v>46323</v>
      </c>
    </row>
    <row r="807">
      <c r="A807" s="20" t="inlineStr">
        <is>
          <t>PRMB</t>
        </is>
      </c>
      <c r="B807" s="20" t="inlineStr">
        <is>
          <t>Primo Brands Corporation</t>
        </is>
      </c>
      <c r="C807" s="20" t="inlineStr">
        <is>
          <t>Beverages - Non-Alcoholic</t>
        </is>
      </c>
      <c r="D807" s="20" t="inlineStr">
        <is>
          <t>United States</t>
        </is>
      </c>
      <c r="E807" s="21" t="n">
        <v>6.95</v>
      </c>
      <c r="F807" s="22" t="n">
        <v>19.21</v>
      </c>
      <c r="G807" s="22" t="n">
        <v>28.90909</v>
      </c>
      <c r="H807" s="23">
        <f>IF(AND(ISNUMBER(F807),ISNUMBER(G807),F807&gt;0),G807/F807-1,"")</f>
        <v/>
      </c>
      <c r="I807" s="22" t="n">
        <v>21</v>
      </c>
      <c r="J807" s="23">
        <f>IF(AND(ISNUMBER(F807),ISNUMBER(I807),F807&gt;0),I807/F807-1,"")</f>
        <v/>
      </c>
      <c r="K807" s="22" t="n">
        <v>35</v>
      </c>
      <c r="L807" s="23">
        <f>IF(AND(ISNUMBER(F807),ISNUMBER(K807),F807&gt;0),K807/F807-1,"")</f>
        <v/>
      </c>
      <c r="M807" s="24" t="n">
        <v>11</v>
      </c>
      <c r="N807" s="25" t="n">
        <v>0.48</v>
      </c>
      <c r="O807" s="26">
        <f>IF(AND(ISNUMBER(F807),ISNUMBER(N807),F807&gt;0),N807/F807,"")</f>
        <v/>
      </c>
      <c r="P807" s="27" t="n">
        <v>46258</v>
      </c>
      <c r="Q807" s="27" t="n">
        <v>46331</v>
      </c>
      <c r="R807" s="25" t="n">
        <v>0.3</v>
      </c>
      <c r="S807" s="28">
        <f>IF(AND(ISNUMBER(F807),ISNUMBER(R807),R807&gt;0),F807/R807,"")</f>
        <v/>
      </c>
      <c r="T807" s="27" t="n">
        <v>46323</v>
      </c>
    </row>
    <row r="808">
      <c r="A808" s="11" t="inlineStr">
        <is>
          <t>MSA</t>
        </is>
      </c>
      <c r="B808" s="11" t="inlineStr">
        <is>
          <t>MSA Safety Incorporated</t>
        </is>
      </c>
      <c r="C808" s="11" t="inlineStr">
        <is>
          <t>Security &amp; Protection Services</t>
        </is>
      </c>
      <c r="D808" s="11" t="inlineStr">
        <is>
          <t>United States</t>
        </is>
      </c>
      <c r="E808" s="12" t="n">
        <v>6.91</v>
      </c>
      <c r="F808" s="13" t="n">
        <v>179.17</v>
      </c>
      <c r="G808" s="13" t="n">
        <v>208.16667</v>
      </c>
      <c r="H808" s="14">
        <f>IF(AND(ISNUMBER(F808),ISNUMBER(G808),F808&gt;0),G808/F808-1,"")</f>
        <v/>
      </c>
      <c r="I808" s="13" t="n">
        <v>190</v>
      </c>
      <c r="J808" s="14">
        <f>IF(AND(ISNUMBER(F808),ISNUMBER(I808),F808&gt;0),I808/F808-1,"")</f>
        <v/>
      </c>
      <c r="K808" s="13" t="n">
        <v>223</v>
      </c>
      <c r="L808" s="14">
        <f>IF(AND(ISNUMBER(F808),ISNUMBER(K808),F808&gt;0),K808/F808-1,"")</f>
        <v/>
      </c>
      <c r="M808" s="15" t="n">
        <v>6</v>
      </c>
      <c r="N808" s="16" t="n">
        <v>2.16</v>
      </c>
      <c r="O808" s="17">
        <f>IF(AND(ISNUMBER(F808),ISNUMBER(N808),F808&gt;0),N808/F808,"")</f>
        <v/>
      </c>
      <c r="P808" s="18" t="n">
        <v>46248</v>
      </c>
      <c r="Q808" s="18" t="n">
        <v>46328</v>
      </c>
      <c r="R808" s="16" t="n">
        <v>8.09</v>
      </c>
      <c r="S808" s="19">
        <f>IF(AND(ISNUMBER(F808),ISNUMBER(R808),R808&gt;0),F808/R808,"")</f>
        <v/>
      </c>
      <c r="T808" s="18" t="n">
        <v>46323</v>
      </c>
    </row>
    <row r="809">
      <c r="A809" s="20" t="inlineStr">
        <is>
          <t>EPAM</t>
        </is>
      </c>
      <c r="B809" s="20" t="inlineStr">
        <is>
          <t>EPAM Systems, Inc.</t>
        </is>
      </c>
      <c r="C809" s="20" t="inlineStr">
        <is>
          <t>Information Technology Services</t>
        </is>
      </c>
      <c r="D809" s="20" t="inlineStr">
        <is>
          <t>United States</t>
        </is>
      </c>
      <c r="E809" s="21" t="n">
        <v>6.88</v>
      </c>
      <c r="F809" s="22" t="n">
        <v>133.39</v>
      </c>
      <c r="G809" s="22" t="n">
        <v>127.52941</v>
      </c>
      <c r="H809" s="23">
        <f>IF(AND(ISNUMBER(F809),ISNUMBER(G809),F809&gt;0),G809/F809-1,"")</f>
        <v/>
      </c>
      <c r="I809" s="22" t="n">
        <v>97</v>
      </c>
      <c r="J809" s="23">
        <f>IF(AND(ISNUMBER(F809),ISNUMBER(I809),F809&gt;0),I809/F809-1,"")</f>
        <v/>
      </c>
      <c r="K809" s="22" t="n">
        <v>200</v>
      </c>
      <c r="L809" s="23">
        <f>IF(AND(ISNUMBER(F809),ISNUMBER(K809),F809&gt;0),K809/F809-1,"")</f>
        <v/>
      </c>
      <c r="M809" s="24" t="n">
        <v>17</v>
      </c>
      <c r="N809" s="25" t="n"/>
      <c r="O809" s="26">
        <f>IF(AND(ISNUMBER(F809),ISNUMBER(N809),F809&gt;0),N809/F809,"")</f>
        <v/>
      </c>
      <c r="P809" s="27" t="n"/>
      <c r="Q809" s="27" t="n">
        <v>46331</v>
      </c>
      <c r="R809" s="25" t="n">
        <v>7.37</v>
      </c>
      <c r="S809" s="28">
        <f>IF(AND(ISNUMBER(F809),ISNUMBER(R809),R809&gt;0),F809/R809,"")</f>
        <v/>
      </c>
      <c r="T809" s="27" t="n">
        <v>46323</v>
      </c>
    </row>
    <row r="810">
      <c r="A810" s="11" t="inlineStr">
        <is>
          <t>VAL</t>
        </is>
      </c>
      <c r="B810" s="11" t="inlineStr">
        <is>
          <t>Valaris Limited</t>
        </is>
      </c>
      <c r="C810" s="11" t="inlineStr">
        <is>
          <t>Oil &amp; Gas Drilling</t>
        </is>
      </c>
      <c r="D810" s="11" t="inlineStr">
        <is>
          <t>United States</t>
        </is>
      </c>
      <c r="E810" s="12" t="n">
        <v>6.82</v>
      </c>
      <c r="F810" s="13" t="n">
        <v>98.20999999999999</v>
      </c>
      <c r="G810" s="13" t="n">
        <v>69</v>
      </c>
      <c r="H810" s="14">
        <f>IF(AND(ISNUMBER(F810),ISNUMBER(G810),F810&gt;0),G810/F810-1,"")</f>
        <v/>
      </c>
      <c r="I810" s="13" t="n">
        <v>45</v>
      </c>
      <c r="J810" s="14">
        <f>IF(AND(ISNUMBER(F810),ISNUMBER(I810),F810&gt;0),I810/F810-1,"")</f>
        <v/>
      </c>
      <c r="K810" s="13" t="n">
        <v>104</v>
      </c>
      <c r="L810" s="14">
        <f>IF(AND(ISNUMBER(F810),ISNUMBER(K810),F810&gt;0),K810/F810-1,"")</f>
        <v/>
      </c>
      <c r="M810" s="15" t="n">
        <v>7</v>
      </c>
      <c r="N810" s="16" t="n"/>
      <c r="O810" s="17">
        <f>IF(AND(ISNUMBER(F810),ISNUMBER(N810),F810&gt;0),N810/F810,"")</f>
        <v/>
      </c>
      <c r="P810" s="18" t="n"/>
      <c r="Q810" s="18" t="n">
        <v>46328</v>
      </c>
      <c r="R810" s="16" t="n">
        <v>13.26</v>
      </c>
      <c r="S810" s="19">
        <f>IF(AND(ISNUMBER(F810),ISNUMBER(R810),R810&gt;0),F810/R810,"")</f>
        <v/>
      </c>
      <c r="T810" s="18" t="n">
        <v>46323</v>
      </c>
    </row>
    <row r="811">
      <c r="A811" s="20" t="inlineStr">
        <is>
          <t>SBSW</t>
        </is>
      </c>
      <c r="B811" s="20" t="inlineStr">
        <is>
          <t>D/B/A Sibanye-Stillwater Limite</t>
        </is>
      </c>
      <c r="C811" s="20" t="inlineStr">
        <is>
          <t>Other Precious Metals &amp; Mining</t>
        </is>
      </c>
      <c r="D811" s="20" t="inlineStr">
        <is>
          <t>South Africa</t>
        </is>
      </c>
      <c r="E811" s="21" t="n">
        <v>6.81</v>
      </c>
      <c r="F811" s="22" t="n">
        <v>9.42</v>
      </c>
      <c r="G811" s="22" t="n">
        <v>13.256973</v>
      </c>
      <c r="H811" s="23">
        <f>IF(AND(ISNUMBER(F811),ISNUMBER(G811),F811&gt;0),G811/F811-1,"")</f>
        <v/>
      </c>
      <c r="I811" s="22" t="n">
        <v>10.252187</v>
      </c>
      <c r="J811" s="23">
        <f>IF(AND(ISNUMBER(F811),ISNUMBER(I811),F811&gt;0),I811/F811-1,"")</f>
        <v/>
      </c>
      <c r="K811" s="22" t="n">
        <v>15.013302</v>
      </c>
      <c r="L811" s="23">
        <f>IF(AND(ISNUMBER(F811),ISNUMBER(K811),F811&gt;0),K811/F811-1,"")</f>
        <v/>
      </c>
      <c r="M811" s="24" t="n">
        <v>5</v>
      </c>
      <c r="N811" s="25" t="n">
        <v>0.8100000000000001</v>
      </c>
      <c r="O811" s="26">
        <f>IF(AND(ISNUMBER(F811),ISNUMBER(N811),F811&gt;0),N811/F811,"")</f>
        <v/>
      </c>
      <c r="P811" s="27" t="n">
        <v>46283</v>
      </c>
      <c r="Q811" s="27" t="n">
        <v>46266</v>
      </c>
      <c r="R811" s="25" t="n">
        <v>1.19</v>
      </c>
      <c r="S811" s="28">
        <f>IF(AND(ISNUMBER(F811),ISNUMBER(R811),R811&gt;0),F811/R811,"")</f>
        <v/>
      </c>
      <c r="T811" s="27" t="n">
        <v>46323</v>
      </c>
    </row>
    <row r="812">
      <c r="A812" s="11" t="inlineStr">
        <is>
          <t>CAG</t>
        </is>
      </c>
      <c r="B812" s="11" t="inlineStr">
        <is>
          <t>ConAgra Brands, Inc.</t>
        </is>
      </c>
      <c r="C812" s="11" t="inlineStr">
        <is>
          <t>Packaged Foods</t>
        </is>
      </c>
      <c r="D812" s="11" t="inlineStr">
        <is>
          <t>United States</t>
        </is>
      </c>
      <c r="E812" s="12" t="n">
        <v>6.8</v>
      </c>
      <c r="F812" s="13" t="n">
        <v>14.24</v>
      </c>
      <c r="G812" s="13" t="n">
        <v>13.74</v>
      </c>
      <c r="H812" s="14">
        <f>IF(AND(ISNUMBER(F812),ISNUMBER(G812),F812&gt;0),G812/F812-1,"")</f>
        <v/>
      </c>
      <c r="I812" s="13" t="n">
        <v>11</v>
      </c>
      <c r="J812" s="14">
        <f>IF(AND(ISNUMBER(F812),ISNUMBER(I812),F812&gt;0),I812/F812-1,"")</f>
        <v/>
      </c>
      <c r="K812" s="13" t="n">
        <v>16</v>
      </c>
      <c r="L812" s="14">
        <f>IF(AND(ISNUMBER(F812),ISNUMBER(K812),F812&gt;0),K812/F812-1,"")</f>
        <v/>
      </c>
      <c r="M812" s="15" t="n">
        <v>15</v>
      </c>
      <c r="N812" s="16" t="n">
        <v>0.7</v>
      </c>
      <c r="O812" s="17">
        <f>IF(AND(ISNUMBER(F812),ISNUMBER(N812),F812&gt;0),N812/F812,"")</f>
        <v/>
      </c>
      <c r="P812" s="18" t="n">
        <v>46331</v>
      </c>
      <c r="Q812" s="18" t="n">
        <v>46374</v>
      </c>
      <c r="R812" s="16" t="n">
        <v>-3.98</v>
      </c>
      <c r="S812" s="19">
        <f>IF(AND(ISNUMBER(F812),ISNUMBER(R812),R812&gt;0),F812/R812,"")</f>
        <v/>
      </c>
      <c r="T812" s="18" t="n">
        <v>46323</v>
      </c>
    </row>
    <row r="813">
      <c r="A813" s="20" t="inlineStr">
        <is>
          <t>VFC</t>
        </is>
      </c>
      <c r="B813" s="20" t="inlineStr">
        <is>
          <t>V.F. Corporation</t>
        </is>
      </c>
      <c r="C813" s="20" t="inlineStr">
        <is>
          <t>Apparel Manufacturing</t>
        </is>
      </c>
      <c r="D813" s="20" t="inlineStr">
        <is>
          <t>United States</t>
        </is>
      </c>
      <c r="E813" s="21" t="n">
        <v>6.7</v>
      </c>
      <c r="F813" s="22" t="n">
        <v>17.03</v>
      </c>
      <c r="G813" s="22" t="n">
        <v>19.14545</v>
      </c>
      <c r="H813" s="23">
        <f>IF(AND(ISNUMBER(F813),ISNUMBER(G813),F813&gt;0),G813/F813-1,"")</f>
        <v/>
      </c>
      <c r="I813" s="22" t="n">
        <v>13</v>
      </c>
      <c r="J813" s="23">
        <f>IF(AND(ISNUMBER(F813),ISNUMBER(I813),F813&gt;0),I813/F813-1,"")</f>
        <v/>
      </c>
      <c r="K813" s="22" t="n">
        <v>40</v>
      </c>
      <c r="L813" s="23">
        <f>IF(AND(ISNUMBER(F813),ISNUMBER(K813),F813&gt;0),K813/F813-1,"")</f>
        <v/>
      </c>
      <c r="M813" s="24" t="n">
        <v>22</v>
      </c>
      <c r="N813" s="25" t="n">
        <v>0.36</v>
      </c>
      <c r="O813" s="26">
        <f>IF(AND(ISNUMBER(F813),ISNUMBER(N813),F813&gt;0),N813/F813,"")</f>
        <v/>
      </c>
      <c r="P813" s="27" t="n">
        <v>46275</v>
      </c>
      <c r="Q813" s="27" t="n">
        <v>46323</v>
      </c>
      <c r="R813" s="25" t="n">
        <v>0.68</v>
      </c>
      <c r="S813" s="28">
        <f>IF(AND(ISNUMBER(F813),ISNUMBER(R813),R813&gt;0),F813/R813,"")</f>
        <v/>
      </c>
      <c r="T813" s="27" t="n">
        <v>46323</v>
      </c>
    </row>
    <row r="814">
      <c r="A814" s="11" t="inlineStr">
        <is>
          <t>ELF</t>
        </is>
      </c>
      <c r="B814" s="11" t="inlineStr">
        <is>
          <t>e.l.f. Beauty, Inc.</t>
        </is>
      </c>
      <c r="C814" s="11" t="inlineStr">
        <is>
          <t>Household &amp; Personal Products</t>
        </is>
      </c>
      <c r="D814" s="11" t="inlineStr">
        <is>
          <t>United States</t>
        </is>
      </c>
      <c r="E814" s="12" t="n">
        <v>6.68</v>
      </c>
      <c r="F814" s="13" t="n">
        <v>113.17</v>
      </c>
      <c r="G814" s="13" t="n">
        <v>114.9375</v>
      </c>
      <c r="H814" s="14">
        <f>IF(AND(ISNUMBER(F814),ISNUMBER(G814),F814&gt;0),G814/F814-1,"")</f>
        <v/>
      </c>
      <c r="I814" s="13" t="n">
        <v>65</v>
      </c>
      <c r="J814" s="14">
        <f>IF(AND(ISNUMBER(F814),ISNUMBER(I814),F814&gt;0),I814/F814-1,"")</f>
        <v/>
      </c>
      <c r="K814" s="13" t="n">
        <v>137</v>
      </c>
      <c r="L814" s="14">
        <f>IF(AND(ISNUMBER(F814),ISNUMBER(K814),F814&gt;0),K814/F814-1,"")</f>
        <v/>
      </c>
      <c r="M814" s="15" t="n">
        <v>16</v>
      </c>
      <c r="N814" s="16" t="n"/>
      <c r="O814" s="17">
        <f>IF(AND(ISNUMBER(F814),ISNUMBER(N814),F814&gt;0),N814/F814,"")</f>
        <v/>
      </c>
      <c r="P814" s="18" t="n"/>
      <c r="Q814" s="18" t="n">
        <v>46330</v>
      </c>
      <c r="R814" s="16" t="n">
        <v>0.98</v>
      </c>
      <c r="S814" s="19">
        <f>IF(AND(ISNUMBER(F814),ISNUMBER(R814),R814&gt;0),F814/R814,"")</f>
        <v/>
      </c>
      <c r="T814" s="18" t="n">
        <v>46323</v>
      </c>
    </row>
    <row r="815">
      <c r="A815" s="20" t="inlineStr">
        <is>
          <t>ACI</t>
        </is>
      </c>
      <c r="B815" s="20" t="inlineStr">
        <is>
          <t>Albertsons Companies, Inc.</t>
        </is>
      </c>
      <c r="C815" s="20" t="inlineStr">
        <is>
          <t>Grocery Stores</t>
        </is>
      </c>
      <c r="D815" s="20" t="inlineStr">
        <is>
          <t>United States</t>
        </is>
      </c>
      <c r="E815" s="21" t="n">
        <v>6.66</v>
      </c>
      <c r="F815" s="22" t="n">
        <v>13.72</v>
      </c>
      <c r="G815" s="22" t="n">
        <v>14.0625</v>
      </c>
      <c r="H815" s="23">
        <f>IF(AND(ISNUMBER(F815),ISNUMBER(G815),F815&gt;0),G815/F815-1,"")</f>
        <v/>
      </c>
      <c r="I815" s="22" t="n">
        <v>10</v>
      </c>
      <c r="J815" s="23">
        <f>IF(AND(ISNUMBER(F815),ISNUMBER(I815),F815&gt;0),I815/F815-1,"")</f>
        <v/>
      </c>
      <c r="K815" s="22" t="n">
        <v>24</v>
      </c>
      <c r="L815" s="23">
        <f>IF(AND(ISNUMBER(F815),ISNUMBER(K815),F815&gt;0),K815/F815-1,"")</f>
        <v/>
      </c>
      <c r="M815" s="24" t="n">
        <v>16</v>
      </c>
      <c r="N815" s="25" t="n">
        <v>0.68</v>
      </c>
      <c r="O815" s="26">
        <f>IF(AND(ISNUMBER(F815),ISNUMBER(N815),F815&gt;0),N815/F815,"")</f>
        <v/>
      </c>
      <c r="P815" s="27" t="n">
        <v>46318</v>
      </c>
      <c r="Q815" s="27" t="n">
        <v>46393</v>
      </c>
      <c r="R815" s="25" t="n">
        <v>-0.02</v>
      </c>
      <c r="S815" s="28">
        <f>IF(AND(ISNUMBER(F815),ISNUMBER(R815),R815&gt;0),F815/R815,"")</f>
        <v/>
      </c>
      <c r="T815" s="27" t="n">
        <v>46323</v>
      </c>
    </row>
    <row r="816">
      <c r="A816" s="11" t="inlineStr">
        <is>
          <t>PAGP</t>
        </is>
      </c>
      <c r="B816" s="11" t="inlineStr">
        <is>
          <t>Plains GP Holdings, L.P.</t>
        </is>
      </c>
      <c r="C816" s="11" t="inlineStr">
        <is>
          <t>Oil &amp; Gas Midstream</t>
        </is>
      </c>
      <c r="D816" s="11" t="inlineStr">
        <is>
          <t>United States</t>
        </is>
      </c>
      <c r="E816" s="12" t="n">
        <v>6.63</v>
      </c>
      <c r="F816" s="13" t="n">
        <v>28.44</v>
      </c>
      <c r="G816" s="13" t="n">
        <v>26.46154</v>
      </c>
      <c r="H816" s="14">
        <f>IF(AND(ISNUMBER(F816),ISNUMBER(G816),F816&gt;0),G816/F816-1,"")</f>
        <v/>
      </c>
      <c r="I816" s="13" t="n">
        <v>20</v>
      </c>
      <c r="J816" s="14">
        <f>IF(AND(ISNUMBER(F816),ISNUMBER(I816),F816&gt;0),I816/F816-1,"")</f>
        <v/>
      </c>
      <c r="K816" s="13" t="n">
        <v>30</v>
      </c>
      <c r="L816" s="14">
        <f>IF(AND(ISNUMBER(F816),ISNUMBER(K816),F816&gt;0),K816/F816-1,"")</f>
        <v/>
      </c>
      <c r="M816" s="15" t="n">
        <v>13</v>
      </c>
      <c r="N816" s="16" t="n">
        <v>1.67</v>
      </c>
      <c r="O816" s="17">
        <f>IF(AND(ISNUMBER(F816),ISNUMBER(N816),F816&gt;0),N816/F816,"")</f>
        <v/>
      </c>
      <c r="P816" s="18" t="n">
        <v>46325</v>
      </c>
      <c r="Q816" s="18" t="n">
        <v>46332</v>
      </c>
      <c r="R816" s="16" t="n">
        <v>0.44</v>
      </c>
      <c r="S816" s="19">
        <f>IF(AND(ISNUMBER(F816),ISNUMBER(R816),R816&gt;0),F816/R816,"")</f>
        <v/>
      </c>
      <c r="T816" s="18" t="n">
        <v>46323</v>
      </c>
    </row>
    <row r="817">
      <c r="A817" s="20" t="inlineStr">
        <is>
          <t>OTEX</t>
        </is>
      </c>
      <c r="B817" s="20" t="inlineStr">
        <is>
          <t>Open Text Corporation</t>
        </is>
      </c>
      <c r="C817" s="20" t="inlineStr">
        <is>
          <t>Software - Application</t>
        </is>
      </c>
      <c r="D817" s="20" t="inlineStr">
        <is>
          <t>Canada</t>
        </is>
      </c>
      <c r="E817" s="21" t="n">
        <v>6.61</v>
      </c>
      <c r="F817" s="22" t="n">
        <v>27.22</v>
      </c>
      <c r="G817" s="22" t="n">
        <v>27.95455</v>
      </c>
      <c r="H817" s="23">
        <f>IF(AND(ISNUMBER(F817),ISNUMBER(G817),F817&gt;0),G817/F817-1,"")</f>
        <v/>
      </c>
      <c r="I817" s="22" t="n">
        <v>25</v>
      </c>
      <c r="J817" s="23">
        <f>IF(AND(ISNUMBER(F817),ISNUMBER(I817),F817&gt;0),I817/F817-1,"")</f>
        <v/>
      </c>
      <c r="K817" s="22" t="n">
        <v>33</v>
      </c>
      <c r="L817" s="23">
        <f>IF(AND(ISNUMBER(F817),ISNUMBER(K817),F817&gt;0),K817/F817-1,"")</f>
        <v/>
      </c>
      <c r="M817" s="24" t="n">
        <v>11</v>
      </c>
      <c r="N817" s="25" t="n">
        <v>1.12</v>
      </c>
      <c r="O817" s="26">
        <f>IF(AND(ISNUMBER(F817),ISNUMBER(N817),F817&gt;0),N817/F817,"")</f>
        <v/>
      </c>
      <c r="P817" s="27" t="n">
        <v>46269</v>
      </c>
      <c r="Q817" s="27" t="n">
        <v>46331</v>
      </c>
      <c r="R817" s="25" t="n">
        <v>2.58</v>
      </c>
      <c r="S817" s="28">
        <f>IF(AND(ISNUMBER(F817),ISNUMBER(R817),R817&gt;0),F817/R817,"")</f>
        <v/>
      </c>
      <c r="T817" s="27" t="n">
        <v>46323</v>
      </c>
    </row>
    <row r="818">
      <c r="A818" s="11" t="inlineStr">
        <is>
          <t>DUOL</t>
        </is>
      </c>
      <c r="B818" s="11" t="inlineStr">
        <is>
          <t>Duolingo, Inc.</t>
        </is>
      </c>
      <c r="C818" s="11" t="inlineStr">
        <is>
          <t>Software - Application</t>
        </is>
      </c>
      <c r="D818" s="11" t="inlineStr">
        <is>
          <t>United States</t>
        </is>
      </c>
      <c r="E818" s="12" t="n">
        <v>6.58</v>
      </c>
      <c r="F818" s="13" t="n">
        <v>141.31</v>
      </c>
      <c r="G818" s="13" t="n">
        <v>136.5689</v>
      </c>
      <c r="H818" s="14">
        <f>IF(AND(ISNUMBER(F818),ISNUMBER(G818),F818&gt;0),G818/F818-1,"")</f>
        <v/>
      </c>
      <c r="I818" s="13" t="n">
        <v>80</v>
      </c>
      <c r="J818" s="14">
        <f>IF(AND(ISNUMBER(F818),ISNUMBER(I818),F818&gt;0),I818/F818-1,"")</f>
        <v/>
      </c>
      <c r="K818" s="13" t="n">
        <v>210</v>
      </c>
      <c r="L818" s="14">
        <f>IF(AND(ISNUMBER(F818),ISNUMBER(K818),F818&gt;0),K818/F818-1,"")</f>
        <v/>
      </c>
      <c r="M818" s="15" t="n">
        <v>18</v>
      </c>
      <c r="N818" s="16" t="n"/>
      <c r="O818" s="17">
        <f>IF(AND(ISNUMBER(F818),ISNUMBER(N818),F818&gt;0),N818/F818,"")</f>
        <v/>
      </c>
      <c r="P818" s="18" t="n"/>
      <c r="Q818" s="18" t="n">
        <v>46329</v>
      </c>
      <c r="R818" s="16" t="n">
        <v>8.42</v>
      </c>
      <c r="S818" s="19">
        <f>IF(AND(ISNUMBER(F818),ISNUMBER(R818),R818&gt;0),F818/R818,"")</f>
        <v/>
      </c>
      <c r="T818" s="18" t="n">
        <v>46323</v>
      </c>
    </row>
    <row r="819">
      <c r="A819" s="20" t="inlineStr">
        <is>
          <t>BTG</t>
        </is>
      </c>
      <c r="B819" s="20" t="inlineStr">
        <is>
          <t>B2Gold Corp</t>
        </is>
      </c>
      <c r="C819" s="20" t="inlineStr">
        <is>
          <t>Gold</t>
        </is>
      </c>
      <c r="D819" s="20" t="inlineStr">
        <is>
          <t>Canada</t>
        </is>
      </c>
      <c r="E819" s="21" t="n">
        <v>6.58</v>
      </c>
      <c r="F819" s="22" t="n">
        <v>4.98</v>
      </c>
      <c r="G819" s="22" t="n">
        <v>6.35</v>
      </c>
      <c r="H819" s="23">
        <f>IF(AND(ISNUMBER(F819),ISNUMBER(G819),F819&gt;0),G819/F819-1,"")</f>
        <v/>
      </c>
      <c r="I819" s="22" t="n">
        <v>3.75</v>
      </c>
      <c r="J819" s="23">
        <f>IF(AND(ISNUMBER(F819),ISNUMBER(I819),F819&gt;0),I819/F819-1,"")</f>
        <v/>
      </c>
      <c r="K819" s="22" t="n">
        <v>7.5</v>
      </c>
      <c r="L819" s="23">
        <f>IF(AND(ISNUMBER(F819),ISNUMBER(K819),F819&gt;0),K819/F819-1,"")</f>
        <v/>
      </c>
      <c r="M819" s="24" t="n">
        <v>5</v>
      </c>
      <c r="N819" s="25" t="n">
        <v>0.08</v>
      </c>
      <c r="O819" s="26">
        <f>IF(AND(ISNUMBER(F819),ISNUMBER(N819),F819&gt;0),N819/F819,"")</f>
        <v/>
      </c>
      <c r="P819" s="27" t="n">
        <v>46275</v>
      </c>
      <c r="Q819" s="27" t="n">
        <v>46330</v>
      </c>
      <c r="R819" s="25" t="n">
        <v>0.55</v>
      </c>
      <c r="S819" s="28">
        <f>IF(AND(ISNUMBER(F819),ISNUMBER(R819),R819&gt;0),F819/R819,"")</f>
        <v/>
      </c>
      <c r="T819" s="27" t="n">
        <v>46323</v>
      </c>
    </row>
    <row r="820">
      <c r="A820" s="11" t="inlineStr">
        <is>
          <t>SEI</t>
        </is>
      </c>
      <c r="B820" s="11" t="inlineStr">
        <is>
          <t xml:space="preserve">Solaris Energy Infrastructure, </t>
        </is>
      </c>
      <c r="C820" s="11" t="inlineStr">
        <is>
          <t>Oil &amp; Gas Equipment &amp; Services</t>
        </is>
      </c>
      <c r="D820" s="11" t="inlineStr">
        <is>
          <t>United States</t>
        </is>
      </c>
      <c r="E820" s="12" t="n">
        <v>6.57</v>
      </c>
      <c r="F820" s="13" t="n">
        <v>65.33</v>
      </c>
      <c r="G820" s="13" t="n">
        <v>102.98571</v>
      </c>
      <c r="H820" s="14">
        <f>IF(AND(ISNUMBER(F820),ISNUMBER(G820),F820&gt;0),G820/F820-1,"")</f>
        <v/>
      </c>
      <c r="I820" s="13" t="n">
        <v>72</v>
      </c>
      <c r="J820" s="14">
        <f>IF(AND(ISNUMBER(F820),ISNUMBER(I820),F820&gt;0),I820/F820-1,"")</f>
        <v/>
      </c>
      <c r="K820" s="13" t="n">
        <v>120</v>
      </c>
      <c r="L820" s="14">
        <f>IF(AND(ISNUMBER(F820),ISNUMBER(K820),F820&gt;0),K820/F820-1,"")</f>
        <v/>
      </c>
      <c r="M820" s="15" t="n">
        <v>14</v>
      </c>
      <c r="N820" s="16" t="n">
        <v>0.48</v>
      </c>
      <c r="O820" s="17">
        <f>IF(AND(ISNUMBER(F820),ISNUMBER(N820),F820&gt;0),N820/F820,"")</f>
        <v/>
      </c>
      <c r="P820" s="18" t="n">
        <v>46280</v>
      </c>
      <c r="Q820" s="18" t="n">
        <v>46330</v>
      </c>
      <c r="R820" s="16" t="n">
        <v>0.8</v>
      </c>
      <c r="S820" s="19">
        <f>IF(AND(ISNUMBER(F820),ISNUMBER(R820),R820&gt;0),F820/R820,"")</f>
        <v/>
      </c>
      <c r="T820" s="18" t="n">
        <v>46323</v>
      </c>
    </row>
    <row r="821">
      <c r="A821" s="20" t="inlineStr">
        <is>
          <t>G</t>
        </is>
      </c>
      <c r="B821" s="20" t="inlineStr">
        <is>
          <t>Genpact Limited</t>
        </is>
      </c>
      <c r="C821" s="20" t="inlineStr">
        <is>
          <t>Information Technology Services</t>
        </is>
      </c>
      <c r="D821" s="20" t="inlineStr">
        <is>
          <t>Bermuda</t>
        </is>
      </c>
      <c r="E821" s="21" t="n">
        <v>6.56</v>
      </c>
      <c r="F821" s="22" t="n">
        <v>39.2</v>
      </c>
      <c r="G821" s="22" t="n">
        <v>42.90909</v>
      </c>
      <c r="H821" s="23">
        <f>IF(AND(ISNUMBER(F821),ISNUMBER(G821),F821&gt;0),G821/F821-1,"")</f>
        <v/>
      </c>
      <c r="I821" s="22" t="n">
        <v>36</v>
      </c>
      <c r="J821" s="23">
        <f>IF(AND(ISNUMBER(F821),ISNUMBER(I821),F821&gt;0),I821/F821-1,"")</f>
        <v/>
      </c>
      <c r="K821" s="22" t="n">
        <v>58</v>
      </c>
      <c r="L821" s="23">
        <f>IF(AND(ISNUMBER(F821),ISNUMBER(K821),F821&gt;0),K821/F821-1,"")</f>
        <v/>
      </c>
      <c r="M821" s="24" t="n">
        <v>11</v>
      </c>
      <c r="N821" s="25" t="n">
        <v>0.75</v>
      </c>
      <c r="O821" s="26">
        <f>IF(AND(ISNUMBER(F821),ISNUMBER(N821),F821&gt;0),N821/F821,"")</f>
        <v/>
      </c>
      <c r="P821" s="27" t="n">
        <v>46366</v>
      </c>
      <c r="Q821" s="27" t="n">
        <v>46331</v>
      </c>
      <c r="R821" s="25" t="n">
        <v>3.33</v>
      </c>
      <c r="S821" s="28">
        <f>IF(AND(ISNUMBER(F821),ISNUMBER(R821),R821&gt;0),F821/R821,"")</f>
        <v/>
      </c>
      <c r="T821" s="27" t="n">
        <v>46323</v>
      </c>
    </row>
    <row r="822">
      <c r="A822" s="11" t="inlineStr">
        <is>
          <t>OMF</t>
        </is>
      </c>
      <c r="B822" s="11" t="inlineStr">
        <is>
          <t>OneMain Holdings, Inc.</t>
        </is>
      </c>
      <c r="C822" s="11" t="inlineStr">
        <is>
          <t>Credit Services</t>
        </is>
      </c>
      <c r="D822" s="11" t="inlineStr">
        <is>
          <t>United States</t>
        </is>
      </c>
      <c r="E822" s="12" t="n">
        <v>6.54</v>
      </c>
      <c r="F822" s="13" t="n">
        <v>56.88</v>
      </c>
      <c r="G822" s="13" t="n">
        <v>67.42856999999999</v>
      </c>
      <c r="H822" s="14">
        <f>IF(AND(ISNUMBER(F822),ISNUMBER(G822),F822&gt;0),G822/F822-1,"")</f>
        <v/>
      </c>
      <c r="I822" s="13" t="n">
        <v>52</v>
      </c>
      <c r="J822" s="14">
        <f>IF(AND(ISNUMBER(F822),ISNUMBER(I822),F822&gt;0),I822/F822-1,"")</f>
        <v/>
      </c>
      <c r="K822" s="13" t="n">
        <v>85</v>
      </c>
      <c r="L822" s="14">
        <f>IF(AND(ISNUMBER(F822),ISNUMBER(K822),F822&gt;0),K822/F822-1,"")</f>
        <v/>
      </c>
      <c r="M822" s="15" t="n">
        <v>14</v>
      </c>
      <c r="N822" s="16" t="n">
        <v>4.2</v>
      </c>
      <c r="O822" s="17">
        <f>IF(AND(ISNUMBER(F822),ISNUMBER(N822),F822&gt;0),N822/F822,"")</f>
        <v/>
      </c>
      <c r="P822" s="18" t="n">
        <v>46244</v>
      </c>
      <c r="Q822" s="18" t="n">
        <v>46325</v>
      </c>
      <c r="R822" s="16" t="n">
        <v>6.64</v>
      </c>
      <c r="S822" s="19">
        <f>IF(AND(ISNUMBER(F822),ISNUMBER(R822),R822&gt;0),F822/R822,"")</f>
        <v/>
      </c>
      <c r="T822" s="18" t="n">
        <v>46323</v>
      </c>
    </row>
    <row r="823">
      <c r="A823" s="20" t="inlineStr">
        <is>
          <t>HESM</t>
        </is>
      </c>
      <c r="B823" s="20" t="inlineStr">
        <is>
          <t>Hess Midstream LP</t>
        </is>
      </c>
      <c r="C823" s="20" t="inlineStr">
        <is>
          <t>Oil &amp; Gas Midstream</t>
        </is>
      </c>
      <c r="D823" s="20" t="inlineStr">
        <is>
          <t>United States</t>
        </is>
      </c>
      <c r="E823" s="21" t="n">
        <v>6.53</v>
      </c>
      <c r="F823" s="22" t="n">
        <v>31.67</v>
      </c>
      <c r="G823" s="22" t="n">
        <v>33.42857</v>
      </c>
      <c r="H823" s="23">
        <f>IF(AND(ISNUMBER(F823),ISNUMBER(G823),F823&gt;0),G823/F823-1,"")</f>
        <v/>
      </c>
      <c r="I823" s="22" t="n">
        <v>30</v>
      </c>
      <c r="J823" s="23">
        <f>IF(AND(ISNUMBER(F823),ISNUMBER(I823),F823&gt;0),I823/F823-1,"")</f>
        <v/>
      </c>
      <c r="K823" s="22" t="n">
        <v>40</v>
      </c>
      <c r="L823" s="23">
        <f>IF(AND(ISNUMBER(F823),ISNUMBER(K823),F823&gt;0),K823/F823-1,"")</f>
        <v/>
      </c>
      <c r="M823" s="24" t="n">
        <v>7</v>
      </c>
      <c r="N823" s="25" t="n">
        <v>3.09</v>
      </c>
      <c r="O823" s="26">
        <f>IF(AND(ISNUMBER(F823),ISNUMBER(N823),F823&gt;0),N823/F823,"")</f>
        <v/>
      </c>
      <c r="P823" s="27" t="n">
        <v>46240</v>
      </c>
      <c r="Q823" s="27" t="n">
        <v>46325</v>
      </c>
      <c r="R823" s="25" t="n">
        <v>2.9</v>
      </c>
      <c r="S823" s="28">
        <f>IF(AND(ISNUMBER(F823),ISNUMBER(R823),R823&gt;0),F823/R823,"")</f>
        <v/>
      </c>
      <c r="T823" s="27" t="n">
        <v>46323</v>
      </c>
    </row>
    <row r="824">
      <c r="A824" s="11" t="inlineStr">
        <is>
          <t>HIMS</t>
        </is>
      </c>
      <c r="B824" s="11" t="inlineStr">
        <is>
          <t>Hims &amp; Hers Health, Inc.</t>
        </is>
      </c>
      <c r="C824" s="11" t="inlineStr">
        <is>
          <t>Drug Manufacturers - Specialty &amp; Generic</t>
        </is>
      </c>
      <c r="D824" s="11" t="inlineStr">
        <is>
          <t>United States</t>
        </is>
      </c>
      <c r="E824" s="12" t="n">
        <v>6.51</v>
      </c>
      <c r="F824" s="13" t="n">
        <v>27.92</v>
      </c>
      <c r="G824" s="13" t="n">
        <v>31.15385</v>
      </c>
      <c r="H824" s="14">
        <f>IF(AND(ISNUMBER(F824),ISNUMBER(G824),F824&gt;0),G824/F824-1,"")</f>
        <v/>
      </c>
      <c r="I824" s="13" t="n">
        <v>23</v>
      </c>
      <c r="J824" s="14">
        <f>IF(AND(ISNUMBER(F824),ISNUMBER(I824),F824&gt;0),I824/F824-1,"")</f>
        <v/>
      </c>
      <c r="K824" s="13" t="n">
        <v>42</v>
      </c>
      <c r="L824" s="14">
        <f>IF(AND(ISNUMBER(F824),ISNUMBER(K824),F824&gt;0),K824/F824-1,"")</f>
        <v/>
      </c>
      <c r="M824" s="15" t="n">
        <v>13</v>
      </c>
      <c r="N824" s="16" t="n"/>
      <c r="O824" s="17">
        <f>IF(AND(ISNUMBER(F824),ISNUMBER(N824),F824&gt;0),N824/F824,"")</f>
        <v/>
      </c>
      <c r="P824" s="18" t="n"/>
      <c r="Q824" s="18" t="n">
        <v>46335</v>
      </c>
      <c r="R824" s="16" t="n">
        <v>-0.64</v>
      </c>
      <c r="S824" s="19">
        <f>IF(AND(ISNUMBER(F824),ISNUMBER(R824),R824&gt;0),F824/R824,"")</f>
        <v/>
      </c>
      <c r="T824" s="18" t="n">
        <v>46323</v>
      </c>
    </row>
    <row r="825">
      <c r="A825" s="20" t="inlineStr">
        <is>
          <t>WFRD</t>
        </is>
      </c>
      <c r="B825" s="20" t="inlineStr">
        <is>
          <t>Weatherford International plc</t>
        </is>
      </c>
      <c r="C825" s="20" t="inlineStr">
        <is>
          <t>Oil &amp; Gas Equipment &amp; Services</t>
        </is>
      </c>
      <c r="D825" s="20" t="inlineStr">
        <is>
          <t>United States</t>
        </is>
      </c>
      <c r="E825" s="21" t="n">
        <v>6.5</v>
      </c>
      <c r="F825" s="22" t="n">
        <v>89.64</v>
      </c>
      <c r="G825" s="22" t="n">
        <v>112.83333</v>
      </c>
      <c r="H825" s="23">
        <f>IF(AND(ISNUMBER(F825),ISNUMBER(G825),F825&gt;0),G825/F825-1,"")</f>
        <v/>
      </c>
      <c r="I825" s="22" t="n">
        <v>94</v>
      </c>
      <c r="J825" s="23">
        <f>IF(AND(ISNUMBER(F825),ISNUMBER(I825),F825&gt;0),I825/F825-1,"")</f>
        <v/>
      </c>
      <c r="K825" s="22" t="n">
        <v>139</v>
      </c>
      <c r="L825" s="23">
        <f>IF(AND(ISNUMBER(F825),ISNUMBER(K825),F825&gt;0),K825/F825-1,"")</f>
        <v/>
      </c>
      <c r="M825" s="24" t="n">
        <v>12</v>
      </c>
      <c r="N825" s="25" t="n">
        <v>1.1</v>
      </c>
      <c r="O825" s="26">
        <f>IF(AND(ISNUMBER(F825),ISNUMBER(N825),F825&gt;0),N825/F825,"")</f>
        <v/>
      </c>
      <c r="P825" s="27" t="n">
        <v>46240</v>
      </c>
      <c r="Q825" s="27" t="n">
        <v>46315</v>
      </c>
      <c r="R825" s="25" t="n">
        <v>5.31</v>
      </c>
      <c r="S825" s="28">
        <f>IF(AND(ISNUMBER(F825),ISNUMBER(R825),R825&gt;0),F825/R825,"")</f>
        <v/>
      </c>
      <c r="T825" s="27" t="n">
        <v>46323</v>
      </c>
    </row>
    <row r="826">
      <c r="A826" s="11" t="inlineStr">
        <is>
          <t>AVAV</t>
        </is>
      </c>
      <c r="B826" s="11" t="inlineStr">
        <is>
          <t>AeroVironment, Inc.</t>
        </is>
      </c>
      <c r="C826" s="11" t="inlineStr">
        <is>
          <t>Aerospace &amp; Defense</t>
        </is>
      </c>
      <c r="D826" s="11" t="inlineStr">
        <is>
          <t>United States</t>
        </is>
      </c>
      <c r="E826" s="12" t="n">
        <v>6.44</v>
      </c>
      <c r="F826" s="13" t="n">
        <v>126.73</v>
      </c>
      <c r="G826" s="13" t="n">
        <v>213.06825</v>
      </c>
      <c r="H826" s="14">
        <f>IF(AND(ISNUMBER(F826),ISNUMBER(G826),F826&gt;0),G826/F826-1,"")</f>
        <v/>
      </c>
      <c r="I826" s="13" t="n">
        <v>148.57</v>
      </c>
      <c r="J826" s="14">
        <f>IF(AND(ISNUMBER(F826),ISNUMBER(I826),F826&gt;0),I826/F826-1,"")</f>
        <v/>
      </c>
      <c r="K826" s="13" t="n">
        <v>315</v>
      </c>
      <c r="L826" s="14">
        <f>IF(AND(ISNUMBER(F826),ISNUMBER(K826),F826&gt;0),K826/F826-1,"")</f>
        <v/>
      </c>
      <c r="M826" s="15" t="n">
        <v>23</v>
      </c>
      <c r="N826" s="16" t="n"/>
      <c r="O826" s="17">
        <f>IF(AND(ISNUMBER(F826),ISNUMBER(N826),F826&gt;0),N826/F826,"")</f>
        <v/>
      </c>
      <c r="P826" s="18" t="n"/>
      <c r="Q826" s="18" t="n">
        <v>46358</v>
      </c>
      <c r="R826" s="16" t="n">
        <v>-4.05</v>
      </c>
      <c r="S826" s="19">
        <f>IF(AND(ISNUMBER(F826),ISNUMBER(R826),R826&gt;0),F826/R826,"")</f>
        <v/>
      </c>
      <c r="T826" s="18" t="n">
        <v>46323</v>
      </c>
    </row>
    <row r="827">
      <c r="A827" s="20" t="inlineStr">
        <is>
          <t>LAD</t>
        </is>
      </c>
      <c r="B827" s="20" t="inlineStr">
        <is>
          <t>Lithia Motors, Inc.</t>
        </is>
      </c>
      <c r="C827" s="20" t="inlineStr">
        <is>
          <t>Auto &amp; Truck Dealerships</t>
        </is>
      </c>
      <c r="D827" s="20" t="inlineStr">
        <is>
          <t>United States</t>
        </is>
      </c>
      <c r="E827" s="21" t="n">
        <v>6.39</v>
      </c>
      <c r="F827" s="22" t="n">
        <v>290.73</v>
      </c>
      <c r="G827" s="22" t="n">
        <v>391.2</v>
      </c>
      <c r="H827" s="23">
        <f>IF(AND(ISNUMBER(F827),ISNUMBER(G827),F827&gt;0),G827/F827-1,"")</f>
        <v/>
      </c>
      <c r="I827" s="22" t="n">
        <v>305</v>
      </c>
      <c r="J827" s="23">
        <f>IF(AND(ISNUMBER(F827),ISNUMBER(I827),F827&gt;0),I827/F827-1,"")</f>
        <v/>
      </c>
      <c r="K827" s="22" t="n">
        <v>490</v>
      </c>
      <c r="L827" s="23">
        <f>IF(AND(ISNUMBER(F827),ISNUMBER(K827),F827&gt;0),K827/F827-1,"")</f>
        <v/>
      </c>
      <c r="M827" s="24" t="n">
        <v>15</v>
      </c>
      <c r="N827" s="25" t="n">
        <v>3</v>
      </c>
      <c r="O827" s="26">
        <f>IF(AND(ISNUMBER(F827),ISNUMBER(N827),F827&gt;0),N827/F827,"")</f>
        <v/>
      </c>
      <c r="P827" s="27" t="n">
        <v>46332</v>
      </c>
      <c r="Q827" s="27" t="n">
        <v>46316</v>
      </c>
      <c r="R827" s="25" t="n">
        <v>34.67</v>
      </c>
      <c r="S827" s="28">
        <f>IF(AND(ISNUMBER(F827),ISNUMBER(R827),R827&gt;0),F827/R827,"")</f>
        <v/>
      </c>
      <c r="T827" s="27" t="n">
        <v>46323</v>
      </c>
    </row>
    <row r="828">
      <c r="A828" s="11" t="inlineStr">
        <is>
          <t>LYFT</t>
        </is>
      </c>
      <c r="B828" s="11" t="inlineStr">
        <is>
          <t>Lyft, Inc.</t>
        </is>
      </c>
      <c r="C828" s="11" t="inlineStr">
        <is>
          <t>Software - Application</t>
        </is>
      </c>
      <c r="D828" s="11" t="inlineStr">
        <is>
          <t>United States</t>
        </is>
      </c>
      <c r="E828" s="12" t="n">
        <v>6.36</v>
      </c>
      <c r="F828" s="13" t="n">
        <v>16.79</v>
      </c>
      <c r="G828" s="13" t="n">
        <v>19.30486</v>
      </c>
      <c r="H828" s="14">
        <f>IF(AND(ISNUMBER(F828),ISNUMBER(G828),F828&gt;0),G828/F828-1,"")</f>
        <v/>
      </c>
      <c r="I828" s="13" t="n">
        <v>14</v>
      </c>
      <c r="J828" s="14">
        <f>IF(AND(ISNUMBER(F828),ISNUMBER(I828),F828&gt;0),I828/F828-1,"")</f>
        <v/>
      </c>
      <c r="K828" s="13" t="n">
        <v>30</v>
      </c>
      <c r="L828" s="14">
        <f>IF(AND(ISNUMBER(F828),ISNUMBER(K828),F828&gt;0),K828/F828-1,"")</f>
        <v/>
      </c>
      <c r="M828" s="15" t="n">
        <v>37</v>
      </c>
      <c r="N828" s="16" t="n"/>
      <c r="O828" s="17">
        <f>IF(AND(ISNUMBER(F828),ISNUMBER(N828),F828&gt;0),N828/F828,"")</f>
        <v/>
      </c>
      <c r="P828" s="18" t="n"/>
      <c r="Q828" s="18" t="n">
        <v>46331</v>
      </c>
      <c r="R828" s="16" t="n">
        <v>6.87</v>
      </c>
      <c r="S828" s="19">
        <f>IF(AND(ISNUMBER(F828),ISNUMBER(R828),R828&gt;0),F828/R828,"")</f>
        <v/>
      </c>
      <c r="T828" s="18" t="n">
        <v>46323</v>
      </c>
    </row>
    <row r="829">
      <c r="A829" s="20" t="inlineStr">
        <is>
          <t>RYTM</t>
        </is>
      </c>
      <c r="B829" s="20" t="inlineStr">
        <is>
          <t>Rhythm Pharmaceuticals, Inc.</t>
        </is>
      </c>
      <c r="C829" s="20" t="inlineStr">
        <is>
          <t>Biotechnology</t>
        </is>
      </c>
      <c r="D829" s="20" t="inlineStr">
        <is>
          <t>United States</t>
        </is>
      </c>
      <c r="E829" s="21" t="n">
        <v>6.35</v>
      </c>
      <c r="F829" s="22" t="n">
        <v>92.18000000000001</v>
      </c>
      <c r="G829" s="22" t="n">
        <v>140.5294</v>
      </c>
      <c r="H829" s="23">
        <f>IF(AND(ISNUMBER(F829),ISNUMBER(G829),F829&gt;0),G829/F829-1,"")</f>
        <v/>
      </c>
      <c r="I829" s="22" t="n">
        <v>120</v>
      </c>
      <c r="J829" s="23">
        <f>IF(AND(ISNUMBER(F829),ISNUMBER(I829),F829&gt;0),I829/F829-1,"")</f>
        <v/>
      </c>
      <c r="K829" s="22" t="n">
        <v>160</v>
      </c>
      <c r="L829" s="23">
        <f>IF(AND(ISNUMBER(F829),ISNUMBER(K829),F829&gt;0),K829/F829-1,"")</f>
        <v/>
      </c>
      <c r="M829" s="24" t="n">
        <v>17</v>
      </c>
      <c r="N829" s="25" t="n"/>
      <c r="O829" s="26">
        <f>IF(AND(ISNUMBER(F829),ISNUMBER(N829),F829&gt;0),N829/F829,"")</f>
        <v/>
      </c>
      <c r="P829" s="27" t="n"/>
      <c r="Q829" s="27" t="n">
        <v>46329</v>
      </c>
      <c r="R829" s="25" t="n">
        <v>-3.12</v>
      </c>
      <c r="S829" s="28">
        <f>IF(AND(ISNUMBER(F829),ISNUMBER(R829),R829&gt;0),F829/R829,"")</f>
        <v/>
      </c>
      <c r="T829" s="27" t="n">
        <v>46323</v>
      </c>
    </row>
    <row r="830">
      <c r="A830" s="11" t="inlineStr">
        <is>
          <t>ALGM</t>
        </is>
      </c>
      <c r="B830" s="11" t="inlineStr">
        <is>
          <t>Allegro MicroSystems, Inc.</t>
        </is>
      </c>
      <c r="C830" s="11" t="inlineStr">
        <is>
          <t>Semiconductors</t>
        </is>
      </c>
      <c r="D830" s="11" t="inlineStr">
        <is>
          <t>United States</t>
        </is>
      </c>
      <c r="E830" s="12" t="n">
        <v>6.33</v>
      </c>
      <c r="F830" s="13" t="n">
        <v>33.98</v>
      </c>
      <c r="G830" s="13" t="n">
        <v>52.61538</v>
      </c>
      <c r="H830" s="14">
        <f>IF(AND(ISNUMBER(F830),ISNUMBER(G830),F830&gt;0),G830/F830-1,"")</f>
        <v/>
      </c>
      <c r="I830" s="13" t="n">
        <v>40</v>
      </c>
      <c r="J830" s="14">
        <f>IF(AND(ISNUMBER(F830),ISNUMBER(I830),F830&gt;0),I830/F830-1,"")</f>
        <v/>
      </c>
      <c r="K830" s="13" t="n">
        <v>62</v>
      </c>
      <c r="L830" s="14">
        <f>IF(AND(ISNUMBER(F830),ISNUMBER(K830),F830&gt;0),K830/F830-1,"")</f>
        <v/>
      </c>
      <c r="M830" s="15" t="n">
        <v>13</v>
      </c>
      <c r="N830" s="16" t="n"/>
      <c r="O830" s="17">
        <f>IF(AND(ISNUMBER(F830),ISNUMBER(N830),F830&gt;0),N830/F830,"")</f>
        <v/>
      </c>
      <c r="P830" s="18" t="n"/>
      <c r="Q830" s="18" t="n">
        <v>46324</v>
      </c>
      <c r="R830" s="16" t="n">
        <v>0.06</v>
      </c>
      <c r="S830" s="19">
        <f>IF(AND(ISNUMBER(F830),ISNUMBER(R830),R830&gt;0),F830/R830,"")</f>
        <v/>
      </c>
      <c r="T830" s="18" t="n">
        <v>46323</v>
      </c>
    </row>
    <row r="831">
      <c r="A831" s="20" t="inlineStr">
        <is>
          <t>WULF</t>
        </is>
      </c>
      <c r="B831" s="20" t="inlineStr">
        <is>
          <t>TeraWulf Inc.</t>
        </is>
      </c>
      <c r="C831" s="20" t="inlineStr">
        <is>
          <t>Capital Markets</t>
        </is>
      </c>
      <c r="D831" s="20" t="inlineStr">
        <is>
          <t>United States</t>
        </is>
      </c>
      <c r="E831" s="21" t="n">
        <v>6.32</v>
      </c>
      <c r="F831" s="22" t="n">
        <v>12.66</v>
      </c>
      <c r="G831" s="22" t="n">
        <v>32.25</v>
      </c>
      <c r="H831" s="23">
        <f>IF(AND(ISNUMBER(F831),ISNUMBER(G831),F831&gt;0),G831/F831-1,"")</f>
        <v/>
      </c>
      <c r="I831" s="22" t="n">
        <v>15</v>
      </c>
      <c r="J831" s="23">
        <f>IF(AND(ISNUMBER(F831),ISNUMBER(I831),F831&gt;0),I831/F831-1,"")</f>
        <v/>
      </c>
      <c r="K831" s="22" t="n">
        <v>65</v>
      </c>
      <c r="L831" s="23">
        <f>IF(AND(ISNUMBER(F831),ISNUMBER(K831),F831&gt;0),K831/F831-1,"")</f>
        <v/>
      </c>
      <c r="M831" s="24" t="n">
        <v>24</v>
      </c>
      <c r="N831" s="25" t="n"/>
      <c r="O831" s="26">
        <f>IF(AND(ISNUMBER(F831),ISNUMBER(N831),F831&gt;0),N831/F831,"")</f>
        <v/>
      </c>
      <c r="P831" s="27" t="n"/>
      <c r="Q831" s="27" t="n">
        <v>46332</v>
      </c>
      <c r="R831" s="25" t="n">
        <v>-4.43</v>
      </c>
      <c r="S831" s="28">
        <f>IF(AND(ISNUMBER(F831),ISNUMBER(R831),R831&gt;0),F831/R831,"")</f>
        <v/>
      </c>
      <c r="T831" s="27" t="n">
        <v>46323</v>
      </c>
    </row>
    <row r="832">
      <c r="A832" s="11" t="inlineStr">
        <is>
          <t>M</t>
        </is>
      </c>
      <c r="B832" s="11" t="inlineStr">
        <is>
          <t>Macy's Inc</t>
        </is>
      </c>
      <c r="C832" s="11" t="inlineStr">
        <is>
          <t>Department Stores</t>
        </is>
      </c>
      <c r="D832" s="11" t="inlineStr">
        <is>
          <t>United States</t>
        </is>
      </c>
      <c r="E832" s="12" t="n">
        <v>6.23</v>
      </c>
      <c r="F832" s="13" t="n">
        <v>23.86</v>
      </c>
      <c r="G832" s="13" t="n">
        <v>23.1</v>
      </c>
      <c r="H832" s="14">
        <f>IF(AND(ISNUMBER(F832),ISNUMBER(G832),F832&gt;0),G832/F832-1,"")</f>
        <v/>
      </c>
      <c r="I832" s="13" t="n">
        <v>10</v>
      </c>
      <c r="J832" s="14">
        <f>IF(AND(ISNUMBER(F832),ISNUMBER(I832),F832&gt;0),I832/F832-1,"")</f>
        <v/>
      </c>
      <c r="K832" s="13" t="n">
        <v>30</v>
      </c>
      <c r="L832" s="14">
        <f>IF(AND(ISNUMBER(F832),ISNUMBER(K832),F832&gt;0),K832/F832-1,"")</f>
        <v/>
      </c>
      <c r="M832" s="15" t="n">
        <v>10</v>
      </c>
      <c r="N832" s="16" t="n">
        <v>0.77</v>
      </c>
      <c r="O832" s="17">
        <f>IF(AND(ISNUMBER(F832),ISNUMBER(N832),F832&gt;0),N832/F832,"")</f>
        <v/>
      </c>
      <c r="P832" s="18" t="n">
        <v>46371</v>
      </c>
      <c r="Q832" s="18" t="n">
        <v>46358</v>
      </c>
      <c r="R832" s="16" t="n">
        <v>2.73</v>
      </c>
      <c r="S832" s="19">
        <f>IF(AND(ISNUMBER(F832),ISNUMBER(R832),R832&gt;0),F832/R832,"")</f>
        <v/>
      </c>
      <c r="T832" s="18" t="n">
        <v>46323</v>
      </c>
    </row>
    <row r="833">
      <c r="A833" s="20" t="inlineStr">
        <is>
          <t>MUR</t>
        </is>
      </c>
      <c r="B833" s="20" t="inlineStr">
        <is>
          <t>Murphy Oil Corporation</t>
        </is>
      </c>
      <c r="C833" s="20" t="inlineStr">
        <is>
          <t>Oil &amp; Gas E&amp;P</t>
        </is>
      </c>
      <c r="D833" s="20" t="inlineStr">
        <is>
          <t>United States</t>
        </is>
      </c>
      <c r="E833" s="21" t="n">
        <v>6.19</v>
      </c>
      <c r="F833" s="22" t="n">
        <v>43.15</v>
      </c>
      <c r="G833" s="22" t="n">
        <v>42.46667</v>
      </c>
      <c r="H833" s="23">
        <f>IF(AND(ISNUMBER(F833),ISNUMBER(G833),F833&gt;0),G833/F833-1,"")</f>
        <v/>
      </c>
      <c r="I833" s="22" t="n">
        <v>34</v>
      </c>
      <c r="J833" s="23">
        <f>IF(AND(ISNUMBER(F833),ISNUMBER(I833),F833&gt;0),I833/F833-1,"")</f>
        <v/>
      </c>
      <c r="K833" s="22" t="n">
        <v>54</v>
      </c>
      <c r="L833" s="23">
        <f>IF(AND(ISNUMBER(F833),ISNUMBER(K833),F833&gt;0),K833/F833-1,"")</f>
        <v/>
      </c>
      <c r="M833" s="24" t="n">
        <v>15</v>
      </c>
      <c r="N833" s="25" t="n">
        <v>1.4</v>
      </c>
      <c r="O833" s="26">
        <f>IF(AND(ISNUMBER(F833),ISNUMBER(N833),F833&gt;0),N833/F833,"")</f>
        <v/>
      </c>
      <c r="P833" s="27" t="n">
        <v>46342</v>
      </c>
      <c r="Q833" s="27" t="n">
        <v>46330</v>
      </c>
      <c r="R833" s="25" t="n">
        <v>2.02</v>
      </c>
      <c r="S833" s="28">
        <f>IF(AND(ISNUMBER(F833),ISNUMBER(R833),R833&gt;0),F833/R833,"")</f>
        <v/>
      </c>
      <c r="T833" s="27" t="n">
        <v>46323</v>
      </c>
    </row>
    <row r="834">
      <c r="A834" s="11" t="inlineStr">
        <is>
          <t>FLR</t>
        </is>
      </c>
      <c r="B834" s="11" t="inlineStr">
        <is>
          <t>Fluor Corporation</t>
        </is>
      </c>
      <c r="C834" s="11" t="inlineStr">
        <is>
          <t>Engineering &amp; Construction</t>
        </is>
      </c>
      <c r="D834" s="11" t="inlineStr">
        <is>
          <t>United States</t>
        </is>
      </c>
      <c r="E834" s="12" t="n">
        <v>6.17</v>
      </c>
      <c r="F834" s="13" t="n">
        <v>46.16</v>
      </c>
      <c r="G834" s="13" t="n">
        <v>61.5625</v>
      </c>
      <c r="H834" s="14">
        <f>IF(AND(ISNUMBER(F834),ISNUMBER(G834),F834&gt;0),G834/F834-1,"")</f>
        <v/>
      </c>
      <c r="I834" s="13" t="n">
        <v>50</v>
      </c>
      <c r="J834" s="14">
        <f>IF(AND(ISNUMBER(F834),ISNUMBER(I834),F834&gt;0),I834/F834-1,"")</f>
        <v/>
      </c>
      <c r="K834" s="13" t="n">
        <v>71</v>
      </c>
      <c r="L834" s="14">
        <f>IF(AND(ISNUMBER(F834),ISNUMBER(K834),F834&gt;0),K834/F834-1,"")</f>
        <v/>
      </c>
      <c r="M834" s="15" t="n">
        <v>8</v>
      </c>
      <c r="N834" s="16" t="n"/>
      <c r="O834" s="17">
        <f>IF(AND(ISNUMBER(F834),ISNUMBER(N834),F834&gt;0),N834/F834,"")</f>
        <v/>
      </c>
      <c r="P834" s="18" t="n"/>
      <c r="Q834" s="18" t="n">
        <v>46332</v>
      </c>
      <c r="R834" s="16" t="n">
        <v>-11.9</v>
      </c>
      <c r="S834" s="19">
        <f>IF(AND(ISNUMBER(F834),ISNUMBER(R834),R834&gt;0),F834/R834,"")</f>
        <v/>
      </c>
      <c r="T834" s="18" t="n">
        <v>46323</v>
      </c>
    </row>
    <row r="835">
      <c r="A835" s="20" t="inlineStr">
        <is>
          <t>CPB</t>
        </is>
      </c>
      <c r="B835" s="20" t="inlineStr">
        <is>
          <t>The Campbell's Company</t>
        </is>
      </c>
      <c r="C835" s="20" t="inlineStr">
        <is>
          <t>Packaged Foods</t>
        </is>
      </c>
      <c r="D835" s="20" t="inlineStr">
        <is>
          <t>United States</t>
        </is>
      </c>
      <c r="E835" s="21" t="n">
        <v>6.17</v>
      </c>
      <c r="F835" s="22" t="n">
        <v>20.68</v>
      </c>
      <c r="G835" s="22" t="n">
        <v>20.79412</v>
      </c>
      <c r="H835" s="23">
        <f>IF(AND(ISNUMBER(F835),ISNUMBER(G835),F835&gt;0),G835/F835-1,"")</f>
        <v/>
      </c>
      <c r="I835" s="22" t="n">
        <v>16</v>
      </c>
      <c r="J835" s="23">
        <f>IF(AND(ISNUMBER(F835),ISNUMBER(I835),F835&gt;0),I835/F835-1,"")</f>
        <v/>
      </c>
      <c r="K835" s="22" t="n">
        <v>41.5</v>
      </c>
      <c r="L835" s="23">
        <f>IF(AND(ISNUMBER(F835),ISNUMBER(K835),F835&gt;0),K835/F835-1,"")</f>
        <v/>
      </c>
      <c r="M835" s="24" t="n">
        <v>17</v>
      </c>
      <c r="N835" s="25" t="n">
        <v>1</v>
      </c>
      <c r="O835" s="26">
        <f>IF(AND(ISNUMBER(F835),ISNUMBER(N835),F835&gt;0),N835/F835,"")</f>
        <v/>
      </c>
      <c r="P835" s="27" t="n">
        <v>46296</v>
      </c>
      <c r="Q835" s="27" t="n">
        <v>46268</v>
      </c>
      <c r="R835" s="25" t="n">
        <v>1.31</v>
      </c>
      <c r="S835" s="28">
        <f>IF(AND(ISNUMBER(F835),ISNUMBER(R835),R835&gt;0),F835/R835,"")</f>
        <v/>
      </c>
      <c r="T835" s="27" t="n">
        <v>46323</v>
      </c>
    </row>
    <row r="836">
      <c r="A836" s="11" t="inlineStr">
        <is>
          <t>ST</t>
        </is>
      </c>
      <c r="B836" s="11" t="inlineStr">
        <is>
          <t>Sensata Technologies Holding pl</t>
        </is>
      </c>
      <c r="C836" s="11" t="inlineStr">
        <is>
          <t>Scientific &amp; Technical Instruments</t>
        </is>
      </c>
      <c r="D836" s="11" t="inlineStr">
        <is>
          <t>United States</t>
        </is>
      </c>
      <c r="E836" s="12" t="n">
        <v>6.16</v>
      </c>
      <c r="F836" s="13" t="n">
        <v>42.32</v>
      </c>
      <c r="G836" s="13" t="n">
        <v>53.3</v>
      </c>
      <c r="H836" s="14">
        <f>IF(AND(ISNUMBER(F836),ISNUMBER(G836),F836&gt;0),G836/F836-1,"")</f>
        <v/>
      </c>
      <c r="I836" s="13" t="n">
        <v>45</v>
      </c>
      <c r="J836" s="14">
        <f>IF(AND(ISNUMBER(F836),ISNUMBER(I836),F836&gt;0),I836/F836-1,"")</f>
        <v/>
      </c>
      <c r="K836" s="13" t="n">
        <v>63</v>
      </c>
      <c r="L836" s="14">
        <f>IF(AND(ISNUMBER(F836),ISNUMBER(K836),F836&gt;0),K836/F836-1,"")</f>
        <v/>
      </c>
      <c r="M836" s="15" t="n">
        <v>10</v>
      </c>
      <c r="N836" s="16" t="n">
        <v>0.48</v>
      </c>
      <c r="O836" s="17">
        <f>IF(AND(ISNUMBER(F836),ISNUMBER(N836),F836&gt;0),N836/F836,"")</f>
        <v/>
      </c>
      <c r="P836" s="18" t="n">
        <v>46336</v>
      </c>
      <c r="Q836" s="18" t="n">
        <v>46322</v>
      </c>
      <c r="R836" s="16" t="n">
        <v>0.6</v>
      </c>
      <c r="S836" s="19">
        <f>IF(AND(ISNUMBER(F836),ISNUMBER(R836),R836&gt;0),F836/R836,"")</f>
        <v/>
      </c>
      <c r="T836" s="18" t="n">
        <v>46323</v>
      </c>
    </row>
    <row r="837">
      <c r="A837" s="20" t="inlineStr">
        <is>
          <t>TFPM</t>
        </is>
      </c>
      <c r="B837" s="20" t="inlineStr">
        <is>
          <t>Triple Flag Precious Metals Cor</t>
        </is>
      </c>
      <c r="C837" s="20" t="inlineStr">
        <is>
          <t>Other Precious Metals &amp; Mining</t>
        </is>
      </c>
      <c r="D837" s="20" t="inlineStr">
        <is>
          <t>Canada</t>
        </is>
      </c>
      <c r="E837" s="21" t="n">
        <v>6.11</v>
      </c>
      <c r="F837" s="22" t="n">
        <v>29.66</v>
      </c>
      <c r="G837" s="22" t="n">
        <v>39.5</v>
      </c>
      <c r="H837" s="23">
        <f>IF(AND(ISNUMBER(F837),ISNUMBER(G837),F837&gt;0),G837/F837-1,"")</f>
        <v/>
      </c>
      <c r="I837" s="22" t="n">
        <v>37</v>
      </c>
      <c r="J837" s="23">
        <f>IF(AND(ISNUMBER(F837),ISNUMBER(I837),F837&gt;0),I837/F837-1,"")</f>
        <v/>
      </c>
      <c r="K837" s="22" t="n">
        <v>41</v>
      </c>
      <c r="L837" s="23">
        <f>IF(AND(ISNUMBER(F837),ISNUMBER(K837),F837&gt;0),K837/F837-1,"")</f>
        <v/>
      </c>
      <c r="M837" s="24" t="n">
        <v>4</v>
      </c>
      <c r="N837" s="25" t="n">
        <v>0.24</v>
      </c>
      <c r="O837" s="26">
        <f>IF(AND(ISNUMBER(F837),ISNUMBER(N837),F837&gt;0),N837/F837,"")</f>
        <v/>
      </c>
      <c r="P837" s="27" t="n">
        <v>46265</v>
      </c>
      <c r="Q837" s="27" t="n">
        <v>46329</v>
      </c>
      <c r="R837" s="25" t="n">
        <v>1.99</v>
      </c>
      <c r="S837" s="28">
        <f>IF(AND(ISNUMBER(F837),ISNUMBER(R837),R837&gt;0),F837/R837,"")</f>
        <v/>
      </c>
      <c r="T837" s="27" t="n">
        <v>46323</v>
      </c>
    </row>
    <row r="838">
      <c r="A838" s="11" t="inlineStr">
        <is>
          <t>BLDR</t>
        </is>
      </c>
      <c r="B838" s="11" t="inlineStr">
        <is>
          <t>Builders FirstSource, Inc.</t>
        </is>
      </c>
      <c r="C838" s="11" t="inlineStr">
        <is>
          <t>Building Products &amp; Equipment</t>
        </is>
      </c>
      <c r="D838" s="11" t="inlineStr">
        <is>
          <t>United States</t>
        </is>
      </c>
      <c r="E838" s="12" t="n">
        <v>6.1</v>
      </c>
      <c r="F838" s="13" t="n">
        <v>56.7</v>
      </c>
      <c r="G838" s="13" t="n">
        <v>67.63636</v>
      </c>
      <c r="H838" s="14">
        <f>IF(AND(ISNUMBER(F838),ISNUMBER(G838),F838&gt;0),G838/F838-1,"")</f>
        <v/>
      </c>
      <c r="I838" s="13" t="n">
        <v>50</v>
      </c>
      <c r="J838" s="14">
        <f>IF(AND(ISNUMBER(F838),ISNUMBER(I838),F838&gt;0),I838/F838-1,"")</f>
        <v/>
      </c>
      <c r="K838" s="13" t="n">
        <v>91</v>
      </c>
      <c r="L838" s="14">
        <f>IF(AND(ISNUMBER(F838),ISNUMBER(K838),F838&gt;0),K838/F838-1,"")</f>
        <v/>
      </c>
      <c r="M838" s="15" t="n">
        <v>22</v>
      </c>
      <c r="N838" s="16" t="n"/>
      <c r="O838" s="17">
        <f>IF(AND(ISNUMBER(F838),ISNUMBER(N838),F838&gt;0),N838/F838,"")</f>
        <v/>
      </c>
      <c r="P838" s="18" t="n"/>
      <c r="Q838" s="18" t="n">
        <v>46324</v>
      </c>
      <c r="R838" s="16" t="n">
        <v>0.92</v>
      </c>
      <c r="S838" s="19">
        <f>IF(AND(ISNUMBER(F838),ISNUMBER(R838),R838&gt;0),F838/R838,"")</f>
        <v/>
      </c>
      <c r="T838" s="18" t="n">
        <v>46323</v>
      </c>
    </row>
    <row r="839">
      <c r="A839" s="20" t="inlineStr">
        <is>
          <t>CAVA</t>
        </is>
      </c>
      <c r="B839" s="20" t="inlineStr">
        <is>
          <t>CAVA Group, Inc.</t>
        </is>
      </c>
      <c r="C839" s="20" t="inlineStr">
        <is>
          <t>Restaurants</t>
        </is>
      </c>
      <c r="D839" s="20" t="inlineStr">
        <is>
          <t>United States</t>
        </is>
      </c>
      <c r="E839" s="21" t="n">
        <v>6.06</v>
      </c>
      <c r="F839" s="22" t="n">
        <v>51.86</v>
      </c>
      <c r="G839" s="22" t="n">
        <v>81.83333</v>
      </c>
      <c r="H839" s="23">
        <f>IF(AND(ISNUMBER(F839),ISNUMBER(G839),F839&gt;0),G839/F839-1,"")</f>
        <v/>
      </c>
      <c r="I839" s="22" t="n">
        <v>18</v>
      </c>
      <c r="J839" s="23">
        <f>IF(AND(ISNUMBER(F839),ISNUMBER(I839),F839&gt;0),I839/F839-1,"")</f>
        <v/>
      </c>
      <c r="K839" s="22" t="n">
        <v>110</v>
      </c>
      <c r="L839" s="23">
        <f>IF(AND(ISNUMBER(F839),ISNUMBER(K839),F839&gt;0),K839/F839-1,"")</f>
        <v/>
      </c>
      <c r="M839" s="24" t="n">
        <v>24</v>
      </c>
      <c r="N839" s="25" t="n"/>
      <c r="O839" s="26">
        <f>IF(AND(ISNUMBER(F839),ISNUMBER(N839),F839&gt;0),N839/F839,"")</f>
        <v/>
      </c>
      <c r="P839" s="27" t="n"/>
      <c r="Q839" s="27" t="n">
        <v>46330</v>
      </c>
      <c r="R839" s="25" t="n">
        <v>0.55</v>
      </c>
      <c r="S839" s="28">
        <f>IF(AND(ISNUMBER(F839),ISNUMBER(R839),R839&gt;0),F839/R839,"")</f>
        <v/>
      </c>
      <c r="T839" s="27" t="n">
        <v>46323</v>
      </c>
    </row>
    <row r="840">
      <c r="A840" s="11" t="inlineStr">
        <is>
          <t>VEON</t>
        </is>
      </c>
      <c r="B840" s="11" t="inlineStr">
        <is>
          <t>VEON Ltd.</t>
        </is>
      </c>
      <c r="C840" s="11" t="inlineStr">
        <is>
          <t>Telecom Services</t>
        </is>
      </c>
      <c r="D840" s="11" t="inlineStr">
        <is>
          <t>United Arab Emirates</t>
        </is>
      </c>
      <c r="E840" s="12" t="n">
        <v>6.05</v>
      </c>
      <c r="F840" s="13" t="n">
        <v>87.83</v>
      </c>
      <c r="G840" s="13" t="n">
        <v>90.01537</v>
      </c>
      <c r="H840" s="14">
        <f>IF(AND(ISNUMBER(F840),ISNUMBER(G840),F840&gt;0),G840/F840-1,"")</f>
        <v/>
      </c>
      <c r="I840" s="13" t="n">
        <v>73.52298999999999</v>
      </c>
      <c r="J840" s="14">
        <f>IF(AND(ISNUMBER(F840),ISNUMBER(I840),F840&gt;0),I840/F840-1,"")</f>
        <v/>
      </c>
      <c r="K840" s="13" t="n">
        <v>112</v>
      </c>
      <c r="L840" s="14">
        <f>IF(AND(ISNUMBER(F840),ISNUMBER(K840),F840&gt;0),K840/F840-1,"")</f>
        <v/>
      </c>
      <c r="M840" s="15" t="n">
        <v>8</v>
      </c>
      <c r="N840" s="16" t="n"/>
      <c r="O840" s="17">
        <f>IF(AND(ISNUMBER(F840),ISNUMBER(N840),F840&gt;0),N840/F840,"")</f>
        <v/>
      </c>
      <c r="P840" s="18" t="n"/>
      <c r="Q840" s="18" t="n">
        <v>46332</v>
      </c>
      <c r="R840" s="16" t="n">
        <v>0.79</v>
      </c>
      <c r="S840" s="19">
        <f>IF(AND(ISNUMBER(F840),ISNUMBER(R840),R840&gt;0),F840/R840,"")</f>
        <v/>
      </c>
      <c r="T840" s="18" t="n">
        <v>46323</v>
      </c>
    </row>
    <row r="841">
      <c r="A841" s="20" t="inlineStr">
        <is>
          <t>KVYO</t>
        </is>
      </c>
      <c r="B841" s="20" t="inlineStr">
        <is>
          <t>Klaviyo, Inc. Series A</t>
        </is>
      </c>
      <c r="C841" s="20" t="inlineStr">
        <is>
          <t>Software - Application</t>
        </is>
      </c>
      <c r="D841" s="20" t="inlineStr">
        <is>
          <t>United States</t>
        </is>
      </c>
      <c r="E841" s="21" t="n">
        <v>6.04</v>
      </c>
      <c r="F841" s="22" t="n">
        <v>20.18</v>
      </c>
      <c r="G841" s="22" t="n">
        <v>26.2381</v>
      </c>
      <c r="H841" s="23">
        <f>IF(AND(ISNUMBER(F841),ISNUMBER(G841),F841&gt;0),G841/F841-1,"")</f>
        <v/>
      </c>
      <c r="I841" s="22" t="n">
        <v>19</v>
      </c>
      <c r="J841" s="23">
        <f>IF(AND(ISNUMBER(F841),ISNUMBER(I841),F841&gt;0),I841/F841-1,"")</f>
        <v/>
      </c>
      <c r="K841" s="22" t="n">
        <v>36</v>
      </c>
      <c r="L841" s="23">
        <f>IF(AND(ISNUMBER(F841),ISNUMBER(K841),F841&gt;0),K841/F841-1,"")</f>
        <v/>
      </c>
      <c r="M841" s="24" t="n">
        <v>21</v>
      </c>
      <c r="N841" s="25" t="n"/>
      <c r="O841" s="26">
        <f>IF(AND(ISNUMBER(F841),ISNUMBER(N841),F841&gt;0),N841/F841,"")</f>
        <v/>
      </c>
      <c r="P841" s="27" t="n"/>
      <c r="Q841" s="27" t="n">
        <v>46330</v>
      </c>
      <c r="R841" s="25" t="n">
        <v>0.03</v>
      </c>
      <c r="S841" s="28">
        <f>IF(AND(ISNUMBER(F841),ISNUMBER(R841),R841&gt;0),F841/R841,"")</f>
        <v/>
      </c>
      <c r="T841" s="27" t="n">
        <v>46323</v>
      </c>
    </row>
    <row r="842">
      <c r="A842" s="11" t="inlineStr">
        <is>
          <t>SFM</t>
        </is>
      </c>
      <c r="B842" s="11" t="inlineStr">
        <is>
          <t>Sprouts Farmers Market, Inc.</t>
        </is>
      </c>
      <c r="C842" s="11" t="inlineStr">
        <is>
          <t>Grocery Stores</t>
        </is>
      </c>
      <c r="D842" s="11" t="inlineStr">
        <is>
          <t>United States</t>
        </is>
      </c>
      <c r="E842" s="12" t="n">
        <v>6.01</v>
      </c>
      <c r="F842" s="13" t="n">
        <v>64.41</v>
      </c>
      <c r="G842" s="13" t="n">
        <v>90.85714</v>
      </c>
      <c r="H842" s="14">
        <f>IF(AND(ISNUMBER(F842),ISNUMBER(G842),F842&gt;0),G842/F842-1,"")</f>
        <v/>
      </c>
      <c r="I842" s="13" t="n">
        <v>70</v>
      </c>
      <c r="J842" s="14">
        <f>IF(AND(ISNUMBER(F842),ISNUMBER(I842),F842&gt;0),I842/F842-1,"")</f>
        <v/>
      </c>
      <c r="K842" s="13" t="n">
        <v>114</v>
      </c>
      <c r="L842" s="14">
        <f>IF(AND(ISNUMBER(F842),ISNUMBER(K842),F842&gt;0),K842/F842-1,"")</f>
        <v/>
      </c>
      <c r="M842" s="15" t="n">
        <v>14</v>
      </c>
      <c r="N842" s="16" t="n"/>
      <c r="O842" s="17">
        <f>IF(AND(ISNUMBER(F842),ISNUMBER(N842),F842&gt;0),N842/F842,"")</f>
        <v/>
      </c>
      <c r="P842" s="18" t="n"/>
      <c r="Q842" s="18" t="n">
        <v>46323</v>
      </c>
      <c r="R842" s="16" t="n">
        <v>5.2</v>
      </c>
      <c r="S842" s="19">
        <f>IF(AND(ISNUMBER(F842),ISNUMBER(R842),R842&gt;0),F842/R842,"")</f>
        <v/>
      </c>
      <c r="T842" s="18" t="n">
        <v>46323</v>
      </c>
    </row>
    <row r="843">
      <c r="A843" s="20" t="inlineStr">
        <is>
          <t>TTD</t>
        </is>
      </c>
      <c r="B843" s="20" t="inlineStr">
        <is>
          <t>The Trade Desk, Inc.</t>
        </is>
      </c>
      <c r="C843" s="20" t="inlineStr">
        <is>
          <t>Advertising Agencies</t>
        </is>
      </c>
      <c r="D843" s="20" t="inlineStr">
        <is>
          <t>United States</t>
        </is>
      </c>
      <c r="E843" s="21" t="n">
        <v>6</v>
      </c>
      <c r="F843" s="22" t="n">
        <v>12.7</v>
      </c>
      <c r="G843" s="22" t="n">
        <v>13.53333</v>
      </c>
      <c r="H843" s="23">
        <f>IF(AND(ISNUMBER(F843),ISNUMBER(G843),F843&gt;0),G843/F843-1,"")</f>
        <v/>
      </c>
      <c r="I843" s="22" t="n">
        <v>9</v>
      </c>
      <c r="J843" s="23">
        <f>IF(AND(ISNUMBER(F843),ISNUMBER(I843),F843&gt;0),I843/F843-1,"")</f>
        <v/>
      </c>
      <c r="K843" s="22" t="n">
        <v>20</v>
      </c>
      <c r="L843" s="23">
        <f>IF(AND(ISNUMBER(F843),ISNUMBER(K843),F843&gt;0),K843/F843-1,"")</f>
        <v/>
      </c>
      <c r="M843" s="24" t="n">
        <v>30</v>
      </c>
      <c r="N843" s="25" t="n"/>
      <c r="O843" s="26">
        <f>IF(AND(ISNUMBER(F843),ISNUMBER(N843),F843&gt;0),N843/F843,"")</f>
        <v/>
      </c>
      <c r="P843" s="27" t="n"/>
      <c r="Q843" s="27" t="n">
        <v>46335</v>
      </c>
      <c r="R843" s="25" t="n">
        <v>0.83</v>
      </c>
      <c r="S843" s="28">
        <f>IF(AND(ISNUMBER(F843),ISNUMBER(R843),R843&gt;0),F843/R843,"")</f>
        <v/>
      </c>
      <c r="T843" s="27" t="n">
        <v>46323</v>
      </c>
    </row>
    <row r="844">
      <c r="A844" s="11" t="inlineStr">
        <is>
          <t>HOMB</t>
        </is>
      </c>
      <c r="B844" s="11" t="inlineStr">
        <is>
          <t>Home BancShares, Inc.</t>
        </is>
      </c>
      <c r="C844" s="11" t="inlineStr">
        <is>
          <t>Banks - Regional</t>
        </is>
      </c>
      <c r="D844" s="11" t="inlineStr">
        <is>
          <t>United States</t>
        </is>
      </c>
      <c r="E844" s="12" t="n">
        <v>5.98</v>
      </c>
      <c r="F844" s="13" t="n">
        <v>30.01</v>
      </c>
      <c r="G844" s="13" t="n">
        <v>32.75</v>
      </c>
      <c r="H844" s="14">
        <f>IF(AND(ISNUMBER(F844),ISNUMBER(G844),F844&gt;0),G844/F844-1,"")</f>
        <v/>
      </c>
      <c r="I844" s="13" t="n">
        <v>31</v>
      </c>
      <c r="J844" s="14">
        <f>IF(AND(ISNUMBER(F844),ISNUMBER(I844),F844&gt;0),I844/F844-1,"")</f>
        <v/>
      </c>
      <c r="K844" s="13" t="n">
        <v>35</v>
      </c>
      <c r="L844" s="14">
        <f>IF(AND(ISNUMBER(F844),ISNUMBER(K844),F844&gt;0),K844/F844-1,"")</f>
        <v/>
      </c>
      <c r="M844" s="15" t="n">
        <v>8</v>
      </c>
      <c r="N844" s="16" t="n">
        <v>0.86</v>
      </c>
      <c r="O844" s="17">
        <f>IF(AND(ISNUMBER(F844),ISNUMBER(N844),F844&gt;0),N844/F844,"")</f>
        <v/>
      </c>
      <c r="P844" s="18" t="n">
        <v>46336</v>
      </c>
      <c r="Q844" s="18" t="n">
        <v>46400</v>
      </c>
      <c r="R844" s="16" t="n">
        <v>2.44</v>
      </c>
      <c r="S844" s="19">
        <f>IF(AND(ISNUMBER(F844),ISNUMBER(R844),R844&gt;0),F844/R844,"")</f>
        <v/>
      </c>
      <c r="T844" s="18" t="n">
        <v>46323</v>
      </c>
    </row>
    <row r="845">
      <c r="A845" s="20" t="inlineStr">
        <is>
          <t>MOS</t>
        </is>
      </c>
      <c r="B845" s="20" t="inlineStr">
        <is>
          <t>Mosaic Company (The)</t>
        </is>
      </c>
      <c r="C845" s="20" t="inlineStr">
        <is>
          <t>Agricultural Inputs</t>
        </is>
      </c>
      <c r="D845" s="20" t="inlineStr">
        <is>
          <t>United States</t>
        </is>
      </c>
      <c r="E845" s="21" t="n">
        <v>5.97</v>
      </c>
      <c r="F845" s="22" t="n">
        <v>18.79</v>
      </c>
      <c r="G845" s="22" t="n">
        <v>26.10556</v>
      </c>
      <c r="H845" s="23">
        <f>IF(AND(ISNUMBER(F845),ISNUMBER(G845),F845&gt;0),G845/F845-1,"")</f>
        <v/>
      </c>
      <c r="I845" s="22" t="n">
        <v>17</v>
      </c>
      <c r="J845" s="23">
        <f>IF(AND(ISNUMBER(F845),ISNUMBER(I845),F845&gt;0),I845/F845-1,"")</f>
        <v/>
      </c>
      <c r="K845" s="22" t="n">
        <v>35</v>
      </c>
      <c r="L845" s="23">
        <f>IF(AND(ISNUMBER(F845),ISNUMBER(K845),F845&gt;0),K845/F845-1,"")</f>
        <v/>
      </c>
      <c r="M845" s="24" t="n">
        <v>18</v>
      </c>
      <c r="N845" s="25" t="n">
        <v>0.88</v>
      </c>
      <c r="O845" s="26">
        <f>IF(AND(ISNUMBER(F845),ISNUMBER(N845),F845&gt;0),N845/F845,"")</f>
        <v/>
      </c>
      <c r="P845" s="27" t="n">
        <v>46360</v>
      </c>
      <c r="Q845" s="27" t="n">
        <v>46329</v>
      </c>
      <c r="R845" s="25" t="n">
        <v>-2.01</v>
      </c>
      <c r="S845" s="28">
        <f>IF(AND(ISNUMBER(F845),ISNUMBER(R845),R845&gt;0),F845/R845,"")</f>
        <v/>
      </c>
      <c r="T845" s="27" t="n">
        <v>46323</v>
      </c>
    </row>
    <row r="846">
      <c r="A846" s="11" t="inlineStr">
        <is>
          <t>INGR</t>
        </is>
      </c>
      <c r="B846" s="11" t="inlineStr">
        <is>
          <t>Ingredion Incorporated</t>
        </is>
      </c>
      <c r="C846" s="11" t="inlineStr">
        <is>
          <t>Packaged Foods</t>
        </is>
      </c>
      <c r="D846" s="11" t="inlineStr">
        <is>
          <t>United States</t>
        </is>
      </c>
      <c r="E846" s="12" t="n">
        <v>5.97</v>
      </c>
      <c r="F846" s="13" t="n">
        <v>94.70999999999999</v>
      </c>
      <c r="G846" s="13" t="n">
        <v>119.5</v>
      </c>
      <c r="H846" s="14">
        <f>IF(AND(ISNUMBER(F846),ISNUMBER(G846),F846&gt;0),G846/F846-1,"")</f>
        <v/>
      </c>
      <c r="I846" s="13" t="n">
        <v>104</v>
      </c>
      <c r="J846" s="14">
        <f>IF(AND(ISNUMBER(F846),ISNUMBER(I846),F846&gt;0),I846/F846-1,"")</f>
        <v/>
      </c>
      <c r="K846" s="13" t="n">
        <v>150</v>
      </c>
      <c r="L846" s="14">
        <f>IF(AND(ISNUMBER(F846),ISNUMBER(K846),F846&gt;0),K846/F846-1,"")</f>
        <v/>
      </c>
      <c r="M846" s="15" t="n">
        <v>6</v>
      </c>
      <c r="N846" s="16" t="n">
        <v>3.32</v>
      </c>
      <c r="O846" s="17">
        <f>IF(AND(ISNUMBER(F846),ISNUMBER(N846),F846&gt;0),N846/F846,"")</f>
        <v/>
      </c>
      <c r="P846" s="18" t="n">
        <v>46296</v>
      </c>
      <c r="Q846" s="18" t="n">
        <v>46331</v>
      </c>
      <c r="R846" s="16" t="n">
        <v>9.19</v>
      </c>
      <c r="S846" s="19">
        <f>IF(AND(ISNUMBER(F846),ISNUMBER(R846),R846&gt;0),F846/R846,"")</f>
        <v/>
      </c>
      <c r="T846" s="18" t="n">
        <v>46323</v>
      </c>
    </row>
    <row r="847">
      <c r="A847" s="20" t="inlineStr">
        <is>
          <t>CWST</t>
        </is>
      </c>
      <c r="B847" s="20" t="inlineStr">
        <is>
          <t>Casella Waste Systems, Inc.</t>
        </is>
      </c>
      <c r="C847" s="20" t="inlineStr">
        <is>
          <t>Waste Management</t>
        </is>
      </c>
      <c r="D847" s="20" t="inlineStr">
        <is>
          <t>United States</t>
        </is>
      </c>
      <c r="E847" s="21" t="n">
        <v>5.96</v>
      </c>
      <c r="F847" s="22" t="n">
        <v>93.70999999999999</v>
      </c>
      <c r="G847" s="22" t="n">
        <v>106.5</v>
      </c>
      <c r="H847" s="23">
        <f>IF(AND(ISNUMBER(F847),ISNUMBER(G847),F847&gt;0),G847/F847-1,"")</f>
        <v/>
      </c>
      <c r="I847" s="22" t="n">
        <v>91</v>
      </c>
      <c r="J847" s="23">
        <f>IF(AND(ISNUMBER(F847),ISNUMBER(I847),F847&gt;0),I847/F847-1,"")</f>
        <v/>
      </c>
      <c r="K847" s="22" t="n">
        <v>130</v>
      </c>
      <c r="L847" s="23">
        <f>IF(AND(ISNUMBER(F847),ISNUMBER(K847),F847&gt;0),K847/F847-1,"")</f>
        <v/>
      </c>
      <c r="M847" s="24" t="n">
        <v>10</v>
      </c>
      <c r="N847" s="25" t="n"/>
      <c r="O847" s="26">
        <f>IF(AND(ISNUMBER(F847),ISNUMBER(N847),F847&gt;0),N847/F847,"")</f>
        <v/>
      </c>
      <c r="P847" s="27" t="n"/>
      <c r="Q847" s="27" t="n">
        <v>46335</v>
      </c>
      <c r="R847" s="25" t="n">
        <v>0.09</v>
      </c>
      <c r="S847" s="28">
        <f>IF(AND(ISNUMBER(F847),ISNUMBER(R847),R847&gt;0),F847/R847,"")</f>
        <v/>
      </c>
      <c r="T847" s="27" t="n">
        <v>46323</v>
      </c>
    </row>
    <row r="848">
      <c r="A848" s="11" t="inlineStr">
        <is>
          <t>NSANY</t>
        </is>
      </c>
      <c r="B848" s="11" t="inlineStr">
        <is>
          <t>Nissan Motor Co., Ltd.</t>
        </is>
      </c>
      <c r="C848" s="11" t="inlineStr">
        <is>
          <t>Auto Manufacturers</t>
        </is>
      </c>
      <c r="D848" s="11" t="inlineStr">
        <is>
          <t>Japan</t>
        </is>
      </c>
      <c r="E848" s="12" t="n">
        <v>5.91</v>
      </c>
      <c r="F848" s="13" t="n">
        <v>3.38</v>
      </c>
      <c r="G848" s="13" t="n">
        <v>6.24187</v>
      </c>
      <c r="H848" s="14">
        <f>IF(AND(ISNUMBER(F848),ISNUMBER(G848),F848&gt;0),G848/F848-1,"")</f>
        <v/>
      </c>
      <c r="I848" s="13" t="n">
        <v>4.32562</v>
      </c>
      <c r="J848" s="14">
        <f>IF(AND(ISNUMBER(F848),ISNUMBER(I848),F848&gt;0),I848/F848-1,"")</f>
        <v/>
      </c>
      <c r="K848" s="13" t="n">
        <v>9</v>
      </c>
      <c r="L848" s="14">
        <f>IF(AND(ISNUMBER(F848),ISNUMBER(K848),F848&gt;0),K848/F848-1,"")</f>
        <v/>
      </c>
      <c r="M848" s="15" t="n">
        <v>3</v>
      </c>
      <c r="N848" s="16" t="n"/>
      <c r="O848" s="17">
        <f>IF(AND(ISNUMBER(F848),ISNUMBER(N848),F848&gt;0),N848/F848,"")</f>
        <v/>
      </c>
      <c r="P848" s="18" t="n"/>
      <c r="Q848" s="18" t="n">
        <v>46337</v>
      </c>
      <c r="R848" s="16" t="n">
        <v>-1.53</v>
      </c>
      <c r="S848" s="19">
        <f>IF(AND(ISNUMBER(F848),ISNUMBER(R848),R848&gt;0),F848/R848,"")</f>
        <v/>
      </c>
      <c r="T848" s="18" t="n">
        <v>46323</v>
      </c>
    </row>
    <row r="849">
      <c r="A849" s="20" t="inlineStr">
        <is>
          <t>APLD</t>
        </is>
      </c>
      <c r="B849" s="20" t="inlineStr">
        <is>
          <t>Applied Digital Corporation</t>
        </is>
      </c>
      <c r="C849" s="20" t="inlineStr">
        <is>
          <t>Information Technology Services</t>
        </is>
      </c>
      <c r="D849" s="20" t="inlineStr">
        <is>
          <t>United States</t>
        </is>
      </c>
      <c r="E849" s="21" t="n">
        <v>5.9</v>
      </c>
      <c r="F849" s="22" t="n">
        <v>19.51</v>
      </c>
      <c r="G849" s="22" t="n">
        <v>62.4375</v>
      </c>
      <c r="H849" s="23">
        <f>IF(AND(ISNUMBER(F849),ISNUMBER(G849),F849&gt;0),G849/F849-1,"")</f>
        <v/>
      </c>
      <c r="I849" s="22" t="n">
        <v>22</v>
      </c>
      <c r="J849" s="23">
        <f>IF(AND(ISNUMBER(F849),ISNUMBER(I849),F849&gt;0),I849/F849-1,"")</f>
        <v/>
      </c>
      <c r="K849" s="22" t="n">
        <v>93</v>
      </c>
      <c r="L849" s="23">
        <f>IF(AND(ISNUMBER(F849),ISNUMBER(K849),F849&gt;0),K849/F849-1,"")</f>
        <v/>
      </c>
      <c r="M849" s="24" t="n">
        <v>16</v>
      </c>
      <c r="N849" s="25" t="n"/>
      <c r="O849" s="26">
        <f>IF(AND(ISNUMBER(F849),ISNUMBER(N849),F849&gt;0),N849/F849,"")</f>
        <v/>
      </c>
      <c r="P849" s="27" t="n"/>
      <c r="Q849" s="27" t="n">
        <v>46393</v>
      </c>
      <c r="R849" s="25" t="n">
        <v>-1.47</v>
      </c>
      <c r="S849" s="28">
        <f>IF(AND(ISNUMBER(F849),ISNUMBER(R849),R849&gt;0),F849/R849,"")</f>
        <v/>
      </c>
      <c r="T849" s="27" t="n">
        <v>46323</v>
      </c>
    </row>
    <row r="850">
      <c r="A850" s="11" t="inlineStr">
        <is>
          <t>CZR</t>
        </is>
      </c>
      <c r="B850" s="11" t="inlineStr">
        <is>
          <t>Caesars Entertainment, Inc.</t>
        </is>
      </c>
      <c r="C850" s="11" t="inlineStr">
        <is>
          <t>Resorts &amp; Casinos</t>
        </is>
      </c>
      <c r="D850" s="11" t="inlineStr">
        <is>
          <t>United States</t>
        </is>
      </c>
      <c r="E850" s="12" t="n">
        <v>5.88</v>
      </c>
      <c r="F850" s="13" t="n">
        <v>28.85</v>
      </c>
      <c r="G850" s="13" t="n">
        <v>31.26667</v>
      </c>
      <c r="H850" s="14">
        <f>IF(AND(ISNUMBER(F850),ISNUMBER(G850),F850&gt;0),G850/F850-1,"")</f>
        <v/>
      </c>
      <c r="I850" s="13" t="n">
        <v>31</v>
      </c>
      <c r="J850" s="14">
        <f>IF(AND(ISNUMBER(F850),ISNUMBER(I850),F850&gt;0),I850/F850-1,"")</f>
        <v/>
      </c>
      <c r="K850" s="13" t="n">
        <v>35</v>
      </c>
      <c r="L850" s="14">
        <f>IF(AND(ISNUMBER(F850),ISNUMBER(K850),F850&gt;0),K850/F850-1,"")</f>
        <v/>
      </c>
      <c r="M850" s="15" t="n">
        <v>15</v>
      </c>
      <c r="N850" s="16" t="n"/>
      <c r="O850" s="17">
        <f>IF(AND(ISNUMBER(F850),ISNUMBER(N850),F850&gt;0),N850/F850,"")</f>
        <v/>
      </c>
      <c r="P850" s="18" t="n"/>
      <c r="Q850" s="18" t="n">
        <v>46322</v>
      </c>
      <c r="R850" s="16" t="n">
        <v>-2.27</v>
      </c>
      <c r="S850" s="19">
        <f>IF(AND(ISNUMBER(F850),ISNUMBER(R850),R850&gt;0),F850/R850,"")</f>
        <v/>
      </c>
      <c r="T850" s="18" t="n">
        <v>46323</v>
      </c>
    </row>
    <row r="851">
      <c r="A851" s="20" t="inlineStr">
        <is>
          <t>HRB</t>
        </is>
      </c>
      <c r="B851" s="20" t="inlineStr">
        <is>
          <t>H&amp;R Block, Inc.</t>
        </is>
      </c>
      <c r="C851" s="20" t="inlineStr">
        <is>
          <t>Personal Services</t>
        </is>
      </c>
      <c r="D851" s="20" t="inlineStr">
        <is>
          <t>United States</t>
        </is>
      </c>
      <c r="E851" s="21" t="n">
        <v>5.88</v>
      </c>
      <c r="F851" s="22" t="n">
        <v>47.98</v>
      </c>
      <c r="G851" s="22" t="n">
        <v>51.66667</v>
      </c>
      <c r="H851" s="23">
        <f>IF(AND(ISNUMBER(F851),ISNUMBER(G851),F851&gt;0),G851/F851-1,"")</f>
        <v/>
      </c>
      <c r="I851" s="22" t="n">
        <v>36</v>
      </c>
      <c r="J851" s="23">
        <f>IF(AND(ISNUMBER(F851),ISNUMBER(I851),F851&gt;0),I851/F851-1,"")</f>
        <v/>
      </c>
      <c r="K851" s="22" t="n">
        <v>60</v>
      </c>
      <c r="L851" s="23">
        <f>IF(AND(ISNUMBER(F851),ISNUMBER(K851),F851&gt;0),K851/F851-1,"")</f>
        <v/>
      </c>
      <c r="M851" s="24" t="n">
        <v>3</v>
      </c>
      <c r="N851" s="25" t="n">
        <v>1.84</v>
      </c>
      <c r="O851" s="26">
        <f>IF(AND(ISNUMBER(F851),ISNUMBER(N851),F851&gt;0),N851/F851,"")</f>
        <v/>
      </c>
      <c r="P851" s="27" t="n">
        <v>46268</v>
      </c>
      <c r="Q851" s="27" t="n">
        <v>46335</v>
      </c>
      <c r="R851" s="25" t="n">
        <v>5.69</v>
      </c>
      <c r="S851" s="28">
        <f>IF(AND(ISNUMBER(F851),ISNUMBER(R851),R851&gt;0),F851/R851,"")</f>
        <v/>
      </c>
      <c r="T851" s="27" t="n">
        <v>46323</v>
      </c>
    </row>
    <row r="852">
      <c r="A852" s="11" t="inlineStr">
        <is>
          <t>DLB</t>
        </is>
      </c>
      <c r="B852" s="11" t="inlineStr">
        <is>
          <t>Dolby Laboratories</t>
        </is>
      </c>
      <c r="C852" s="11" t="inlineStr">
        <is>
          <t>Specialty Business Services</t>
        </is>
      </c>
      <c r="D852" s="11" t="inlineStr">
        <is>
          <t>United States</t>
        </is>
      </c>
      <c r="E852" s="12" t="n">
        <v>5.88</v>
      </c>
      <c r="F852" s="13" t="n">
        <v>62.74</v>
      </c>
      <c r="G852" s="13" t="n">
        <v>79</v>
      </c>
      <c r="H852" s="14">
        <f>IF(AND(ISNUMBER(F852),ISNUMBER(G852),F852&gt;0),G852/F852-1,"")</f>
        <v/>
      </c>
      <c r="I852" s="13" t="n">
        <v>62</v>
      </c>
      <c r="J852" s="14">
        <f>IF(AND(ISNUMBER(F852),ISNUMBER(I852),F852&gt;0),I852/F852-1,"")</f>
        <v/>
      </c>
      <c r="K852" s="13" t="n">
        <v>90</v>
      </c>
      <c r="L852" s="14">
        <f>IF(AND(ISNUMBER(F852),ISNUMBER(K852),F852&gt;0),K852/F852-1,"")</f>
        <v/>
      </c>
      <c r="M852" s="15" t="n">
        <v>3</v>
      </c>
      <c r="N852" s="16" t="n">
        <v>1.44</v>
      </c>
      <c r="O852" s="17">
        <f>IF(AND(ISNUMBER(F852),ISNUMBER(N852),F852&gt;0),N852/F852,"")</f>
        <v/>
      </c>
      <c r="P852" s="18" t="n">
        <v>46245</v>
      </c>
      <c r="Q852" s="18" t="n">
        <v>46343</v>
      </c>
      <c r="R852" s="16" t="n">
        <v>2.35</v>
      </c>
      <c r="S852" s="19">
        <f>IF(AND(ISNUMBER(F852),ISNUMBER(R852),R852&gt;0),F852/R852,"")</f>
        <v/>
      </c>
      <c r="T852" s="18" t="n">
        <v>46323</v>
      </c>
    </row>
    <row r="853">
      <c r="A853" s="20" t="inlineStr">
        <is>
          <t>MBLY</t>
        </is>
      </c>
      <c r="B853" s="20" t="inlineStr">
        <is>
          <t>Mobileye Global Inc.</t>
        </is>
      </c>
      <c r="C853" s="20" t="inlineStr">
        <is>
          <t>Auto Parts</t>
        </is>
      </c>
      <c r="D853" s="20" t="inlineStr">
        <is>
          <t>Israel</t>
        </is>
      </c>
      <c r="E853" s="21" t="n">
        <v>5.84</v>
      </c>
      <c r="F853" s="22" t="n">
        <v>6.87</v>
      </c>
      <c r="G853" s="22" t="n">
        <v>11.10652</v>
      </c>
      <c r="H853" s="23">
        <f>IF(AND(ISNUMBER(F853),ISNUMBER(G853),F853&gt;0),G853/F853-1,"")</f>
        <v/>
      </c>
      <c r="I853" s="22" t="n">
        <v>5</v>
      </c>
      <c r="J853" s="23">
        <f>IF(AND(ISNUMBER(F853),ISNUMBER(I853),F853&gt;0),I853/F853-1,"")</f>
        <v/>
      </c>
      <c r="K853" s="22" t="n">
        <v>27</v>
      </c>
      <c r="L853" s="23">
        <f>IF(AND(ISNUMBER(F853),ISNUMBER(K853),F853&gt;0),K853/F853-1,"")</f>
        <v/>
      </c>
      <c r="M853" s="24" t="n">
        <v>23</v>
      </c>
      <c r="N853" s="25" t="n"/>
      <c r="O853" s="26">
        <f>IF(AND(ISNUMBER(F853),ISNUMBER(N853),F853&gt;0),N853/F853,"")</f>
        <v/>
      </c>
      <c r="P853" s="27" t="n"/>
      <c r="Q853" s="27" t="n">
        <v>46324</v>
      </c>
      <c r="R853" s="25" t="n">
        <v>-5.06</v>
      </c>
      <c r="S853" s="28">
        <f>IF(AND(ISNUMBER(F853),ISNUMBER(R853),R853&gt;0),F853/R853,"")</f>
        <v/>
      </c>
      <c r="T853" s="27" t="n">
        <v>46323</v>
      </c>
    </row>
    <row r="854">
      <c r="A854" s="11" t="inlineStr">
        <is>
          <t>EPRT</t>
        </is>
      </c>
      <c r="B854" s="11" t="inlineStr">
        <is>
          <t>Essential Properties Realty Tru</t>
        </is>
      </c>
      <c r="C854" s="11" t="inlineStr">
        <is>
          <t>Reit - Retail</t>
        </is>
      </c>
      <c r="D854" s="11" t="inlineStr">
        <is>
          <t>United States</t>
        </is>
      </c>
      <c r="E854" s="12" t="n">
        <v>5.82</v>
      </c>
      <c r="F854" s="13" t="n">
        <v>26.85</v>
      </c>
      <c r="G854" s="13" t="n">
        <v>33.52778</v>
      </c>
      <c r="H854" s="14">
        <f>IF(AND(ISNUMBER(F854),ISNUMBER(G854),F854&gt;0),G854/F854-1,"")</f>
        <v/>
      </c>
      <c r="I854" s="13" t="n">
        <v>28</v>
      </c>
      <c r="J854" s="14">
        <f>IF(AND(ISNUMBER(F854),ISNUMBER(I854),F854&gt;0),I854/F854-1,"")</f>
        <v/>
      </c>
      <c r="K854" s="13" t="n">
        <v>40</v>
      </c>
      <c r="L854" s="14">
        <f>IF(AND(ISNUMBER(F854),ISNUMBER(K854),F854&gt;0),K854/F854-1,"")</f>
        <v/>
      </c>
      <c r="M854" s="15" t="n">
        <v>18</v>
      </c>
      <c r="N854" s="16" t="n">
        <v>1.28</v>
      </c>
      <c r="O854" s="17">
        <f>IF(AND(ISNUMBER(F854),ISNUMBER(N854),F854&gt;0),N854/F854,"")</f>
        <v/>
      </c>
      <c r="P854" s="18" t="n">
        <v>46295</v>
      </c>
      <c r="Q854" s="18" t="n">
        <v>46316</v>
      </c>
      <c r="R854" s="16" t="n">
        <v>1.24</v>
      </c>
      <c r="S854" s="19">
        <f>IF(AND(ISNUMBER(F854),ISNUMBER(R854),R854&gt;0),F854/R854,"")</f>
        <v/>
      </c>
      <c r="T854" s="18" t="n">
        <v>46323</v>
      </c>
    </row>
    <row r="855">
      <c r="A855" s="20" t="inlineStr">
        <is>
          <t>MKTX</t>
        </is>
      </c>
      <c r="B855" s="20" t="inlineStr">
        <is>
          <t>MarketAxess Holdings, Inc.</t>
        </is>
      </c>
      <c r="C855" s="20" t="inlineStr">
        <is>
          <t>Capital Markets</t>
        </is>
      </c>
      <c r="D855" s="20" t="inlineStr">
        <is>
          <t>United States</t>
        </is>
      </c>
      <c r="E855" s="21" t="n">
        <v>5.81</v>
      </c>
      <c r="F855" s="22" t="n">
        <v>165.13</v>
      </c>
      <c r="G855" s="22" t="n">
        <v>162.22221</v>
      </c>
      <c r="H855" s="23">
        <f>IF(AND(ISNUMBER(F855),ISNUMBER(G855),F855&gt;0),G855/F855-1,"")</f>
        <v/>
      </c>
      <c r="I855" s="22" t="n">
        <v>124</v>
      </c>
      <c r="J855" s="23">
        <f>IF(AND(ISNUMBER(F855),ISNUMBER(I855),F855&gt;0),I855/F855-1,"")</f>
        <v/>
      </c>
      <c r="K855" s="22" t="n">
        <v>167</v>
      </c>
      <c r="L855" s="23">
        <f>IF(AND(ISNUMBER(F855),ISNUMBER(K855),F855&gt;0),K855/F855-1,"")</f>
        <v/>
      </c>
      <c r="M855" s="24" t="n">
        <v>9</v>
      </c>
      <c r="N855" s="25" t="n">
        <v>3.12</v>
      </c>
      <c r="O855" s="26">
        <f>IF(AND(ISNUMBER(F855),ISNUMBER(N855),F855&gt;0),N855/F855,"")</f>
        <v/>
      </c>
      <c r="P855" s="27" t="n">
        <v>46336</v>
      </c>
      <c r="Q855" s="27" t="n">
        <v>46318</v>
      </c>
      <c r="R855" s="25" t="n">
        <v>8.15</v>
      </c>
      <c r="S855" s="28">
        <f>IF(AND(ISNUMBER(F855),ISNUMBER(R855),R855&gt;0),F855/R855,"")</f>
        <v/>
      </c>
      <c r="T855" s="27" t="n">
        <v>46323</v>
      </c>
    </row>
    <row r="856">
      <c r="A856" s="11" t="inlineStr">
        <is>
          <t>PEGA</t>
        </is>
      </c>
      <c r="B856" s="11" t="inlineStr">
        <is>
          <t>Pegasystems Inc.</t>
        </is>
      </c>
      <c r="C856" s="11" t="inlineStr">
        <is>
          <t>Software - Application</t>
        </is>
      </c>
      <c r="D856" s="11" t="inlineStr">
        <is>
          <t>United States</t>
        </is>
      </c>
      <c r="E856" s="12" t="n">
        <v>5.78</v>
      </c>
      <c r="F856" s="13" t="n">
        <v>35.32</v>
      </c>
      <c r="G856" s="13" t="n">
        <v>41</v>
      </c>
      <c r="H856" s="14">
        <f>IF(AND(ISNUMBER(F856),ISNUMBER(G856),F856&gt;0),G856/F856-1,"")</f>
        <v/>
      </c>
      <c r="I856" s="13" t="n">
        <v>35</v>
      </c>
      <c r="J856" s="14">
        <f>IF(AND(ISNUMBER(F856),ISNUMBER(I856),F856&gt;0),I856/F856-1,"")</f>
        <v/>
      </c>
      <c r="K856" s="13" t="n">
        <v>50</v>
      </c>
      <c r="L856" s="14">
        <f>IF(AND(ISNUMBER(F856),ISNUMBER(K856),F856&gt;0),K856/F856-1,"")</f>
        <v/>
      </c>
      <c r="M856" s="15" t="n">
        <v>7</v>
      </c>
      <c r="N856" s="16" t="n">
        <v>0.12</v>
      </c>
      <c r="O856" s="17">
        <f>IF(AND(ISNUMBER(F856),ISNUMBER(N856),F856&gt;0),N856/F856,"")</f>
        <v/>
      </c>
      <c r="P856" s="18" t="n">
        <v>46296</v>
      </c>
      <c r="Q856" s="18" t="n">
        <v>46315</v>
      </c>
      <c r="R856" s="16" t="n">
        <v>1.62</v>
      </c>
      <c r="S856" s="19">
        <f>IF(AND(ISNUMBER(F856),ISNUMBER(R856),R856&gt;0),F856/R856,"")</f>
        <v/>
      </c>
      <c r="T856" s="18" t="n">
        <v>46323</v>
      </c>
    </row>
    <row r="857">
      <c r="A857" s="20" t="inlineStr">
        <is>
          <t>CVI</t>
        </is>
      </c>
      <c r="B857" s="20" t="inlineStr">
        <is>
          <t>CVR Energy Inc.</t>
        </is>
      </c>
      <c r="C857" s="20" t="inlineStr">
        <is>
          <t>Oil &amp; Gas Refining &amp; Marketing</t>
        </is>
      </c>
      <c r="D857" s="20" t="inlineStr">
        <is>
          <t>United States</t>
        </is>
      </c>
      <c r="E857" s="21" t="n">
        <v>5.77</v>
      </c>
      <c r="F857" s="22" t="n">
        <v>57.43</v>
      </c>
      <c r="G857" s="22" t="n">
        <v>48</v>
      </c>
      <c r="H857" s="23">
        <f>IF(AND(ISNUMBER(F857),ISNUMBER(G857),F857&gt;0),G857/F857-1,"")</f>
        <v/>
      </c>
      <c r="I857" s="22" t="n">
        <v>38</v>
      </c>
      <c r="J857" s="23">
        <f>IF(AND(ISNUMBER(F857),ISNUMBER(I857),F857&gt;0),I857/F857-1,"")</f>
        <v/>
      </c>
      <c r="K857" s="22" t="n">
        <v>53</v>
      </c>
      <c r="L857" s="23">
        <f>IF(AND(ISNUMBER(F857),ISNUMBER(K857),F857&gt;0),K857/F857-1,"")</f>
        <v/>
      </c>
      <c r="M857" s="24" t="n">
        <v>5</v>
      </c>
      <c r="N857" s="25" t="n">
        <v>0.4</v>
      </c>
      <c r="O857" s="26">
        <f>IF(AND(ISNUMBER(F857),ISNUMBER(N857),F857&gt;0),N857/F857,"")</f>
        <v/>
      </c>
      <c r="P857" s="27" t="n">
        <v>46244</v>
      </c>
      <c r="Q857" s="27" t="n">
        <v>46329</v>
      </c>
      <c r="R857" s="25" t="n">
        <v>0.73</v>
      </c>
      <c r="S857" s="28">
        <f>IF(AND(ISNUMBER(F857),ISNUMBER(R857),R857&gt;0),F857/R857,"")</f>
        <v/>
      </c>
      <c r="T857" s="27" t="n">
        <v>46323</v>
      </c>
    </row>
    <row r="858">
      <c r="A858" s="11" t="inlineStr">
        <is>
          <t>LEA</t>
        </is>
      </c>
      <c r="B858" s="11" t="inlineStr">
        <is>
          <t>Lear Corporation</t>
        </is>
      </c>
      <c r="C858" s="11" t="inlineStr">
        <is>
          <t>Auto Parts</t>
        </is>
      </c>
      <c r="D858" s="11" t="inlineStr">
        <is>
          <t>United States</t>
        </is>
      </c>
      <c r="E858" s="12" t="n">
        <v>5.75</v>
      </c>
      <c r="F858" s="13" t="n">
        <v>116.64</v>
      </c>
      <c r="G858" s="13" t="n">
        <v>146.35715</v>
      </c>
      <c r="H858" s="14">
        <f>IF(AND(ISNUMBER(F858),ISNUMBER(G858),F858&gt;0),G858/F858-1,"")</f>
        <v/>
      </c>
      <c r="I858" s="13" t="n">
        <v>122</v>
      </c>
      <c r="J858" s="14">
        <f>IF(AND(ISNUMBER(F858),ISNUMBER(I858),F858&gt;0),I858/F858-1,"")</f>
        <v/>
      </c>
      <c r="K858" s="13" t="n">
        <v>179</v>
      </c>
      <c r="L858" s="14">
        <f>IF(AND(ISNUMBER(F858),ISNUMBER(K858),F858&gt;0),K858/F858-1,"")</f>
        <v/>
      </c>
      <c r="M858" s="15" t="n">
        <v>14</v>
      </c>
      <c r="N858" s="16" t="n">
        <v>3.08</v>
      </c>
      <c r="O858" s="17">
        <f>IF(AND(ISNUMBER(F858),ISNUMBER(N858),F858&gt;0),N858/F858,"")</f>
        <v/>
      </c>
      <c r="P858" s="18" t="n">
        <v>46267</v>
      </c>
      <c r="Q858" s="18" t="n">
        <v>46325</v>
      </c>
      <c r="R858" s="16" t="n">
        <v>10.74</v>
      </c>
      <c r="S858" s="19">
        <f>IF(AND(ISNUMBER(F858),ISNUMBER(R858),R858&gt;0),F858/R858,"")</f>
        <v/>
      </c>
      <c r="T858" s="18" t="n">
        <v>46323</v>
      </c>
    </row>
    <row r="859">
      <c r="A859" s="20" t="inlineStr">
        <is>
          <t>CROX</t>
        </is>
      </c>
      <c r="B859" s="20" t="inlineStr">
        <is>
          <t>Crocs, Inc.</t>
        </is>
      </c>
      <c r="C859" s="20" t="inlineStr">
        <is>
          <t>Footwear &amp; Accessories</t>
        </is>
      </c>
      <c r="D859" s="20" t="inlineStr">
        <is>
          <t>United States</t>
        </is>
      </c>
      <c r="E859" s="21" t="n">
        <v>5.73</v>
      </c>
      <c r="F859" s="22" t="n">
        <v>119.5</v>
      </c>
      <c r="G859" s="22" t="n">
        <v>138.75</v>
      </c>
      <c r="H859" s="23">
        <f>IF(AND(ISNUMBER(F859),ISNUMBER(G859),F859&gt;0),G859/F859-1,"")</f>
        <v/>
      </c>
      <c r="I859" s="22" t="n">
        <v>95</v>
      </c>
      <c r="J859" s="23">
        <f>IF(AND(ISNUMBER(F859),ISNUMBER(I859),F859&gt;0),I859/F859-1,"")</f>
        <v/>
      </c>
      <c r="K859" s="22" t="n">
        <v>163</v>
      </c>
      <c r="L859" s="23">
        <f>IF(AND(ISNUMBER(F859),ISNUMBER(K859),F859&gt;0),K859/F859-1,"")</f>
        <v/>
      </c>
      <c r="M859" s="24" t="n">
        <v>12</v>
      </c>
      <c r="N859" s="25" t="n"/>
      <c r="O859" s="26">
        <f>IF(AND(ISNUMBER(F859),ISNUMBER(N859),F859&gt;0),N859/F859,"")</f>
        <v/>
      </c>
      <c r="P859" s="27" t="n"/>
      <c r="Q859" s="27" t="n">
        <v>46324</v>
      </c>
      <c r="R859" s="25" t="n">
        <v>11.41</v>
      </c>
      <c r="S859" s="28">
        <f>IF(AND(ISNUMBER(F859),ISNUMBER(R859),R859&gt;0),F859/R859,"")</f>
        <v/>
      </c>
      <c r="T859" s="27" t="n">
        <v>46323</v>
      </c>
    </row>
    <row r="860">
      <c r="A860" s="11" t="inlineStr">
        <is>
          <t>CNX</t>
        </is>
      </c>
      <c r="B860" s="11" t="inlineStr">
        <is>
          <t>CNX Resources Corporation</t>
        </is>
      </c>
      <c r="C860" s="11" t="inlineStr">
        <is>
          <t>Oil &amp; Gas E&amp;P</t>
        </is>
      </c>
      <c r="D860" s="11" t="inlineStr">
        <is>
          <t>United States</t>
        </is>
      </c>
      <c r="E860" s="12" t="n">
        <v>5.71</v>
      </c>
      <c r="F860" s="13" t="n">
        <v>38.58</v>
      </c>
      <c r="G860" s="13" t="n">
        <v>37.25</v>
      </c>
      <c r="H860" s="14">
        <f>IF(AND(ISNUMBER(F860),ISNUMBER(G860),F860&gt;0),G860/F860-1,"")</f>
        <v/>
      </c>
      <c r="I860" s="13" t="n">
        <v>34</v>
      </c>
      <c r="J860" s="14">
        <f>IF(AND(ISNUMBER(F860),ISNUMBER(I860),F860&gt;0),I860/F860-1,"")</f>
        <v/>
      </c>
      <c r="K860" s="13" t="n">
        <v>48</v>
      </c>
      <c r="L860" s="14">
        <f>IF(AND(ISNUMBER(F860),ISNUMBER(K860),F860&gt;0),K860/F860-1,"")</f>
        <v/>
      </c>
      <c r="M860" s="15" t="n">
        <v>12</v>
      </c>
      <c r="N860" s="16" t="n"/>
      <c r="O860" s="17">
        <f>IF(AND(ISNUMBER(F860),ISNUMBER(N860),F860&gt;0),N860/F860,"")</f>
        <v/>
      </c>
      <c r="P860" s="18" t="n"/>
      <c r="Q860" s="18" t="n">
        <v>46324</v>
      </c>
      <c r="R860" s="16" t="n">
        <v>6.37</v>
      </c>
      <c r="S860" s="19">
        <f>IF(AND(ISNUMBER(F860),ISNUMBER(R860),R860&gt;0),F860/R860,"")</f>
        <v/>
      </c>
      <c r="T860" s="18" t="n">
        <v>46323</v>
      </c>
    </row>
    <row r="861">
      <c r="A861" s="20" t="inlineStr">
        <is>
          <t>CHDN</t>
        </is>
      </c>
      <c r="B861" s="20" t="inlineStr">
        <is>
          <t>Churchill Downs, Incorporated</t>
        </is>
      </c>
      <c r="C861" s="20" t="inlineStr">
        <is>
          <t>Gambling</t>
        </is>
      </c>
      <c r="D861" s="20" t="inlineStr">
        <is>
          <t>United States</t>
        </is>
      </c>
      <c r="E861" s="21" t="n">
        <v>5.68</v>
      </c>
      <c r="F861" s="22" t="n">
        <v>81.52</v>
      </c>
      <c r="G861" s="22" t="n">
        <v>125.75</v>
      </c>
      <c r="H861" s="23">
        <f>IF(AND(ISNUMBER(F861),ISNUMBER(G861),F861&gt;0),G861/F861-1,"")</f>
        <v/>
      </c>
      <c r="I861" s="22" t="n">
        <v>100</v>
      </c>
      <c r="J861" s="23">
        <f>IF(AND(ISNUMBER(F861),ISNUMBER(I861),F861&gt;0),I861/F861-1,"")</f>
        <v/>
      </c>
      <c r="K861" s="22" t="n">
        <v>153</v>
      </c>
      <c r="L861" s="23">
        <f>IF(AND(ISNUMBER(F861),ISNUMBER(K861),F861&gt;0),K861/F861-1,"")</f>
        <v/>
      </c>
      <c r="M861" s="24" t="n">
        <v>12</v>
      </c>
      <c r="N861" s="25" t="n">
        <v>0.44</v>
      </c>
      <c r="O861" s="26">
        <f>IF(AND(ISNUMBER(F861),ISNUMBER(N861),F861&gt;0),N861/F861,"")</f>
        <v/>
      </c>
      <c r="P861" s="27" t="n">
        <v>45996</v>
      </c>
      <c r="Q861" s="27" t="n">
        <v>46323</v>
      </c>
      <c r="R861" s="25" t="n">
        <v>5.86</v>
      </c>
      <c r="S861" s="28">
        <f>IF(AND(ISNUMBER(F861),ISNUMBER(R861),R861&gt;0),F861/R861,"")</f>
        <v/>
      </c>
      <c r="T861" s="27" t="n">
        <v>46323</v>
      </c>
    </row>
    <row r="862">
      <c r="A862" s="11" t="inlineStr">
        <is>
          <t>VRNS</t>
        </is>
      </c>
      <c r="B862" s="11" t="inlineStr">
        <is>
          <t>Varonis Systems, Inc.</t>
        </is>
      </c>
      <c r="C862" s="11" t="inlineStr">
        <is>
          <t>Software - Infrastructure</t>
        </is>
      </c>
      <c r="D862" s="11" t="inlineStr">
        <is>
          <t>United States</t>
        </is>
      </c>
      <c r="E862" s="12" t="n">
        <v>5.64</v>
      </c>
      <c r="F862" s="13" t="n">
        <v>49.11</v>
      </c>
      <c r="G862" s="13" t="n">
        <v>51.06944</v>
      </c>
      <c r="H862" s="14">
        <f>IF(AND(ISNUMBER(F862),ISNUMBER(G862),F862&gt;0),G862/F862-1,"")</f>
        <v/>
      </c>
      <c r="I862" s="13" t="n">
        <v>48</v>
      </c>
      <c r="J862" s="14">
        <f>IF(AND(ISNUMBER(F862),ISNUMBER(I862),F862&gt;0),I862/F862-1,"")</f>
        <v/>
      </c>
      <c r="K862" s="13" t="n">
        <v>58</v>
      </c>
      <c r="L862" s="14">
        <f>IF(AND(ISNUMBER(F862),ISNUMBER(K862),F862&gt;0),K862/F862-1,"")</f>
        <v/>
      </c>
      <c r="M862" s="15" t="n">
        <v>18</v>
      </c>
      <c r="N862" s="16" t="n"/>
      <c r="O862" s="17">
        <f>IF(AND(ISNUMBER(F862),ISNUMBER(N862),F862&gt;0),N862/F862,"")</f>
        <v/>
      </c>
      <c r="P862" s="18" t="n"/>
      <c r="Q862" s="18" t="n">
        <v>46329</v>
      </c>
      <c r="R862" s="16" t="n">
        <v>-1.22</v>
      </c>
      <c r="S862" s="19">
        <f>IF(AND(ISNUMBER(F862),ISNUMBER(R862),R862&gt;0),F862/R862,"")</f>
        <v/>
      </c>
      <c r="T862" s="18" t="n">
        <v>46323</v>
      </c>
    </row>
    <row r="863">
      <c r="A863" s="20" t="inlineStr">
        <is>
          <t>SXT</t>
        </is>
      </c>
      <c r="B863" s="20" t="inlineStr">
        <is>
          <t>Sensient Technologies Corporati</t>
        </is>
      </c>
      <c r="C863" s="20" t="inlineStr">
        <is>
          <t>Specialty Chemicals</t>
        </is>
      </c>
      <c r="D863" s="20" t="inlineStr">
        <is>
          <t>United States</t>
        </is>
      </c>
      <c r="E863" s="21" t="n">
        <v>5.61</v>
      </c>
      <c r="F863" s="22" t="n">
        <v>131.89</v>
      </c>
      <c r="G863" s="22" t="n">
        <v>144.4</v>
      </c>
      <c r="H863" s="23">
        <f>IF(AND(ISNUMBER(F863),ISNUMBER(G863),F863&gt;0),G863/F863-1,"")</f>
        <v/>
      </c>
      <c r="I863" s="22" t="n">
        <v>133</v>
      </c>
      <c r="J863" s="23">
        <f>IF(AND(ISNUMBER(F863),ISNUMBER(I863),F863&gt;0),I863/F863-1,"")</f>
        <v/>
      </c>
      <c r="K863" s="22" t="n">
        <v>157</v>
      </c>
      <c r="L863" s="23">
        <f>IF(AND(ISNUMBER(F863),ISNUMBER(K863),F863&gt;0),K863/F863-1,"")</f>
        <v/>
      </c>
      <c r="M863" s="24" t="n">
        <v>5</v>
      </c>
      <c r="N863" s="25" t="n">
        <v>1.64</v>
      </c>
      <c r="O863" s="26">
        <f>IF(AND(ISNUMBER(F863),ISNUMBER(N863),F863&gt;0),N863/F863,"")</f>
        <v/>
      </c>
      <c r="P863" s="27" t="n">
        <v>46237</v>
      </c>
      <c r="Q863" s="27" t="n">
        <v>46325</v>
      </c>
      <c r="R863" s="25" t="n">
        <v>3.71</v>
      </c>
      <c r="S863" s="28">
        <f>IF(AND(ISNUMBER(F863),ISNUMBER(R863),R863&gt;0),F863/R863,"")</f>
        <v/>
      </c>
      <c r="T863" s="27" t="n">
        <v>46323</v>
      </c>
    </row>
    <row r="864">
      <c r="A864" s="11" t="inlineStr">
        <is>
          <t>BB</t>
        </is>
      </c>
      <c r="B864" s="11" t="inlineStr">
        <is>
          <t>BlackBerry Limited</t>
        </is>
      </c>
      <c r="C864" s="11" t="inlineStr">
        <is>
          <t>Software - Infrastructure</t>
        </is>
      </c>
      <c r="D864" s="11" t="inlineStr">
        <is>
          <t>Canada</t>
        </is>
      </c>
      <c r="E864" s="12" t="n">
        <v>5.61</v>
      </c>
      <c r="F864" s="13" t="n">
        <v>9.550000000000001</v>
      </c>
      <c r="G864" s="13" t="n">
        <v>9.800000000000001</v>
      </c>
      <c r="H864" s="14">
        <f>IF(AND(ISNUMBER(F864),ISNUMBER(G864),F864&gt;0),G864/F864-1,"")</f>
        <v/>
      </c>
      <c r="I864" s="13" t="n">
        <v>6.6</v>
      </c>
      <c r="J864" s="14">
        <f>IF(AND(ISNUMBER(F864),ISNUMBER(I864),F864&gt;0),I864/F864-1,"")</f>
        <v/>
      </c>
      <c r="K864" s="13" t="n">
        <v>13</v>
      </c>
      <c r="L864" s="14">
        <f>IF(AND(ISNUMBER(F864),ISNUMBER(K864),F864&gt;0),K864/F864-1,"")</f>
        <v/>
      </c>
      <c r="M864" s="15" t="n">
        <v>7</v>
      </c>
      <c r="N864" s="16" t="n"/>
      <c r="O864" s="17">
        <f>IF(AND(ISNUMBER(F864),ISNUMBER(N864),F864&gt;0),N864/F864,"")</f>
        <v/>
      </c>
      <c r="P864" s="18" t="n"/>
      <c r="Q864" s="18" t="n">
        <v>46373</v>
      </c>
      <c r="R864" s="16" t="n">
        <v>0.13</v>
      </c>
      <c r="S864" s="19">
        <f>IF(AND(ISNUMBER(F864),ISNUMBER(R864),R864&gt;0),F864/R864,"")</f>
        <v/>
      </c>
      <c r="T864" s="18" t="n">
        <v>46323</v>
      </c>
    </row>
    <row r="865">
      <c r="A865" s="20" t="inlineStr">
        <is>
          <t>BEPC</t>
        </is>
      </c>
      <c r="B865" s="20" t="inlineStr">
        <is>
          <t>Brookfield Renewable Corporatio</t>
        </is>
      </c>
      <c r="C865" s="20" t="inlineStr">
        <is>
          <t>Utilities - Renewable</t>
        </is>
      </c>
      <c r="D865" s="20" t="inlineStr">
        <is>
          <t>United States</t>
        </is>
      </c>
      <c r="E865" s="21" t="n">
        <v>5.57</v>
      </c>
      <c r="F865" s="22" t="n">
        <v>30.02</v>
      </c>
      <c r="G865" s="22" t="n">
        <v>37.57143</v>
      </c>
      <c r="H865" s="23">
        <f>IF(AND(ISNUMBER(F865),ISNUMBER(G865),F865&gt;0),G865/F865-1,"")</f>
        <v/>
      </c>
      <c r="I865" s="22" t="n">
        <v>32</v>
      </c>
      <c r="J865" s="23">
        <f>IF(AND(ISNUMBER(F865),ISNUMBER(I865),F865&gt;0),I865/F865-1,"")</f>
        <v/>
      </c>
      <c r="K865" s="22" t="n">
        <v>43</v>
      </c>
      <c r="L865" s="23">
        <f>IF(AND(ISNUMBER(F865),ISNUMBER(K865),F865&gt;0),K865/F865-1,"")</f>
        <v/>
      </c>
      <c r="M865" s="24" t="n">
        <v>7</v>
      </c>
      <c r="N865" s="25" t="n">
        <v>1.57</v>
      </c>
      <c r="O865" s="26">
        <f>IF(AND(ISNUMBER(F865),ISNUMBER(N865),F865&gt;0),N865/F865,"")</f>
        <v/>
      </c>
      <c r="P865" s="27" t="n">
        <v>46265</v>
      </c>
      <c r="Q865" s="27" t="n">
        <v>46330</v>
      </c>
      <c r="R865" s="25" t="n">
        <v>-21.55</v>
      </c>
      <c r="S865" s="28">
        <f>IF(AND(ISNUMBER(F865),ISNUMBER(R865),R865&gt;0),F865/R865,"")</f>
        <v/>
      </c>
      <c r="T865" s="27" t="n">
        <v>46323</v>
      </c>
    </row>
    <row r="866">
      <c r="A866" s="11" t="inlineStr">
        <is>
          <t>XMTR</t>
        </is>
      </c>
      <c r="B866" s="11" t="inlineStr">
        <is>
          <t>Xometry, Inc.</t>
        </is>
      </c>
      <c r="C866" s="11" t="inlineStr">
        <is>
          <t>Industrial Distribution</t>
        </is>
      </c>
      <c r="D866" s="11" t="inlineStr">
        <is>
          <t>United States</t>
        </is>
      </c>
      <c r="E866" s="12" t="n">
        <v>5.57</v>
      </c>
      <c r="F866" s="13" t="n">
        <v>97.14</v>
      </c>
      <c r="G866" s="13" t="n">
        <v>112.09091</v>
      </c>
      <c r="H866" s="14">
        <f>IF(AND(ISNUMBER(F866),ISNUMBER(G866),F866&gt;0),G866/F866-1,"")</f>
        <v/>
      </c>
      <c r="I866" s="13" t="n">
        <v>95</v>
      </c>
      <c r="J866" s="14">
        <f>IF(AND(ISNUMBER(F866),ISNUMBER(I866),F866&gt;0),I866/F866-1,"")</f>
        <v/>
      </c>
      <c r="K866" s="13" t="n">
        <v>126</v>
      </c>
      <c r="L866" s="14">
        <f>IF(AND(ISNUMBER(F866),ISNUMBER(K866),F866&gt;0),K866/F866-1,"")</f>
        <v/>
      </c>
      <c r="M866" s="15" t="n">
        <v>11</v>
      </c>
      <c r="N866" s="16" t="n"/>
      <c r="O866" s="17">
        <f>IF(AND(ISNUMBER(F866),ISNUMBER(N866),F866&gt;0),N866/F866,"")</f>
        <v/>
      </c>
      <c r="P866" s="18" t="n"/>
      <c r="Q866" s="18" t="n">
        <v>46329</v>
      </c>
      <c r="R866" s="16" t="n">
        <v>-0.6</v>
      </c>
      <c r="S866" s="19">
        <f>IF(AND(ISNUMBER(F866),ISNUMBER(R866),R866&gt;0),F866/R866,"")</f>
        <v/>
      </c>
      <c r="T866" s="18" t="n">
        <v>46323</v>
      </c>
    </row>
    <row r="867">
      <c r="A867" s="20" t="inlineStr">
        <is>
          <t>AROC</t>
        </is>
      </c>
      <c r="B867" s="20" t="inlineStr">
        <is>
          <t>Archrock, Inc.</t>
        </is>
      </c>
      <c r="C867" s="20" t="inlineStr">
        <is>
          <t>Oil &amp; Gas Equipment &amp; Services</t>
        </is>
      </c>
      <c r="D867" s="20" t="inlineStr">
        <is>
          <t>United States</t>
        </is>
      </c>
      <c r="E867" s="21" t="n">
        <v>5.55</v>
      </c>
      <c r="F867" s="22" t="n">
        <v>31.66</v>
      </c>
      <c r="G867" s="22" t="n">
        <v>42.375</v>
      </c>
      <c r="H867" s="23">
        <f>IF(AND(ISNUMBER(F867),ISNUMBER(G867),F867&gt;0),G867/F867-1,"")</f>
        <v/>
      </c>
      <c r="I867" s="22" t="n">
        <v>40</v>
      </c>
      <c r="J867" s="23">
        <f>IF(AND(ISNUMBER(F867),ISNUMBER(I867),F867&gt;0),I867/F867-1,"")</f>
        <v/>
      </c>
      <c r="K867" s="22" t="n">
        <v>46</v>
      </c>
      <c r="L867" s="23">
        <f>IF(AND(ISNUMBER(F867),ISNUMBER(K867),F867&gt;0),K867/F867-1,"")</f>
        <v/>
      </c>
      <c r="M867" s="24" t="n">
        <v>8</v>
      </c>
      <c r="N867" s="25" t="n">
        <v>0.92</v>
      </c>
      <c r="O867" s="26">
        <f>IF(AND(ISNUMBER(F867),ISNUMBER(N867),F867&gt;0),N867/F867,"")</f>
        <v/>
      </c>
      <c r="P867" s="27" t="n">
        <v>46329</v>
      </c>
      <c r="Q867" s="27" t="n">
        <v>46328</v>
      </c>
      <c r="R867" s="25" t="n">
        <v>1.86</v>
      </c>
      <c r="S867" s="28">
        <f>IF(AND(ISNUMBER(F867),ISNUMBER(R867),R867&gt;0),F867/R867,"")</f>
        <v/>
      </c>
      <c r="T867" s="27" t="n">
        <v>46323</v>
      </c>
    </row>
    <row r="868">
      <c r="A868" s="11" t="inlineStr">
        <is>
          <t>ACIW</t>
        </is>
      </c>
      <c r="B868" s="11" t="inlineStr">
        <is>
          <t>ACI Worldwide, Inc.</t>
        </is>
      </c>
      <c r="C868" s="11" t="inlineStr">
        <is>
          <t>Software - Infrastructure</t>
        </is>
      </c>
      <c r="D868" s="11" t="inlineStr">
        <is>
          <t>United States</t>
        </is>
      </c>
      <c r="E868" s="12" t="n">
        <v>5.52</v>
      </c>
      <c r="F868" s="13" t="n">
        <v>54.66</v>
      </c>
      <c r="G868" s="13" t="n">
        <v>64.5</v>
      </c>
      <c r="H868" s="14">
        <f>IF(AND(ISNUMBER(F868),ISNUMBER(G868),F868&gt;0),G868/F868-1,"")</f>
        <v/>
      </c>
      <c r="I868" s="13" t="n">
        <v>56</v>
      </c>
      <c r="J868" s="14">
        <f>IF(AND(ISNUMBER(F868),ISNUMBER(I868),F868&gt;0),I868/F868-1,"")</f>
        <v/>
      </c>
      <c r="K868" s="13" t="n">
        <v>70</v>
      </c>
      <c r="L868" s="14">
        <f>IF(AND(ISNUMBER(F868),ISNUMBER(K868),F868&gt;0),K868/F868-1,"")</f>
        <v/>
      </c>
      <c r="M868" s="15" t="n">
        <v>4</v>
      </c>
      <c r="N868" s="16" t="n"/>
      <c r="O868" s="17">
        <f>IF(AND(ISNUMBER(F868),ISNUMBER(N868),F868&gt;0),N868/F868,"")</f>
        <v/>
      </c>
      <c r="P868" s="18" t="n"/>
      <c r="Q868" s="18" t="n">
        <v>46331</v>
      </c>
      <c r="R868" s="16" t="n">
        <v>2.19</v>
      </c>
      <c r="S868" s="19">
        <f>IF(AND(ISNUMBER(F868),ISNUMBER(R868),R868&gt;0),F868/R868,"")</f>
        <v/>
      </c>
      <c r="T868" s="18" t="n">
        <v>46323</v>
      </c>
    </row>
    <row r="869">
      <c r="A869" s="20" t="inlineStr">
        <is>
          <t>HAE</t>
        </is>
      </c>
      <c r="B869" s="20" t="inlineStr">
        <is>
          <t>Haemonetics Corporation</t>
        </is>
      </c>
      <c r="C869" s="20" t="inlineStr">
        <is>
          <t>Medical Devices</t>
        </is>
      </c>
      <c r="D869" s="20" t="inlineStr">
        <is>
          <t>United States</t>
        </is>
      </c>
      <c r="E869" s="21" t="n">
        <v>5.46</v>
      </c>
      <c r="F869" s="22" t="n">
        <v>119.97</v>
      </c>
      <c r="G869" s="22" t="n">
        <v>124.5</v>
      </c>
      <c r="H869" s="23">
        <f>IF(AND(ISNUMBER(F869),ISNUMBER(G869),F869&gt;0),G869/F869-1,"")</f>
        <v/>
      </c>
      <c r="I869" s="22" t="n">
        <v>86</v>
      </c>
      <c r="J869" s="23">
        <f>IF(AND(ISNUMBER(F869),ISNUMBER(I869),F869&gt;0),I869/F869-1,"")</f>
        <v/>
      </c>
      <c r="K869" s="22" t="n">
        <v>142</v>
      </c>
      <c r="L869" s="23">
        <f>IF(AND(ISNUMBER(F869),ISNUMBER(K869),F869&gt;0),K869/F869-1,"")</f>
        <v/>
      </c>
      <c r="M869" s="24" t="n">
        <v>10</v>
      </c>
      <c r="N869" s="25" t="n"/>
      <c r="O869" s="26">
        <f>IF(AND(ISNUMBER(F869),ISNUMBER(N869),F869&gt;0),N869/F869,"")</f>
        <v/>
      </c>
      <c r="P869" s="27" t="n"/>
      <c r="Q869" s="27" t="n">
        <v>46331</v>
      </c>
      <c r="R869" s="25" t="n">
        <v>2.07</v>
      </c>
      <c r="S869" s="28">
        <f>IF(AND(ISNUMBER(F869),ISNUMBER(R869),R869&gt;0),F869/R869,"")</f>
        <v/>
      </c>
      <c r="T869" s="27" t="n">
        <v>46323</v>
      </c>
    </row>
    <row r="870">
      <c r="A870" s="11" t="inlineStr">
        <is>
          <t>SNDR</t>
        </is>
      </c>
      <c r="B870" s="11" t="inlineStr">
        <is>
          <t>Schneider National, Inc.</t>
        </is>
      </c>
      <c r="C870" s="11" t="inlineStr">
        <is>
          <t>Trucking</t>
        </is>
      </c>
      <c r="D870" s="11" t="inlineStr">
        <is>
          <t>United States</t>
        </is>
      </c>
      <c r="E870" s="12" t="n">
        <v>5.45</v>
      </c>
      <c r="F870" s="13" t="n">
        <v>31.11</v>
      </c>
      <c r="G870" s="13" t="n">
        <v>35.85714</v>
      </c>
      <c r="H870" s="14">
        <f>IF(AND(ISNUMBER(F870),ISNUMBER(G870),F870&gt;0),G870/F870-1,"")</f>
        <v/>
      </c>
      <c r="I870" s="13" t="n">
        <v>30</v>
      </c>
      <c r="J870" s="14">
        <f>IF(AND(ISNUMBER(F870),ISNUMBER(I870),F870&gt;0),I870/F870-1,"")</f>
        <v/>
      </c>
      <c r="K870" s="13" t="n">
        <v>45</v>
      </c>
      <c r="L870" s="14">
        <f>IF(AND(ISNUMBER(F870),ISNUMBER(K870),F870&gt;0),K870/F870-1,"")</f>
        <v/>
      </c>
      <c r="M870" s="15" t="n">
        <v>14</v>
      </c>
      <c r="N870" s="16" t="n">
        <v>0.4</v>
      </c>
      <c r="O870" s="17">
        <f>IF(AND(ISNUMBER(F870),ISNUMBER(N870),F870&gt;0),N870/F870,"")</f>
        <v/>
      </c>
      <c r="P870" s="18" t="n">
        <v>46276</v>
      </c>
      <c r="Q870" s="18" t="n">
        <v>46324</v>
      </c>
      <c r="R870" s="16" t="n">
        <v>0.63</v>
      </c>
      <c r="S870" s="19">
        <f>IF(AND(ISNUMBER(F870),ISNUMBER(R870),R870&gt;0),F870/R870,"")</f>
        <v/>
      </c>
      <c r="T870" s="18" t="n">
        <v>46323</v>
      </c>
    </row>
    <row r="871">
      <c r="A871" s="20" t="inlineStr">
        <is>
          <t>BILI</t>
        </is>
      </c>
      <c r="B871" s="20" t="inlineStr">
        <is>
          <t>Bilibili Inc.</t>
        </is>
      </c>
      <c r="C871" s="20" t="inlineStr">
        <is>
          <t>Internet Content &amp; Information</t>
        </is>
      </c>
      <c r="D871" s="20" t="inlineStr">
        <is>
          <t>China</t>
        </is>
      </c>
      <c r="E871" s="21" t="n">
        <v>5.42</v>
      </c>
      <c r="F871" s="22" t="n">
        <v>13.11</v>
      </c>
      <c r="G871" s="22" t="n">
        <v>25.823225</v>
      </c>
      <c r="H871" s="23">
        <f>IF(AND(ISNUMBER(F871),ISNUMBER(G871),F871&gt;0),G871/F871-1,"")</f>
        <v/>
      </c>
      <c r="I871" s="22" t="n">
        <v>18.121521</v>
      </c>
      <c r="J871" s="23">
        <f>IF(AND(ISNUMBER(F871),ISNUMBER(I871),F871&gt;0),I871/F871-1,"")</f>
        <v/>
      </c>
      <c r="K871" s="22" t="n">
        <v>36.24679</v>
      </c>
      <c r="L871" s="23">
        <f>IF(AND(ISNUMBER(F871),ISNUMBER(K871),F871&gt;0),K871/F871-1,"")</f>
        <v/>
      </c>
      <c r="M871" s="24" t="n">
        <v>30</v>
      </c>
      <c r="N871" s="25" t="n"/>
      <c r="O871" s="26">
        <f>IF(AND(ISNUMBER(F871),ISNUMBER(N871),F871&gt;0),N871/F871,"")</f>
        <v/>
      </c>
      <c r="P871" s="27" t="n"/>
      <c r="Q871" s="27" t="n">
        <v>46338</v>
      </c>
      <c r="R871" s="25" t="n">
        <v>0.51</v>
      </c>
      <c r="S871" s="28">
        <f>IF(AND(ISNUMBER(F871),ISNUMBER(R871),R871&gt;0),F871/R871,"")</f>
        <v/>
      </c>
      <c r="T871" s="27" t="n">
        <v>46323</v>
      </c>
    </row>
    <row r="872">
      <c r="A872" s="11" t="inlineStr">
        <is>
          <t>PSN</t>
        </is>
      </c>
      <c r="B872" s="11" t="inlineStr">
        <is>
          <t>Parsons Corporation</t>
        </is>
      </c>
      <c r="C872" s="11" t="inlineStr">
        <is>
          <t>Information Technology Services</t>
        </is>
      </c>
      <c r="D872" s="11" t="inlineStr">
        <is>
          <t>United States</t>
        </is>
      </c>
      <c r="E872" s="12" t="n">
        <v>5.42</v>
      </c>
      <c r="F872" s="13" t="n">
        <v>50.73</v>
      </c>
      <c r="G872" s="13" t="n">
        <v>58.36364</v>
      </c>
      <c r="H872" s="14">
        <f>IF(AND(ISNUMBER(F872),ISNUMBER(G872),F872&gt;0),G872/F872-1,"")</f>
        <v/>
      </c>
      <c r="I872" s="13" t="n">
        <v>50</v>
      </c>
      <c r="J872" s="14">
        <f>IF(AND(ISNUMBER(F872),ISNUMBER(I872),F872&gt;0),I872/F872-1,"")</f>
        <v/>
      </c>
      <c r="K872" s="13" t="n">
        <v>66</v>
      </c>
      <c r="L872" s="14">
        <f>IF(AND(ISNUMBER(F872),ISNUMBER(K872),F872&gt;0),K872/F872-1,"")</f>
        <v/>
      </c>
      <c r="M872" s="15" t="n">
        <v>11</v>
      </c>
      <c r="N872" s="16" t="n"/>
      <c r="O872" s="17">
        <f>IF(AND(ISNUMBER(F872),ISNUMBER(N872),F872&gt;0),N872/F872,"")</f>
        <v/>
      </c>
      <c r="P872" s="18" t="n"/>
      <c r="Q872" s="18" t="n">
        <v>46323</v>
      </c>
      <c r="R872" s="16" t="n">
        <v>1.45</v>
      </c>
      <c r="S872" s="19">
        <f>IF(AND(ISNUMBER(F872),ISNUMBER(R872),R872&gt;0),F872/R872,"")</f>
        <v/>
      </c>
      <c r="T872" s="18" t="n">
        <v>46323</v>
      </c>
    </row>
    <row r="873">
      <c r="A873" s="20" t="inlineStr">
        <is>
          <t>CPA</t>
        </is>
      </c>
      <c r="B873" s="20" t="inlineStr">
        <is>
          <t>Copa Holdings, S.A.</t>
        </is>
      </c>
      <c r="C873" s="20" t="inlineStr">
        <is>
          <t>Airlines</t>
        </is>
      </c>
      <c r="D873" s="20" t="inlineStr">
        <is>
          <t>Panama</t>
        </is>
      </c>
      <c r="E873" s="21" t="n">
        <v>5.4</v>
      </c>
      <c r="F873" s="22" t="n">
        <v>132.18</v>
      </c>
      <c r="G873" s="22" t="n">
        <v>178.46667</v>
      </c>
      <c r="H873" s="23">
        <f>IF(AND(ISNUMBER(F873),ISNUMBER(G873),F873&gt;0),G873/F873-1,"")</f>
        <v/>
      </c>
      <c r="I873" s="22" t="n">
        <v>152</v>
      </c>
      <c r="J873" s="23">
        <f>IF(AND(ISNUMBER(F873),ISNUMBER(I873),F873&gt;0),I873/F873-1,"")</f>
        <v/>
      </c>
      <c r="K873" s="22" t="n">
        <v>205</v>
      </c>
      <c r="L873" s="23">
        <f>IF(AND(ISNUMBER(F873),ISNUMBER(K873),F873&gt;0),K873/F873-1,"")</f>
        <v/>
      </c>
      <c r="M873" s="24" t="n">
        <v>15</v>
      </c>
      <c r="N873" s="25" t="n">
        <v>6.84</v>
      </c>
      <c r="O873" s="26">
        <f>IF(AND(ISNUMBER(F873),ISNUMBER(N873),F873&gt;0),N873/F873,"")</f>
        <v/>
      </c>
      <c r="P873" s="27" t="n">
        <v>46265</v>
      </c>
      <c r="Q873" s="27" t="n">
        <v>46344</v>
      </c>
      <c r="R873" s="25" t="n">
        <v>15.21</v>
      </c>
      <c r="S873" s="28">
        <f>IF(AND(ISNUMBER(F873),ISNUMBER(R873),R873&gt;0),F873/R873,"")</f>
        <v/>
      </c>
      <c r="T873" s="27" t="n">
        <v>46323</v>
      </c>
    </row>
    <row r="874">
      <c r="A874" s="11" t="inlineStr">
        <is>
          <t>NJR</t>
        </is>
      </c>
      <c r="B874" s="11" t="inlineStr">
        <is>
          <t>NewJersey Resources Corporation</t>
        </is>
      </c>
      <c r="C874" s="11" t="inlineStr">
        <is>
          <t>Utilities - Regulated Gas</t>
        </is>
      </c>
      <c r="D874" s="11" t="inlineStr">
        <is>
          <t>United States</t>
        </is>
      </c>
      <c r="E874" s="12" t="n">
        <v>5.39</v>
      </c>
      <c r="F874" s="13" t="n">
        <v>53.12</v>
      </c>
      <c r="G874" s="13" t="n">
        <v>59.71429</v>
      </c>
      <c r="H874" s="14">
        <f>IF(AND(ISNUMBER(F874),ISNUMBER(G874),F874&gt;0),G874/F874-1,"")</f>
        <v/>
      </c>
      <c r="I874" s="13" t="n">
        <v>53</v>
      </c>
      <c r="J874" s="14">
        <f>IF(AND(ISNUMBER(F874),ISNUMBER(I874),F874&gt;0),I874/F874-1,"")</f>
        <v/>
      </c>
      <c r="K874" s="13" t="n">
        <v>63</v>
      </c>
      <c r="L874" s="14">
        <f>IF(AND(ISNUMBER(F874),ISNUMBER(K874),F874&gt;0),K874/F874-1,"")</f>
        <v/>
      </c>
      <c r="M874" s="15" t="n">
        <v>7</v>
      </c>
      <c r="N874" s="16" t="n">
        <v>2</v>
      </c>
      <c r="O874" s="17">
        <f>IF(AND(ISNUMBER(F874),ISNUMBER(N874),F874&gt;0),N874/F874,"")</f>
        <v/>
      </c>
      <c r="P874" s="18" t="n">
        <v>46289</v>
      </c>
      <c r="Q874" s="18" t="n">
        <v>46342</v>
      </c>
      <c r="R874" s="16" t="n">
        <v>3.61</v>
      </c>
      <c r="S874" s="19">
        <f>IF(AND(ISNUMBER(F874),ISNUMBER(R874),R874&gt;0),F874/R874,"")</f>
        <v/>
      </c>
      <c r="T874" s="18" t="n">
        <v>46323</v>
      </c>
    </row>
    <row r="875">
      <c r="A875" s="20" t="inlineStr">
        <is>
          <t>CRGY</t>
        </is>
      </c>
      <c r="B875" s="20" t="inlineStr">
        <is>
          <t>Crescent Energy Company</t>
        </is>
      </c>
      <c r="C875" s="20" t="inlineStr">
        <is>
          <t>Oil &amp; Gas E&amp;P</t>
        </is>
      </c>
      <c r="D875" s="20" t="inlineStr">
        <is>
          <t>United States</t>
        </is>
      </c>
      <c r="E875" s="21" t="n">
        <v>5.39</v>
      </c>
      <c r="F875" s="22" t="n">
        <v>13.69</v>
      </c>
      <c r="G875" s="22" t="n">
        <v>18.4375</v>
      </c>
      <c r="H875" s="23">
        <f>IF(AND(ISNUMBER(F875),ISNUMBER(G875),F875&gt;0),G875/F875-1,"")</f>
        <v/>
      </c>
      <c r="I875" s="22" t="n">
        <v>12</v>
      </c>
      <c r="J875" s="23">
        <f>IF(AND(ISNUMBER(F875),ISNUMBER(I875),F875&gt;0),I875/F875-1,"")</f>
        <v/>
      </c>
      <c r="K875" s="22" t="n">
        <v>22</v>
      </c>
      <c r="L875" s="23">
        <f>IF(AND(ISNUMBER(F875),ISNUMBER(K875),F875&gt;0),K875/F875-1,"")</f>
        <v/>
      </c>
      <c r="M875" s="24" t="n">
        <v>16</v>
      </c>
      <c r="N875" s="25" t="n">
        <v>0.48</v>
      </c>
      <c r="O875" s="26">
        <f>IF(AND(ISNUMBER(F875),ISNUMBER(N875),F875&gt;0),N875/F875,"")</f>
        <v/>
      </c>
      <c r="P875" s="27" t="n">
        <v>46251</v>
      </c>
      <c r="Q875" s="27" t="n">
        <v>46328</v>
      </c>
      <c r="R875" s="25" t="n">
        <v>0.11</v>
      </c>
      <c r="S875" s="28">
        <f>IF(AND(ISNUMBER(F875),ISNUMBER(R875),R875&gt;0),F875/R875,"")</f>
        <v/>
      </c>
      <c r="T875" s="27" t="n">
        <v>46323</v>
      </c>
    </row>
    <row r="876">
      <c r="A876" s="11" t="inlineStr">
        <is>
          <t>BCPC</t>
        </is>
      </c>
      <c r="B876" s="11" t="inlineStr">
        <is>
          <t>Balchem Corporation</t>
        </is>
      </c>
      <c r="C876" s="11" t="inlineStr">
        <is>
          <t>Specialty Chemicals</t>
        </is>
      </c>
      <c r="D876" s="11" t="inlineStr">
        <is>
          <t>United States</t>
        </is>
      </c>
      <c r="E876" s="12" t="n">
        <v>5.38</v>
      </c>
      <c r="F876" s="13" t="n">
        <v>168.7</v>
      </c>
      <c r="G876" s="13" t="n">
        <v>208</v>
      </c>
      <c r="H876" s="14">
        <f>IF(AND(ISNUMBER(F876),ISNUMBER(G876),F876&gt;0),G876/F876-1,"")</f>
        <v/>
      </c>
      <c r="I876" s="13" t="n">
        <v>165</v>
      </c>
      <c r="J876" s="14">
        <f>IF(AND(ISNUMBER(F876),ISNUMBER(I876),F876&gt;0),I876/F876-1,"")</f>
        <v/>
      </c>
      <c r="K876" s="13" t="n">
        <v>242</v>
      </c>
      <c r="L876" s="14">
        <f>IF(AND(ISNUMBER(F876),ISNUMBER(K876),F876&gt;0),K876/F876-1,"")</f>
        <v/>
      </c>
      <c r="M876" s="15" t="n">
        <v>4</v>
      </c>
      <c r="N876" s="16" t="n">
        <v>0.96</v>
      </c>
      <c r="O876" s="17">
        <f>IF(AND(ISNUMBER(F876),ISNUMBER(N876),F876&gt;0),N876/F876,"")</f>
        <v/>
      </c>
      <c r="P876" s="18" t="n">
        <v>46014</v>
      </c>
      <c r="Q876" s="18" t="n">
        <v>46318</v>
      </c>
      <c r="R876" s="16" t="n">
        <v>4.9</v>
      </c>
      <c r="S876" s="19">
        <f>IF(AND(ISNUMBER(F876),ISNUMBER(R876),R876&gt;0),F876/R876,"")</f>
        <v/>
      </c>
      <c r="T876" s="18" t="n">
        <v>46323</v>
      </c>
    </row>
    <row r="877">
      <c r="A877" s="20" t="inlineStr">
        <is>
          <t>SGHC</t>
        </is>
      </c>
      <c r="B877" s="20" t="inlineStr">
        <is>
          <t>Super Group (SGHC) Limited</t>
        </is>
      </c>
      <c r="C877" s="20" t="inlineStr">
        <is>
          <t>Gambling</t>
        </is>
      </c>
      <c r="D877" s="20" t="inlineStr">
        <is>
          <t>Guernsey</t>
        </is>
      </c>
      <c r="E877" s="21" t="n">
        <v>5.36</v>
      </c>
      <c r="F877" s="22" t="n">
        <v>10.55</v>
      </c>
      <c r="G877" s="22" t="n">
        <v>18.66667</v>
      </c>
      <c r="H877" s="23">
        <f>IF(AND(ISNUMBER(F877),ISNUMBER(G877),F877&gt;0),G877/F877-1,"")</f>
        <v/>
      </c>
      <c r="I877" s="22" t="n">
        <v>13</v>
      </c>
      <c r="J877" s="23">
        <f>IF(AND(ISNUMBER(F877),ISNUMBER(I877),F877&gt;0),I877/F877-1,"")</f>
        <v/>
      </c>
      <c r="K877" s="22" t="n">
        <v>22</v>
      </c>
      <c r="L877" s="23">
        <f>IF(AND(ISNUMBER(F877),ISNUMBER(K877),F877&gt;0),K877/F877-1,"")</f>
        <v/>
      </c>
      <c r="M877" s="24" t="n">
        <v>9</v>
      </c>
      <c r="N877" s="25" t="n">
        <v>0.2</v>
      </c>
      <c r="O877" s="26">
        <f>IF(AND(ISNUMBER(F877),ISNUMBER(N877),F877&gt;0),N877/F877,"")</f>
        <v/>
      </c>
      <c r="P877" s="27" t="n">
        <v>46287</v>
      </c>
      <c r="Q877" s="27" t="n">
        <v>46329</v>
      </c>
      <c r="R877" s="25" t="n">
        <v>0.72</v>
      </c>
      <c r="S877" s="28">
        <f>IF(AND(ISNUMBER(F877),ISNUMBER(R877),R877&gt;0),F877/R877,"")</f>
        <v/>
      </c>
      <c r="T877" s="27" t="n">
        <v>46323</v>
      </c>
    </row>
    <row r="878">
      <c r="A878" s="11" t="inlineStr">
        <is>
          <t>CE</t>
        </is>
      </c>
      <c r="B878" s="11" t="inlineStr">
        <is>
          <t>Celanese Corporation</t>
        </is>
      </c>
      <c r="C878" s="11" t="inlineStr">
        <is>
          <t>Chemicals</t>
        </is>
      </c>
      <c r="D878" s="11" t="inlineStr">
        <is>
          <t>United States</t>
        </is>
      </c>
      <c r="E878" s="12" t="n">
        <v>5.34</v>
      </c>
      <c r="F878" s="13" t="n">
        <v>48.63</v>
      </c>
      <c r="G878" s="13" t="n">
        <v>61.16667</v>
      </c>
      <c r="H878" s="14">
        <f>IF(AND(ISNUMBER(F878),ISNUMBER(G878),F878&gt;0),G878/F878-1,"")</f>
        <v/>
      </c>
      <c r="I878" s="13" t="n">
        <v>46</v>
      </c>
      <c r="J878" s="14">
        <f>IF(AND(ISNUMBER(F878),ISNUMBER(I878),F878&gt;0),I878/F878-1,"")</f>
        <v/>
      </c>
      <c r="K878" s="13" t="n">
        <v>86</v>
      </c>
      <c r="L878" s="14">
        <f>IF(AND(ISNUMBER(F878),ISNUMBER(K878),F878&gt;0),K878/F878-1,"")</f>
        <v/>
      </c>
      <c r="M878" s="15" t="n">
        <v>18</v>
      </c>
      <c r="N878" s="16" t="n">
        <v>0.12</v>
      </c>
      <c r="O878" s="17">
        <f>IF(AND(ISNUMBER(F878),ISNUMBER(N878),F878&gt;0),N878/F878,"")</f>
        <v/>
      </c>
      <c r="P878" s="18" t="n">
        <v>46322</v>
      </c>
      <c r="Q878" s="18" t="n">
        <v>46328</v>
      </c>
      <c r="R878" s="16" t="n">
        <v>-10.6</v>
      </c>
      <c r="S878" s="19">
        <f>IF(AND(ISNUMBER(F878),ISNUMBER(R878),R878&gt;0),F878/R878,"")</f>
        <v/>
      </c>
      <c r="T878" s="18" t="n">
        <v>46323</v>
      </c>
    </row>
    <row r="879">
      <c r="A879" s="20" t="inlineStr">
        <is>
          <t>BIRK</t>
        </is>
      </c>
      <c r="B879" s="20" t="inlineStr">
        <is>
          <t>Birkenstock Holding plc</t>
        </is>
      </c>
      <c r="C879" s="20" t="inlineStr">
        <is>
          <t>Footwear &amp; Accessories</t>
        </is>
      </c>
      <c r="D879" s="20" t="inlineStr">
        <is>
          <t>United Kingdom</t>
        </is>
      </c>
      <c r="E879" s="21" t="n">
        <v>5.33</v>
      </c>
      <c r="F879" s="22" t="n">
        <v>32.26</v>
      </c>
      <c r="G879" s="22" t="n">
        <v>49.075172</v>
      </c>
      <c r="H879" s="23">
        <f>IF(AND(ISNUMBER(F879),ISNUMBER(G879),F879&gt;0),G879/F879-1,"")</f>
        <v/>
      </c>
      <c r="I879" s="22" t="n">
        <v>26.819498</v>
      </c>
      <c r="J879" s="23">
        <f>IF(AND(ISNUMBER(F879),ISNUMBER(I879),F879&gt;0),I879/F879-1,"")</f>
        <v/>
      </c>
      <c r="K879" s="22" t="n">
        <v>69.439125</v>
      </c>
      <c r="L879" s="23">
        <f>IF(AND(ISNUMBER(F879),ISNUMBER(K879),F879&gt;0),K879/F879-1,"")</f>
        <v/>
      </c>
      <c r="M879" s="24" t="n">
        <v>20</v>
      </c>
      <c r="N879" s="25" t="n"/>
      <c r="O879" s="26">
        <f>IF(AND(ISNUMBER(F879),ISNUMBER(N879),F879&gt;0),N879/F879,"")</f>
        <v/>
      </c>
      <c r="P879" s="27" t="n"/>
      <c r="Q879" s="27" t="n">
        <v>46247</v>
      </c>
      <c r="R879" s="25" t="n">
        <v>2.14</v>
      </c>
      <c r="S879" s="28">
        <f>IF(AND(ISNUMBER(F879),ISNUMBER(R879),R879&gt;0),F879/R879,"")</f>
        <v/>
      </c>
      <c r="T879" s="27" t="n">
        <v>46323</v>
      </c>
    </row>
    <row r="880">
      <c r="A880" s="11" t="inlineStr">
        <is>
          <t>POR</t>
        </is>
      </c>
      <c r="B880" s="11" t="inlineStr">
        <is>
          <t>Portland General Electric Co</t>
        </is>
      </c>
      <c r="C880" s="11" t="inlineStr">
        <is>
          <t>Utilities - Regulated Electric</t>
        </is>
      </c>
      <c r="D880" s="11" t="inlineStr">
        <is>
          <t>United States</t>
        </is>
      </c>
      <c r="E880" s="12" t="n">
        <v>5.25</v>
      </c>
      <c r="F880" s="13" t="n">
        <v>44.65</v>
      </c>
      <c r="G880" s="13" t="n">
        <v>51.09091</v>
      </c>
      <c r="H880" s="14">
        <f>IF(AND(ISNUMBER(F880),ISNUMBER(G880),F880&gt;0),G880/F880-1,"")</f>
        <v/>
      </c>
      <c r="I880" s="13" t="n">
        <v>43</v>
      </c>
      <c r="J880" s="14">
        <f>IF(AND(ISNUMBER(F880),ISNUMBER(I880),F880&gt;0),I880/F880-1,"")</f>
        <v/>
      </c>
      <c r="K880" s="13" t="n">
        <v>62</v>
      </c>
      <c r="L880" s="14">
        <f>IF(AND(ISNUMBER(F880),ISNUMBER(K880),F880&gt;0),K880/F880-1,"")</f>
        <v/>
      </c>
      <c r="M880" s="15" t="n">
        <v>11</v>
      </c>
      <c r="N880" s="16" t="n">
        <v>2.21</v>
      </c>
      <c r="O880" s="17">
        <f>IF(AND(ISNUMBER(F880),ISNUMBER(N880),F880&gt;0),N880/F880,"")</f>
        <v/>
      </c>
      <c r="P880" s="18" t="n">
        <v>46378</v>
      </c>
      <c r="Q880" s="18" t="n">
        <v>46324</v>
      </c>
      <c r="R880" s="16" t="n">
        <v>2.26</v>
      </c>
      <c r="S880" s="19">
        <f>IF(AND(ISNUMBER(F880),ISNUMBER(R880),R880&gt;0),F880/R880,"")</f>
        <v/>
      </c>
      <c r="T880" s="18" t="n">
        <v>46323</v>
      </c>
    </row>
    <row r="881">
      <c r="A881" s="20" t="inlineStr">
        <is>
          <t>BYD</t>
        </is>
      </c>
      <c r="B881" s="20" t="inlineStr">
        <is>
          <t>Boyd Gaming Corporation</t>
        </is>
      </c>
      <c r="C881" s="20" t="inlineStr">
        <is>
          <t>Resorts &amp; Casinos</t>
        </is>
      </c>
      <c r="D881" s="20" t="inlineStr">
        <is>
          <t>United States</t>
        </is>
      </c>
      <c r="E881" s="21" t="n">
        <v>5.22</v>
      </c>
      <c r="F881" s="22" t="n">
        <v>71.88</v>
      </c>
      <c r="G881" s="22" t="n">
        <v>87.4375</v>
      </c>
      <c r="H881" s="23">
        <f>IF(AND(ISNUMBER(F881),ISNUMBER(G881),F881&gt;0),G881/F881-1,"")</f>
        <v/>
      </c>
      <c r="I881" s="22" t="n">
        <v>75</v>
      </c>
      <c r="J881" s="23">
        <f>IF(AND(ISNUMBER(F881),ISNUMBER(I881),F881&gt;0),I881/F881-1,"")</f>
        <v/>
      </c>
      <c r="K881" s="22" t="n">
        <v>107</v>
      </c>
      <c r="L881" s="23">
        <f>IF(AND(ISNUMBER(F881),ISNUMBER(K881),F881&gt;0),K881/F881-1,"")</f>
        <v/>
      </c>
      <c r="M881" s="24" t="n">
        <v>16</v>
      </c>
      <c r="N881" s="25" t="n">
        <v>0.8</v>
      </c>
      <c r="O881" s="26">
        <f>IF(AND(ISNUMBER(F881),ISNUMBER(N881),F881&gt;0),N881/F881,"")</f>
        <v/>
      </c>
      <c r="P881" s="27" t="n">
        <v>46280</v>
      </c>
      <c r="Q881" s="27" t="n">
        <v>46317</v>
      </c>
      <c r="R881" s="25" t="n">
        <v>6.81</v>
      </c>
      <c r="S881" s="28">
        <f>IF(AND(ISNUMBER(F881),ISNUMBER(R881),R881&gt;0),F881/R881,"")</f>
        <v/>
      </c>
      <c r="T881" s="27" t="n">
        <v>46323</v>
      </c>
    </row>
    <row r="882">
      <c r="A882" s="11" t="inlineStr">
        <is>
          <t>PTCT</t>
        </is>
      </c>
      <c r="B882" s="11" t="inlineStr">
        <is>
          <t>PTC Therapeutics, Inc.</t>
        </is>
      </c>
      <c r="C882" s="11" t="inlineStr">
        <is>
          <t>Biotechnology</t>
        </is>
      </c>
      <c r="D882" s="11" t="inlineStr">
        <is>
          <t>United States</t>
        </is>
      </c>
      <c r="E882" s="12" t="n">
        <v>5.18</v>
      </c>
      <c r="F882" s="13" t="n">
        <v>62.09</v>
      </c>
      <c r="G882" s="13" t="n">
        <v>97.8125</v>
      </c>
      <c r="H882" s="14">
        <f>IF(AND(ISNUMBER(F882),ISNUMBER(G882),F882&gt;0),G882/F882-1,"")</f>
        <v/>
      </c>
      <c r="I882" s="13" t="n">
        <v>62</v>
      </c>
      <c r="J882" s="14">
        <f>IF(AND(ISNUMBER(F882),ISNUMBER(I882),F882&gt;0),I882/F882-1,"")</f>
        <v/>
      </c>
      <c r="K882" s="13" t="n">
        <v>137</v>
      </c>
      <c r="L882" s="14">
        <f>IF(AND(ISNUMBER(F882),ISNUMBER(K882),F882&gt;0),K882/F882-1,"")</f>
        <v/>
      </c>
      <c r="M882" s="15" t="n">
        <v>16</v>
      </c>
      <c r="N882" s="16" t="n"/>
      <c r="O882" s="17">
        <f>IF(AND(ISNUMBER(F882),ISNUMBER(N882),F882&gt;0),N882/F882,"")</f>
        <v/>
      </c>
      <c r="P882" s="18" t="n"/>
      <c r="Q882" s="18" t="n">
        <v>46324</v>
      </c>
      <c r="R882" s="16" t="n">
        <v>-0.65</v>
      </c>
      <c r="S882" s="19">
        <f>IF(AND(ISNUMBER(F882),ISNUMBER(R882),R882&gt;0),F882/R882,"")</f>
        <v/>
      </c>
      <c r="T882" s="18" t="n">
        <v>46323</v>
      </c>
    </row>
    <row r="883">
      <c r="A883" s="20" t="inlineStr">
        <is>
          <t>FIGR</t>
        </is>
      </c>
      <c r="B883" s="20" t="inlineStr">
        <is>
          <t>Figure Technology Solutions, In</t>
        </is>
      </c>
      <c r="C883" s="20" t="inlineStr">
        <is>
          <t>Capital Markets</t>
        </is>
      </c>
      <c r="D883" s="20" t="inlineStr">
        <is>
          <t>United States</t>
        </is>
      </c>
      <c r="E883" s="21" t="n">
        <v>5.12</v>
      </c>
      <c r="F883" s="22" t="n">
        <v>22.84</v>
      </c>
      <c r="G883" s="22" t="n">
        <v>51.55556</v>
      </c>
      <c r="H883" s="23">
        <f>IF(AND(ISNUMBER(F883),ISNUMBER(G883),F883&gt;0),G883/F883-1,"")</f>
        <v/>
      </c>
      <c r="I883" s="22" t="n">
        <v>40</v>
      </c>
      <c r="J883" s="23">
        <f>IF(AND(ISNUMBER(F883),ISNUMBER(I883),F883&gt;0),I883/F883-1,"")</f>
        <v/>
      </c>
      <c r="K883" s="22" t="n">
        <v>70</v>
      </c>
      <c r="L883" s="23">
        <f>IF(AND(ISNUMBER(F883),ISNUMBER(K883),F883&gt;0),K883/F883-1,"")</f>
        <v/>
      </c>
      <c r="M883" s="24" t="n">
        <v>9</v>
      </c>
      <c r="N883" s="25" t="n"/>
      <c r="O883" s="26">
        <f>IF(AND(ISNUMBER(F883),ISNUMBER(N883),F883&gt;0),N883/F883,"")</f>
        <v/>
      </c>
      <c r="P883" s="27" t="n"/>
      <c r="Q883" s="27" t="n">
        <v>46338</v>
      </c>
      <c r="R883" s="25" t="n">
        <v>0.88</v>
      </c>
      <c r="S883" s="28">
        <f>IF(AND(ISNUMBER(F883),ISNUMBER(R883),R883&gt;0),F883/R883,"")</f>
        <v/>
      </c>
      <c r="T883" s="27" t="n">
        <v>46323</v>
      </c>
    </row>
    <row r="884">
      <c r="A884" s="11" t="inlineStr">
        <is>
          <t>NXST</t>
        </is>
      </c>
      <c r="B884" s="11" t="inlineStr">
        <is>
          <t>Nexstar Media Group, Inc.</t>
        </is>
      </c>
      <c r="C884" s="11" t="inlineStr">
        <is>
          <t>Broadcasting</t>
        </is>
      </c>
      <c r="D884" s="11" t="inlineStr">
        <is>
          <t>United States</t>
        </is>
      </c>
      <c r="E884" s="12" t="n">
        <v>5.12</v>
      </c>
      <c r="F884" s="13" t="n">
        <v>166.26</v>
      </c>
      <c r="G884" s="13" t="n">
        <v>246.75</v>
      </c>
      <c r="H884" s="14">
        <f>IF(AND(ISNUMBER(F884),ISNUMBER(G884),F884&gt;0),G884/F884-1,"")</f>
        <v/>
      </c>
      <c r="I884" s="13" t="n">
        <v>205</v>
      </c>
      <c r="J884" s="14">
        <f>IF(AND(ISNUMBER(F884),ISNUMBER(I884),F884&gt;0),I884/F884-1,"")</f>
        <v/>
      </c>
      <c r="K884" s="13" t="n">
        <v>290</v>
      </c>
      <c r="L884" s="14">
        <f>IF(AND(ISNUMBER(F884),ISNUMBER(K884),F884&gt;0),K884/F884-1,"")</f>
        <v/>
      </c>
      <c r="M884" s="15" t="n">
        <v>8</v>
      </c>
      <c r="N884" s="16" t="n">
        <v>7.44</v>
      </c>
      <c r="O884" s="17">
        <f>IF(AND(ISNUMBER(F884),ISNUMBER(N884),F884&gt;0),N884/F884,"")</f>
        <v/>
      </c>
      <c r="P884" s="18" t="n">
        <v>46248</v>
      </c>
      <c r="Q884" s="18" t="n">
        <v>46331</v>
      </c>
      <c r="R884" s="16" t="n">
        <v>5.28</v>
      </c>
      <c r="S884" s="19">
        <f>IF(AND(ISNUMBER(F884),ISNUMBER(R884),R884&gt;0),F884/R884,"")</f>
        <v/>
      </c>
      <c r="T884" s="18" t="n">
        <v>46323</v>
      </c>
    </row>
    <row r="885">
      <c r="A885" s="20" t="inlineStr">
        <is>
          <t>RIOT</t>
        </is>
      </c>
      <c r="B885" s="20" t="inlineStr">
        <is>
          <t>Riot Platforms, Inc.</t>
        </is>
      </c>
      <c r="C885" s="20" t="inlineStr">
        <is>
          <t>Capital Markets</t>
        </is>
      </c>
      <c r="D885" s="20" t="inlineStr">
        <is>
          <t>United States</t>
        </is>
      </c>
      <c r="E885" s="21" t="n">
        <v>5.09</v>
      </c>
      <c r="F885" s="22" t="n">
        <v>13.56</v>
      </c>
      <c r="G885" s="22" t="n">
        <v>29.83545</v>
      </c>
      <c r="H885" s="23">
        <f>IF(AND(ISNUMBER(F885),ISNUMBER(G885),F885&gt;0),G885/F885-1,"")</f>
        <v/>
      </c>
      <c r="I885" s="22" t="n">
        <v>13</v>
      </c>
      <c r="J885" s="23">
        <f>IF(AND(ISNUMBER(F885),ISNUMBER(I885),F885&gt;0),I885/F885-1,"")</f>
        <v/>
      </c>
      <c r="K885" s="22" t="n">
        <v>42</v>
      </c>
      <c r="L885" s="23">
        <f>IF(AND(ISNUMBER(F885),ISNUMBER(K885),F885&gt;0),K885/F885-1,"")</f>
        <v/>
      </c>
      <c r="M885" s="24" t="n">
        <v>22</v>
      </c>
      <c r="N885" s="25" t="n"/>
      <c r="O885" s="26">
        <f>IF(AND(ISNUMBER(F885),ISNUMBER(N885),F885&gt;0),N885/F885,"")</f>
        <v/>
      </c>
      <c r="P885" s="27" t="n"/>
      <c r="Q885" s="27" t="n">
        <v>46330</v>
      </c>
      <c r="R885" s="25" t="n">
        <v>-3.89</v>
      </c>
      <c r="S885" s="28">
        <f>IF(AND(ISNUMBER(F885),ISNUMBER(R885),R885&gt;0),F885/R885,"")</f>
        <v/>
      </c>
      <c r="T885" s="27" t="n">
        <v>46323</v>
      </c>
    </row>
    <row r="886">
      <c r="A886" s="11" t="inlineStr">
        <is>
          <t>OKLO</t>
        </is>
      </c>
      <c r="B886" s="11" t="inlineStr">
        <is>
          <t>Oklo Inc.</t>
        </is>
      </c>
      <c r="C886" s="11" t="inlineStr">
        <is>
          <t>Utilities - Independent Power Producers</t>
        </is>
      </c>
      <c r="D886" s="11" t="inlineStr">
        <is>
          <t>United States</t>
        </is>
      </c>
      <c r="E886" s="12" t="n">
        <v>5.08</v>
      </c>
      <c r="F886" s="13" t="n">
        <v>27.33</v>
      </c>
      <c r="G886" s="13" t="n">
        <v>66.8</v>
      </c>
      <c r="H886" s="14">
        <f>IF(AND(ISNUMBER(F886),ISNUMBER(G886),F886&gt;0),G886/F886-1,"")</f>
        <v/>
      </c>
      <c r="I886" s="13" t="n">
        <v>14</v>
      </c>
      <c r="J886" s="14">
        <f>IF(AND(ISNUMBER(F886),ISNUMBER(I886),F886&gt;0),I886/F886-1,"")</f>
        <v/>
      </c>
      <c r="K886" s="13" t="n">
        <v>122</v>
      </c>
      <c r="L886" s="14">
        <f>IF(AND(ISNUMBER(F886),ISNUMBER(K886),F886&gt;0),K886/F886-1,"")</f>
        <v/>
      </c>
      <c r="M886" s="15" t="n">
        <v>20</v>
      </c>
      <c r="N886" s="16" t="n"/>
      <c r="O886" s="17">
        <f>IF(AND(ISNUMBER(F886),ISNUMBER(N886),F886&gt;0),N886/F886,"")</f>
        <v/>
      </c>
      <c r="P886" s="18" t="n"/>
      <c r="Q886" s="18" t="n">
        <v>46332</v>
      </c>
      <c r="R886" s="16" t="n">
        <v>-0.9399999999999999</v>
      </c>
      <c r="S886" s="19">
        <f>IF(AND(ISNUMBER(F886),ISNUMBER(R886),R886&gt;0),F886/R886,"")</f>
        <v/>
      </c>
      <c r="T886" s="18" t="n">
        <v>46323</v>
      </c>
    </row>
    <row r="887">
      <c r="A887" s="20" t="inlineStr">
        <is>
          <t>KBR</t>
        </is>
      </c>
      <c r="B887" s="20" t="inlineStr">
        <is>
          <t>KBR, Inc.</t>
        </is>
      </c>
      <c r="C887" s="20" t="inlineStr">
        <is>
          <t>Engineering &amp; Construction</t>
        </is>
      </c>
      <c r="D887" s="20" t="inlineStr">
        <is>
          <t>United States</t>
        </is>
      </c>
      <c r="E887" s="21" t="n">
        <v>5.07</v>
      </c>
      <c r="F887" s="22" t="n">
        <v>40.23</v>
      </c>
      <c r="G887" s="22" t="n">
        <v>44.14286</v>
      </c>
      <c r="H887" s="23">
        <f>IF(AND(ISNUMBER(F887),ISNUMBER(G887),F887&gt;0),G887/F887-1,"")</f>
        <v/>
      </c>
      <c r="I887" s="22" t="n">
        <v>35</v>
      </c>
      <c r="J887" s="23">
        <f>IF(AND(ISNUMBER(F887),ISNUMBER(I887),F887&gt;0),I887/F887-1,"")</f>
        <v/>
      </c>
      <c r="K887" s="22" t="n">
        <v>50</v>
      </c>
      <c r="L887" s="23">
        <f>IF(AND(ISNUMBER(F887),ISNUMBER(K887),F887&gt;0),K887/F887-1,"")</f>
        <v/>
      </c>
      <c r="M887" s="24" t="n">
        <v>7</v>
      </c>
      <c r="N887" s="25" t="n">
        <v>0.66</v>
      </c>
      <c r="O887" s="26">
        <f>IF(AND(ISNUMBER(F887),ISNUMBER(N887),F887&gt;0),N887/F887,"")</f>
        <v/>
      </c>
      <c r="P887" s="27" t="n">
        <v>46371</v>
      </c>
      <c r="Q887" s="27" t="n">
        <v>46324</v>
      </c>
      <c r="R887" s="25" t="n">
        <v>3.33</v>
      </c>
      <c r="S887" s="28">
        <f>IF(AND(ISNUMBER(F887),ISNUMBER(R887),R887&gt;0),F887/R887,"")</f>
        <v/>
      </c>
      <c r="T887" s="27" t="n">
        <v>46323</v>
      </c>
    </row>
    <row r="888">
      <c r="A888" s="11" t="inlineStr">
        <is>
          <t>LPX</t>
        </is>
      </c>
      <c r="B888" s="11" t="inlineStr">
        <is>
          <t>Louisiana-Pacific Corporation</t>
        </is>
      </c>
      <c r="C888" s="11" t="inlineStr">
        <is>
          <t>Building Products &amp; Equipment</t>
        </is>
      </c>
      <c r="D888" s="11" t="inlineStr">
        <is>
          <t>United States</t>
        </is>
      </c>
      <c r="E888" s="12" t="n">
        <v>5.04</v>
      </c>
      <c r="F888" s="13" t="n">
        <v>72.05</v>
      </c>
      <c r="G888" s="13" t="n">
        <v>87.57143000000001</v>
      </c>
      <c r="H888" s="14">
        <f>IF(AND(ISNUMBER(F888),ISNUMBER(G888),F888&gt;0),G888/F888-1,"")</f>
        <v/>
      </c>
      <c r="I888" s="13" t="n">
        <v>64</v>
      </c>
      <c r="J888" s="14">
        <f>IF(AND(ISNUMBER(F888),ISNUMBER(I888),F888&gt;0),I888/F888-1,"")</f>
        <v/>
      </c>
      <c r="K888" s="13" t="n">
        <v>104</v>
      </c>
      <c r="L888" s="14">
        <f>IF(AND(ISNUMBER(F888),ISNUMBER(K888),F888&gt;0),K888/F888-1,"")</f>
        <v/>
      </c>
      <c r="M888" s="15" t="n">
        <v>14</v>
      </c>
      <c r="N888" s="16" t="n">
        <v>1.2</v>
      </c>
      <c r="O888" s="17">
        <f>IF(AND(ISNUMBER(F888),ISNUMBER(N888),F888&gt;0),N888/F888,"")</f>
        <v/>
      </c>
      <c r="P888" s="18" t="n">
        <v>46248</v>
      </c>
      <c r="Q888" s="18" t="n">
        <v>46329</v>
      </c>
      <c r="R888" s="16" t="n">
        <v>0.77</v>
      </c>
      <c r="S888" s="19">
        <f>IF(AND(ISNUMBER(F888),ISNUMBER(R888),R888&gt;0),F888/R888,"")</f>
        <v/>
      </c>
      <c r="T888" s="18" t="n">
        <v>46323</v>
      </c>
    </row>
    <row r="889">
      <c r="A889" s="20" t="inlineStr">
        <is>
          <t>OLLI</t>
        </is>
      </c>
      <c r="B889" s="20" t="inlineStr">
        <is>
          <t>Ollie's Bargain Outlet Holdings</t>
        </is>
      </c>
      <c r="C889" s="20" t="inlineStr">
        <is>
          <t>Discount Stores</t>
        </is>
      </c>
      <c r="D889" s="20" t="inlineStr">
        <is>
          <t>United States</t>
        </is>
      </c>
      <c r="E889" s="21" t="n">
        <v>5.03</v>
      </c>
      <c r="F889" s="22" t="n">
        <v>84.72</v>
      </c>
      <c r="G889" s="22" t="n">
        <v>101.66667</v>
      </c>
      <c r="H889" s="23">
        <f>IF(AND(ISNUMBER(F889),ISNUMBER(G889),F889&gt;0),G889/F889-1,"")</f>
        <v/>
      </c>
      <c r="I889" s="22" t="n">
        <v>76</v>
      </c>
      <c r="J889" s="23">
        <f>IF(AND(ISNUMBER(F889),ISNUMBER(I889),F889&gt;0),I889/F889-1,"")</f>
        <v/>
      </c>
      <c r="K889" s="22" t="n">
        <v>130</v>
      </c>
      <c r="L889" s="23">
        <f>IF(AND(ISNUMBER(F889),ISNUMBER(K889),F889&gt;0),K889/F889-1,"")</f>
        <v/>
      </c>
      <c r="M889" s="24" t="n">
        <v>15</v>
      </c>
      <c r="N889" s="25" t="n"/>
      <c r="O889" s="26">
        <f>IF(AND(ISNUMBER(F889),ISNUMBER(N889),F889&gt;0),N889/F889,"")</f>
        <v/>
      </c>
      <c r="P889" s="27" t="n"/>
      <c r="Q889" s="27" t="n">
        <v>46267</v>
      </c>
      <c r="R889" s="25" t="n">
        <v>4.47</v>
      </c>
      <c r="S889" s="28">
        <f>IF(AND(ISNUMBER(F889),ISNUMBER(R889),R889&gt;0),F889/R889,"")</f>
        <v/>
      </c>
      <c r="T889" s="27" t="n">
        <v>46323</v>
      </c>
    </row>
    <row r="890">
      <c r="A890" s="11" t="inlineStr">
        <is>
          <t>ADT</t>
        </is>
      </c>
      <c r="B890" s="11" t="inlineStr">
        <is>
          <t>ADT Inc.</t>
        </is>
      </c>
      <c r="C890" s="11" t="inlineStr">
        <is>
          <t>Security &amp; Protection Services</t>
        </is>
      </c>
      <c r="D890" s="11" t="inlineStr">
        <is>
          <t>United States</t>
        </is>
      </c>
      <c r="E890" s="12" t="n">
        <v>5.02</v>
      </c>
      <c r="F890" s="13" t="n">
        <v>6.87</v>
      </c>
      <c r="G890" s="13" t="n">
        <v>8.130000000000001</v>
      </c>
      <c r="H890" s="14">
        <f>IF(AND(ISNUMBER(F890),ISNUMBER(G890),F890&gt;0),G890/F890-1,"")</f>
        <v/>
      </c>
      <c r="I890" s="13" t="n">
        <v>7</v>
      </c>
      <c r="J890" s="14">
        <f>IF(AND(ISNUMBER(F890),ISNUMBER(I890),F890&gt;0),I890/F890-1,"")</f>
        <v/>
      </c>
      <c r="K890" s="13" t="n">
        <v>9</v>
      </c>
      <c r="L890" s="14">
        <f>IF(AND(ISNUMBER(F890),ISNUMBER(K890),F890&gt;0),K890/F890-1,"")</f>
        <v/>
      </c>
      <c r="M890" s="15" t="n">
        <v>5</v>
      </c>
      <c r="N890" s="16" t="n">
        <v>0.22</v>
      </c>
      <c r="O890" s="17">
        <f>IF(AND(ISNUMBER(F890),ISNUMBER(N890),F890&gt;0),N890/F890,"")</f>
        <v/>
      </c>
      <c r="P890" s="18" t="n">
        <v>46275</v>
      </c>
      <c r="Q890" s="18" t="n">
        <v>46329</v>
      </c>
      <c r="R890" s="16" t="n">
        <v>0.73</v>
      </c>
      <c r="S890" s="19">
        <f>IF(AND(ISNUMBER(F890),ISNUMBER(R890),R890&gt;0),F890/R890,"")</f>
        <v/>
      </c>
      <c r="T890" s="18" t="n">
        <v>46323</v>
      </c>
    </row>
    <row r="891">
      <c r="A891" s="20" t="inlineStr">
        <is>
          <t>JOBY</t>
        </is>
      </c>
      <c r="B891" s="20" t="inlineStr">
        <is>
          <t>Joby Aviation, Inc.</t>
        </is>
      </c>
      <c r="C891" s="20" t="inlineStr">
        <is>
          <t>Airports &amp; Air Services</t>
        </is>
      </c>
      <c r="D891" s="20" t="inlineStr">
        <is>
          <t>United States</t>
        </is>
      </c>
      <c r="E891" s="21" t="n">
        <v>4.99</v>
      </c>
      <c r="F891" s="22" t="n">
        <v>5.01</v>
      </c>
      <c r="G891" s="22" t="n">
        <v>10.00889</v>
      </c>
      <c r="H891" s="23">
        <f>IF(AND(ISNUMBER(F891),ISNUMBER(G891),F891&gt;0),G891/F891-1,"")</f>
        <v/>
      </c>
      <c r="I891" s="22" t="n">
        <v>4</v>
      </c>
      <c r="J891" s="23">
        <f>IF(AND(ISNUMBER(F891),ISNUMBER(I891),F891&gt;0),I891/F891-1,"")</f>
        <v/>
      </c>
      <c r="K891" s="22" t="n">
        <v>18</v>
      </c>
      <c r="L891" s="23">
        <f>IF(AND(ISNUMBER(F891),ISNUMBER(K891),F891&gt;0),K891/F891-1,"")</f>
        <v/>
      </c>
      <c r="M891" s="24" t="n">
        <v>9</v>
      </c>
      <c r="N891" s="25" t="n"/>
      <c r="O891" s="26">
        <f>IF(AND(ISNUMBER(F891),ISNUMBER(N891),F891&gt;0),N891/F891,"")</f>
        <v/>
      </c>
      <c r="P891" s="27" t="n"/>
      <c r="Q891" s="27" t="n">
        <v>46330</v>
      </c>
      <c r="R891" s="25" t="n">
        <v>-0.97</v>
      </c>
      <c r="S891" s="28">
        <f>IF(AND(ISNUMBER(F891),ISNUMBER(R891),R891&gt;0),F891/R891,"")</f>
        <v/>
      </c>
      <c r="T891" s="27" t="n">
        <v>46323</v>
      </c>
    </row>
    <row r="892">
      <c r="A892" s="11" t="inlineStr">
        <is>
          <t>LFST</t>
        </is>
      </c>
      <c r="B892" s="11" t="inlineStr">
        <is>
          <t>LifeStance Health Group, Inc.</t>
        </is>
      </c>
      <c r="C892" s="11" t="inlineStr">
        <is>
          <t>Medical Care Facilities</t>
        </is>
      </c>
      <c r="D892" s="11" t="inlineStr">
        <is>
          <t>United States</t>
        </is>
      </c>
      <c r="E892" s="12" t="n">
        <v>4.98</v>
      </c>
      <c r="F892" s="13" t="n">
        <v>13.1</v>
      </c>
      <c r="G892" s="13" t="n">
        <v>14.4</v>
      </c>
      <c r="H892" s="14">
        <f>IF(AND(ISNUMBER(F892),ISNUMBER(G892),F892&gt;0),G892/F892-1,"")</f>
        <v/>
      </c>
      <c r="I892" s="13" t="n">
        <v>12</v>
      </c>
      <c r="J892" s="14">
        <f>IF(AND(ISNUMBER(F892),ISNUMBER(I892),F892&gt;0),I892/F892-1,"")</f>
        <v/>
      </c>
      <c r="K892" s="13" t="n">
        <v>18</v>
      </c>
      <c r="L892" s="14">
        <f>IF(AND(ISNUMBER(F892),ISNUMBER(K892),F892&gt;0),K892/F892-1,"")</f>
        <v/>
      </c>
      <c r="M892" s="15" t="n">
        <v>10</v>
      </c>
      <c r="N892" s="16" t="n"/>
      <c r="O892" s="17">
        <f>IF(AND(ISNUMBER(F892),ISNUMBER(N892),F892&gt;0),N892/F892,"")</f>
        <v/>
      </c>
      <c r="P892" s="18" t="n"/>
      <c r="Q892" s="18" t="n">
        <v>46331</v>
      </c>
      <c r="R892" s="16" t="n">
        <v>0.13</v>
      </c>
      <c r="S892" s="19">
        <f>IF(AND(ISNUMBER(F892),ISNUMBER(R892),R892&gt;0),F892/R892,"")</f>
        <v/>
      </c>
      <c r="T892" s="18" t="n">
        <v>46323</v>
      </c>
    </row>
    <row r="893">
      <c r="A893" s="20" t="inlineStr">
        <is>
          <t>CRSP</t>
        </is>
      </c>
      <c r="B893" s="20" t="inlineStr">
        <is>
          <t>CRISPR Therapeutics AG</t>
        </is>
      </c>
      <c r="C893" s="20" t="inlineStr">
        <is>
          <t>Biotechnology</t>
        </is>
      </c>
      <c r="D893" s="20" t="inlineStr">
        <is>
          <t>Switzerland</t>
        </is>
      </c>
      <c r="E893" s="21" t="n">
        <v>4.98</v>
      </c>
      <c r="F893" s="22" t="n">
        <v>51.47</v>
      </c>
      <c r="G893" s="22" t="n">
        <v>85.63158</v>
      </c>
      <c r="H893" s="23">
        <f>IF(AND(ISNUMBER(F893),ISNUMBER(G893),F893&gt;0),G893/F893-1,"")</f>
        <v/>
      </c>
      <c r="I893" s="22" t="n">
        <v>44</v>
      </c>
      <c r="J893" s="23">
        <f>IF(AND(ISNUMBER(F893),ISNUMBER(I893),F893&gt;0),I893/F893-1,"")</f>
        <v/>
      </c>
      <c r="K893" s="22" t="n">
        <v>291</v>
      </c>
      <c r="L893" s="23">
        <f>IF(AND(ISNUMBER(F893),ISNUMBER(K893),F893&gt;0),K893/F893-1,"")</f>
        <v/>
      </c>
      <c r="M893" s="24" t="n">
        <v>19</v>
      </c>
      <c r="N893" s="25" t="n"/>
      <c r="O893" s="26">
        <f>IF(AND(ISNUMBER(F893),ISNUMBER(N893),F893&gt;0),N893/F893,"")</f>
        <v/>
      </c>
      <c r="P893" s="27" t="n"/>
      <c r="Q893" s="27" t="n">
        <v>46335</v>
      </c>
      <c r="R893" s="25" t="n">
        <v>-4.74</v>
      </c>
      <c r="S893" s="28">
        <f>IF(AND(ISNUMBER(F893),ISNUMBER(R893),R893&gt;0),F893/R893,"")</f>
        <v/>
      </c>
      <c r="T893" s="27" t="n">
        <v>46323</v>
      </c>
    </row>
    <row r="894">
      <c r="A894" s="11" t="inlineStr">
        <is>
          <t>GVA</t>
        </is>
      </c>
      <c r="B894" s="11" t="inlineStr">
        <is>
          <t>Granite Construction Incorporat</t>
        </is>
      </c>
      <c r="C894" s="11" t="inlineStr">
        <is>
          <t>Engineering &amp; Construction</t>
        </is>
      </c>
      <c r="D894" s="11" t="inlineStr">
        <is>
          <t>United States</t>
        </is>
      </c>
      <c r="E894" s="12" t="n">
        <v>4.91</v>
      </c>
      <c r="F894" s="13" t="n">
        <v>110.48</v>
      </c>
      <c r="G894" s="13" t="n">
        <v>170.16667</v>
      </c>
      <c r="H894" s="14">
        <f>IF(AND(ISNUMBER(F894),ISNUMBER(G894),F894&gt;0),G894/F894-1,"")</f>
        <v/>
      </c>
      <c r="I894" s="13" t="n">
        <v>110</v>
      </c>
      <c r="J894" s="14">
        <f>IF(AND(ISNUMBER(F894),ISNUMBER(I894),F894&gt;0),I894/F894-1,"")</f>
        <v/>
      </c>
      <c r="K894" s="13" t="n">
        <v>200</v>
      </c>
      <c r="L894" s="14">
        <f>IF(AND(ISNUMBER(F894),ISNUMBER(K894),F894&gt;0),K894/F894-1,"")</f>
        <v/>
      </c>
      <c r="M894" s="15" t="n">
        <v>6</v>
      </c>
      <c r="N894" s="16" t="n">
        <v>0.52</v>
      </c>
      <c r="O894" s="17">
        <f>IF(AND(ISNUMBER(F894),ISNUMBER(N894),F894&gt;0),N894/F894,"")</f>
        <v/>
      </c>
      <c r="P894" s="18" t="n">
        <v>46295</v>
      </c>
      <c r="Q894" s="18" t="n">
        <v>46324</v>
      </c>
      <c r="R894" s="16" t="n">
        <v>-4.32</v>
      </c>
      <c r="S894" s="19">
        <f>IF(AND(ISNUMBER(F894),ISNUMBER(R894),R894&gt;0),F894/R894,"")</f>
        <v/>
      </c>
      <c r="T894" s="18" t="n">
        <v>46323</v>
      </c>
    </row>
    <row r="895">
      <c r="A895" s="20" t="inlineStr">
        <is>
          <t>IRDM</t>
        </is>
      </c>
      <c r="B895" s="20" t="inlineStr">
        <is>
          <t>Iridium Communications Inc</t>
        </is>
      </c>
      <c r="C895" s="20" t="inlineStr">
        <is>
          <t>Telecom Services</t>
        </is>
      </c>
      <c r="D895" s="20" t="inlineStr">
        <is>
          <t>United States</t>
        </is>
      </c>
      <c r="E895" s="21" t="n">
        <v>4.84</v>
      </c>
      <c r="F895" s="22" t="n">
        <v>45.65</v>
      </c>
      <c r="G895" s="22" t="n">
        <v>48</v>
      </c>
      <c r="H895" s="23">
        <f>IF(AND(ISNUMBER(F895),ISNUMBER(G895),F895&gt;0),G895/F895-1,"")</f>
        <v/>
      </c>
      <c r="I895" s="22" t="n">
        <v>36</v>
      </c>
      <c r="J895" s="23">
        <f>IF(AND(ISNUMBER(F895),ISNUMBER(I895),F895&gt;0),I895/F895-1,"")</f>
        <v/>
      </c>
      <c r="K895" s="22" t="n">
        <v>54</v>
      </c>
      <c r="L895" s="23">
        <f>IF(AND(ISNUMBER(F895),ISNUMBER(K895),F895&gt;0),K895/F895-1,"")</f>
        <v/>
      </c>
      <c r="M895" s="24" t="n">
        <v>3</v>
      </c>
      <c r="N895" s="25" t="n">
        <v>0.6</v>
      </c>
      <c r="O895" s="26">
        <f>IF(AND(ISNUMBER(F895),ISNUMBER(N895),F895&gt;0),N895/F895,"")</f>
        <v/>
      </c>
      <c r="P895" s="27" t="n">
        <v>46280</v>
      </c>
      <c r="Q895" s="27" t="n">
        <v>46315</v>
      </c>
      <c r="R895" s="25" t="n">
        <v>0.88</v>
      </c>
      <c r="S895" s="28">
        <f>IF(AND(ISNUMBER(F895),ISNUMBER(R895),R895&gt;0),F895/R895,"")</f>
        <v/>
      </c>
      <c r="T895" s="27" t="n">
        <v>46323</v>
      </c>
    </row>
    <row r="896">
      <c r="A896" s="11" t="inlineStr">
        <is>
          <t>GOLF</t>
        </is>
      </c>
      <c r="B896" s="11" t="inlineStr">
        <is>
          <t>Acushnet Holdings Corp.</t>
        </is>
      </c>
      <c r="C896" s="11" t="inlineStr">
        <is>
          <t>Leisure</t>
        </is>
      </c>
      <c r="D896" s="11" t="inlineStr">
        <is>
          <t>United States</t>
        </is>
      </c>
      <c r="E896" s="12" t="n">
        <v>4.82</v>
      </c>
      <c r="F896" s="13" t="n">
        <v>82.48</v>
      </c>
      <c r="G896" s="13" t="n">
        <v>98.5</v>
      </c>
      <c r="H896" s="14">
        <f>IF(AND(ISNUMBER(F896),ISNUMBER(G896),F896&gt;0),G896/F896-1,"")</f>
        <v/>
      </c>
      <c r="I896" s="13" t="n">
        <v>81</v>
      </c>
      <c r="J896" s="14">
        <f>IF(AND(ISNUMBER(F896),ISNUMBER(I896),F896&gt;0),I896/F896-1,"")</f>
        <v/>
      </c>
      <c r="K896" s="13" t="n">
        <v>118</v>
      </c>
      <c r="L896" s="14">
        <f>IF(AND(ISNUMBER(F896),ISNUMBER(K896),F896&gt;0),K896/F896-1,"")</f>
        <v/>
      </c>
      <c r="M896" s="15" t="n">
        <v>6</v>
      </c>
      <c r="N896" s="16" t="n">
        <v>1.02</v>
      </c>
      <c r="O896" s="17">
        <f>IF(AND(ISNUMBER(F896),ISNUMBER(N896),F896&gt;0),N896/F896,"")</f>
        <v/>
      </c>
      <c r="P896" s="18" t="n">
        <v>46269</v>
      </c>
      <c r="Q896" s="18" t="n">
        <v>46330</v>
      </c>
      <c r="R896" s="16" t="n">
        <v>3.68</v>
      </c>
      <c r="S896" s="19">
        <f>IF(AND(ISNUMBER(F896),ISNUMBER(R896),R896&gt;0),F896/R896,"")</f>
        <v/>
      </c>
      <c r="T896" s="18" t="n">
        <v>46323</v>
      </c>
    </row>
    <row r="897">
      <c r="A897" s="20" t="inlineStr">
        <is>
          <t>KLAR</t>
        </is>
      </c>
      <c r="B897" s="20" t="inlineStr">
        <is>
          <t>Klarna Group plc</t>
        </is>
      </c>
      <c r="C897" s="20" t="inlineStr">
        <is>
          <t>Credit Services</t>
        </is>
      </c>
      <c r="D897" s="20" t="inlineStr">
        <is>
          <t>United Kingdom</t>
        </is>
      </c>
      <c r="E897" s="21" t="n">
        <v>4.81</v>
      </c>
      <c r="F897" s="22" t="n">
        <v>12.69</v>
      </c>
      <c r="G897" s="22" t="n">
        <v>19.28636</v>
      </c>
      <c r="H897" s="23">
        <f>IF(AND(ISNUMBER(F897),ISNUMBER(G897),F897&gt;0),G897/F897-1,"")</f>
        <v/>
      </c>
      <c r="I897" s="22" t="n">
        <v>13</v>
      </c>
      <c r="J897" s="23">
        <f>IF(AND(ISNUMBER(F897),ISNUMBER(I897),F897&gt;0),I897/F897-1,"")</f>
        <v/>
      </c>
      <c r="K897" s="22" t="n">
        <v>38.3</v>
      </c>
      <c r="L897" s="23">
        <f>IF(AND(ISNUMBER(F897),ISNUMBER(K897),F897&gt;0),K897/F897-1,"")</f>
        <v/>
      </c>
      <c r="M897" s="24" t="n">
        <v>22</v>
      </c>
      <c r="N897" s="25" t="n"/>
      <c r="O897" s="26">
        <f>IF(AND(ISNUMBER(F897),ISNUMBER(N897),F897&gt;0),N897/F897,"")</f>
        <v/>
      </c>
      <c r="P897" s="27" t="n"/>
      <c r="Q897" s="27" t="n">
        <v>46343</v>
      </c>
      <c r="R897" s="25" t="n">
        <v>-0.37</v>
      </c>
      <c r="S897" s="28">
        <f>IF(AND(ISNUMBER(F897),ISNUMBER(R897),R897&gt;0),F897/R897,"")</f>
        <v/>
      </c>
      <c r="T897" s="27" t="n">
        <v>46323</v>
      </c>
    </row>
    <row r="898">
      <c r="A898" s="11" t="inlineStr">
        <is>
          <t>CRC</t>
        </is>
      </c>
      <c r="B898" s="11" t="inlineStr">
        <is>
          <t>California Resources Corporatio</t>
        </is>
      </c>
      <c r="C898" s="11" t="inlineStr">
        <is>
          <t>Oil &amp; Gas E&amp;P</t>
        </is>
      </c>
      <c r="D898" s="11" t="inlineStr">
        <is>
          <t>United States</t>
        </is>
      </c>
      <c r="E898" s="12" t="n">
        <v>4.81</v>
      </c>
      <c r="F898" s="13" t="n">
        <v>54.11</v>
      </c>
      <c r="G898" s="13" t="n">
        <v>75.33333</v>
      </c>
      <c r="H898" s="14">
        <f>IF(AND(ISNUMBER(F898),ISNUMBER(G898),F898&gt;0),G898/F898-1,"")</f>
        <v/>
      </c>
      <c r="I898" s="13" t="n">
        <v>59</v>
      </c>
      <c r="J898" s="14">
        <f>IF(AND(ISNUMBER(F898),ISNUMBER(I898),F898&gt;0),I898/F898-1,"")</f>
        <v/>
      </c>
      <c r="K898" s="13" t="n">
        <v>91</v>
      </c>
      <c r="L898" s="14">
        <f>IF(AND(ISNUMBER(F898),ISNUMBER(K898),F898&gt;0),K898/F898-1,"")</f>
        <v/>
      </c>
      <c r="M898" s="15" t="n">
        <v>12</v>
      </c>
      <c r="N898" s="16" t="n">
        <v>1.62</v>
      </c>
      <c r="O898" s="17">
        <f>IF(AND(ISNUMBER(F898),ISNUMBER(N898),F898&gt;0),N898/F898,"")</f>
        <v/>
      </c>
      <c r="P898" s="18" t="n">
        <v>46269</v>
      </c>
      <c r="Q898" s="18" t="n">
        <v>46328</v>
      </c>
      <c r="R898" s="16" t="n">
        <v>-1.3</v>
      </c>
      <c r="S898" s="19">
        <f>IF(AND(ISNUMBER(F898),ISNUMBER(R898),R898&gt;0),F898/R898,"")</f>
        <v/>
      </c>
      <c r="T898" s="18" t="n">
        <v>46323</v>
      </c>
    </row>
    <row r="899">
      <c r="A899" s="20" t="inlineStr">
        <is>
          <t>KGS</t>
        </is>
      </c>
      <c r="B899" s="20" t="inlineStr">
        <is>
          <t>Kodiak Gas Services, Inc.</t>
        </is>
      </c>
      <c r="C899" s="20" t="inlineStr">
        <is>
          <t>Oil &amp; Gas Equipment &amp; Services</t>
        </is>
      </c>
      <c r="D899" s="20" t="inlineStr">
        <is>
          <t>United States</t>
        </is>
      </c>
      <c r="E899" s="21" t="n">
        <v>4.8</v>
      </c>
      <c r="F899" s="22" t="n">
        <v>47.45</v>
      </c>
      <c r="G899" s="22" t="n">
        <v>79.5</v>
      </c>
      <c r="H899" s="23">
        <f>IF(AND(ISNUMBER(F899),ISNUMBER(G899),F899&gt;0),G899/F899-1,"")</f>
        <v/>
      </c>
      <c r="I899" s="22" t="n">
        <v>65</v>
      </c>
      <c r="J899" s="23">
        <f>IF(AND(ISNUMBER(F899),ISNUMBER(I899),F899&gt;0),I899/F899-1,"")</f>
        <v/>
      </c>
      <c r="K899" s="22" t="n">
        <v>93</v>
      </c>
      <c r="L899" s="23">
        <f>IF(AND(ISNUMBER(F899),ISNUMBER(K899),F899&gt;0),K899/F899-1,"")</f>
        <v/>
      </c>
      <c r="M899" s="24" t="n">
        <v>14</v>
      </c>
      <c r="N899" s="25" t="n">
        <v>1.96</v>
      </c>
      <c r="O899" s="26">
        <f>IF(AND(ISNUMBER(F899),ISNUMBER(N899),F899&gt;0),N899/F899,"")</f>
        <v/>
      </c>
      <c r="P899" s="27" t="n">
        <v>46251</v>
      </c>
      <c r="Q899" s="27" t="n">
        <v>46335</v>
      </c>
      <c r="R899" s="25" t="n">
        <v>0.88</v>
      </c>
      <c r="S899" s="28">
        <f>IF(AND(ISNUMBER(F899),ISNUMBER(R899),R899&gt;0),F899/R899,"")</f>
        <v/>
      </c>
      <c r="T899" s="27" t="n">
        <v>46323</v>
      </c>
    </row>
    <row r="900">
      <c r="A900" s="11" t="inlineStr">
        <is>
          <t>OMAB</t>
        </is>
      </c>
      <c r="B900" s="11" t="inlineStr">
        <is>
          <t xml:space="preserve">Grupo Aeroportuario del Centro </t>
        </is>
      </c>
      <c r="C900" s="11" t="inlineStr">
        <is>
          <t>Airports &amp; Air Services</t>
        </is>
      </c>
      <c r="D900" s="11" t="inlineStr">
        <is>
          <t>Mexico</t>
        </is>
      </c>
      <c r="E900" s="12" t="n">
        <v>4.78</v>
      </c>
      <c r="F900" s="13" t="n">
        <v>99.06</v>
      </c>
      <c r="G900" s="13" t="n">
        <v>116.41429</v>
      </c>
      <c r="H900" s="14">
        <f>IF(AND(ISNUMBER(F900),ISNUMBER(G900),F900&gt;0),G900/F900-1,"")</f>
        <v/>
      </c>
      <c r="I900" s="13" t="n">
        <v>100</v>
      </c>
      <c r="J900" s="14">
        <f>IF(AND(ISNUMBER(F900),ISNUMBER(I900),F900&gt;0),I900/F900-1,"")</f>
        <v/>
      </c>
      <c r="K900" s="13" t="n">
        <v>140</v>
      </c>
      <c r="L900" s="14">
        <f>IF(AND(ISNUMBER(F900),ISNUMBER(K900),F900&gt;0),K900/F900-1,"")</f>
        <v/>
      </c>
      <c r="M900" s="15" t="n">
        <v>7</v>
      </c>
      <c r="N900" s="16" t="n">
        <v>5.77</v>
      </c>
      <c r="O900" s="17">
        <f>IF(AND(ISNUMBER(F900),ISNUMBER(N900),F900&gt;0),N900/F900,"")</f>
        <v/>
      </c>
      <c r="P900" s="18" t="n">
        <v>46168</v>
      </c>
      <c r="Q900" s="18" t="n">
        <v>46323</v>
      </c>
      <c r="R900" s="16" t="n">
        <v>6.24</v>
      </c>
      <c r="S900" s="19">
        <f>IF(AND(ISNUMBER(F900),ISNUMBER(R900),R900&gt;0),F900/R900,"")</f>
        <v/>
      </c>
      <c r="T900" s="18" t="n">
        <v>46323</v>
      </c>
    </row>
    <row r="901">
      <c r="A901" s="20" t="inlineStr">
        <is>
          <t>ROAD</t>
        </is>
      </c>
      <c r="B901" s="20" t="inlineStr">
        <is>
          <t>Construction Partners, Inc.</t>
        </is>
      </c>
      <c r="C901" s="20" t="inlineStr">
        <is>
          <t>Engineering &amp; Construction</t>
        </is>
      </c>
      <c r="D901" s="20" t="inlineStr">
        <is>
          <t>United States</t>
        </is>
      </c>
      <c r="E901" s="21" t="n">
        <v>4.77</v>
      </c>
      <c r="F901" s="22" t="n">
        <v>84.09999999999999</v>
      </c>
      <c r="G901" s="22" t="n">
        <v>138.14285</v>
      </c>
      <c r="H901" s="23">
        <f>IF(AND(ISNUMBER(F901),ISNUMBER(G901),F901&gt;0),G901/F901-1,"")</f>
        <v/>
      </c>
      <c r="I901" s="22" t="n">
        <v>115</v>
      </c>
      <c r="J901" s="23">
        <f>IF(AND(ISNUMBER(F901),ISNUMBER(I901),F901&gt;0),I901/F901-1,"")</f>
        <v/>
      </c>
      <c r="K901" s="22" t="n">
        <v>165</v>
      </c>
      <c r="L901" s="23">
        <f>IF(AND(ISNUMBER(F901),ISNUMBER(K901),F901&gt;0),K901/F901-1,"")</f>
        <v/>
      </c>
      <c r="M901" s="24" t="n">
        <v>7</v>
      </c>
      <c r="N901" s="25" t="n"/>
      <c r="O901" s="26">
        <f>IF(AND(ISNUMBER(F901),ISNUMBER(N901),F901&gt;0),N901/F901,"")</f>
        <v/>
      </c>
      <c r="P901" s="27" t="n"/>
      <c r="Q901" s="27" t="n">
        <v>46345</v>
      </c>
      <c r="R901" s="25" t="n">
        <v>2.53</v>
      </c>
      <c r="S901" s="28">
        <f>IF(AND(ISNUMBER(F901),ISNUMBER(R901),R901&gt;0),F901/R901,"")</f>
        <v/>
      </c>
      <c r="T901" s="27" t="n">
        <v>46323</v>
      </c>
    </row>
    <row r="902">
      <c r="A902" s="11" t="inlineStr">
        <is>
          <t>YOU</t>
        </is>
      </c>
      <c r="B902" s="11" t="inlineStr">
        <is>
          <t>Clear Secure, Inc.</t>
        </is>
      </c>
      <c r="C902" s="11" t="inlineStr">
        <is>
          <t>Software - Application</t>
        </is>
      </c>
      <c r="D902" s="11" t="inlineStr">
        <is>
          <t>United States</t>
        </is>
      </c>
      <c r="E902" s="12" t="n">
        <v>4.69</v>
      </c>
      <c r="F902" s="13" t="n">
        <v>45.53</v>
      </c>
      <c r="G902" s="13" t="n">
        <v>58.16667</v>
      </c>
      <c r="H902" s="14">
        <f>IF(AND(ISNUMBER(F902),ISNUMBER(G902),F902&gt;0),G902/F902-1,"")</f>
        <v/>
      </c>
      <c r="I902" s="13" t="n">
        <v>45</v>
      </c>
      <c r="J902" s="14">
        <f>IF(AND(ISNUMBER(F902),ISNUMBER(I902),F902&gt;0),I902/F902-1,"")</f>
        <v/>
      </c>
      <c r="K902" s="13" t="n">
        <v>70</v>
      </c>
      <c r="L902" s="14">
        <f>IF(AND(ISNUMBER(F902),ISNUMBER(K902),F902&gt;0),K902/F902-1,"")</f>
        <v/>
      </c>
      <c r="M902" s="15" t="n">
        <v>6</v>
      </c>
      <c r="N902" s="16" t="n">
        <v>0.58</v>
      </c>
      <c r="O902" s="17">
        <f>IF(AND(ISNUMBER(F902),ISNUMBER(N902),F902&gt;0),N902/F902,"")</f>
        <v/>
      </c>
      <c r="P902" s="18" t="n">
        <v>46275</v>
      </c>
      <c r="Q902" s="18" t="n">
        <v>46330</v>
      </c>
      <c r="R902" s="16" t="n">
        <v>1.49</v>
      </c>
      <c r="S902" s="19">
        <f>IF(AND(ISNUMBER(F902),ISNUMBER(R902),R902&gt;0),F902/R902,"")</f>
        <v/>
      </c>
      <c r="T902" s="18" t="n">
        <v>46323</v>
      </c>
    </row>
    <row r="903">
      <c r="A903" s="20" t="inlineStr">
        <is>
          <t>GLNG</t>
        </is>
      </c>
      <c r="B903" s="20" t="inlineStr">
        <is>
          <t>Golar LNG Limited</t>
        </is>
      </c>
      <c r="C903" s="20" t="inlineStr">
        <is>
          <t>Oil &amp; Gas Midstream</t>
        </is>
      </c>
      <c r="D903" s="20" t="inlineStr">
        <is>
          <t>Bermuda</t>
        </is>
      </c>
      <c r="E903" s="21" t="n">
        <v>4.66</v>
      </c>
      <c r="F903" s="22" t="n">
        <v>45.64</v>
      </c>
      <c r="G903" s="22" t="n">
        <v>66.3125</v>
      </c>
      <c r="H903" s="23">
        <f>IF(AND(ISNUMBER(F903),ISNUMBER(G903),F903&gt;0),G903/F903-1,"")</f>
        <v/>
      </c>
      <c r="I903" s="22" t="n">
        <v>44.5</v>
      </c>
      <c r="J903" s="23">
        <f>IF(AND(ISNUMBER(F903),ISNUMBER(I903),F903&gt;0),I903/F903-1,"")</f>
        <v/>
      </c>
      <c r="K903" s="22" t="n">
        <v>75</v>
      </c>
      <c r="L903" s="23">
        <f>IF(AND(ISNUMBER(F903),ISNUMBER(K903),F903&gt;0),K903/F903-1,"")</f>
        <v/>
      </c>
      <c r="M903" s="24" t="n">
        <v>8</v>
      </c>
      <c r="N903" s="25" t="n">
        <v>1</v>
      </c>
      <c r="O903" s="26">
        <f>IF(AND(ISNUMBER(F903),ISNUMBER(N903),F903&gt;0),N903/F903,"")</f>
        <v/>
      </c>
      <c r="P903" s="27" t="n">
        <v>46258</v>
      </c>
      <c r="Q903" s="27" t="n">
        <v>46344</v>
      </c>
      <c r="R903" s="25" t="n">
        <v>1.46</v>
      </c>
      <c r="S903" s="28">
        <f>IF(AND(ISNUMBER(F903),ISNUMBER(R903),R903&gt;0),F903/R903,"")</f>
        <v/>
      </c>
      <c r="T903" s="27" t="n">
        <v>46323</v>
      </c>
    </row>
    <row r="904">
      <c r="A904" s="11" t="inlineStr">
        <is>
          <t>PTEN</t>
        </is>
      </c>
      <c r="B904" s="11" t="inlineStr">
        <is>
          <t>Patterson-UTI Energy, Inc.</t>
        </is>
      </c>
      <c r="C904" s="11" t="inlineStr">
        <is>
          <t>Oil &amp; Gas Drilling</t>
        </is>
      </c>
      <c r="D904" s="11" t="inlineStr">
        <is>
          <t>United States</t>
        </is>
      </c>
      <c r="E904" s="12" t="n">
        <v>4.66</v>
      </c>
      <c r="F904" s="13" t="n">
        <v>12.21</v>
      </c>
      <c r="G904" s="13" t="n">
        <v>13.93333</v>
      </c>
      <c r="H904" s="14">
        <f>IF(AND(ISNUMBER(F904),ISNUMBER(G904),F904&gt;0),G904/F904-1,"")</f>
        <v/>
      </c>
      <c r="I904" s="13" t="n">
        <v>12</v>
      </c>
      <c r="J904" s="14">
        <f>IF(AND(ISNUMBER(F904),ISNUMBER(I904),F904&gt;0),I904/F904-1,"")</f>
        <v/>
      </c>
      <c r="K904" s="13" t="n">
        <v>19</v>
      </c>
      <c r="L904" s="14">
        <f>IF(AND(ISNUMBER(F904),ISNUMBER(K904),F904&gt;0),K904/F904-1,"")</f>
        <v/>
      </c>
      <c r="M904" s="15" t="n">
        <v>15</v>
      </c>
      <c r="N904" s="16" t="n">
        <v>0.4</v>
      </c>
      <c r="O904" s="17">
        <f>IF(AND(ISNUMBER(F904),ISNUMBER(N904),F904&gt;0),N904/F904,"")</f>
        <v/>
      </c>
      <c r="P904" s="18" t="n">
        <v>46266</v>
      </c>
      <c r="Q904" s="18" t="n">
        <v>46323</v>
      </c>
      <c r="R904" s="16" t="n">
        <v>-0.23</v>
      </c>
      <c r="S904" s="19">
        <f>IF(AND(ISNUMBER(F904),ISNUMBER(R904),R904&gt;0),F904/R904,"")</f>
        <v/>
      </c>
      <c r="T904" s="18" t="n">
        <v>46323</v>
      </c>
    </row>
    <row r="905">
      <c r="A905" s="20" t="inlineStr">
        <is>
          <t>HCC</t>
        </is>
      </c>
      <c r="B905" s="20" t="inlineStr">
        <is>
          <t>Warrior Met Coal, Inc.</t>
        </is>
      </c>
      <c r="C905" s="20" t="inlineStr">
        <is>
          <t>Coking Coal</t>
        </is>
      </c>
      <c r="D905" s="20" t="inlineStr">
        <is>
          <t>United States</t>
        </is>
      </c>
      <c r="E905" s="21" t="n">
        <v>4.61</v>
      </c>
      <c r="F905" s="22" t="n">
        <v>87.34999999999999</v>
      </c>
      <c r="G905" s="22" t="n">
        <v>109</v>
      </c>
      <c r="H905" s="23">
        <f>IF(AND(ISNUMBER(F905),ISNUMBER(G905),F905&gt;0),G905/F905-1,"")</f>
        <v/>
      </c>
      <c r="I905" s="22" t="n">
        <v>100</v>
      </c>
      <c r="J905" s="23">
        <f>IF(AND(ISNUMBER(F905),ISNUMBER(I905),F905&gt;0),I905/F905-1,"")</f>
        <v/>
      </c>
      <c r="K905" s="22" t="n">
        <v>122</v>
      </c>
      <c r="L905" s="23">
        <f>IF(AND(ISNUMBER(F905),ISNUMBER(K905),F905&gt;0),K905/F905-1,"")</f>
        <v/>
      </c>
      <c r="M905" s="24" t="n">
        <v>6</v>
      </c>
      <c r="N905" s="25" t="n">
        <v>0.32</v>
      </c>
      <c r="O905" s="26">
        <f>IF(AND(ISNUMBER(F905),ISNUMBER(N905),F905&gt;0),N905/F905,"")</f>
        <v/>
      </c>
      <c r="P905" s="27" t="n">
        <v>46244</v>
      </c>
      <c r="Q905" s="27" t="n">
        <v>46330</v>
      </c>
      <c r="R905" s="25" t="n">
        <v>4.13</v>
      </c>
      <c r="S905" s="28">
        <f>IF(AND(ISNUMBER(F905),ISNUMBER(R905),R905&gt;0),F905/R905,"")</f>
        <v/>
      </c>
      <c r="T905" s="27" t="n">
        <v>46323</v>
      </c>
    </row>
    <row r="906">
      <c r="A906" s="11" t="inlineStr">
        <is>
          <t>QBTS</t>
        </is>
      </c>
      <c r="B906" s="11" t="inlineStr">
        <is>
          <t>D-Wave Quantum Inc.</t>
        </is>
      </c>
      <c r="C906" s="11" t="inlineStr">
        <is>
          <t>Computer Hardware</t>
        </is>
      </c>
      <c r="D906" s="11" t="inlineStr">
        <is>
          <t>United States</t>
        </is>
      </c>
      <c r="E906" s="12" t="n">
        <v>4.6</v>
      </c>
      <c r="F906" s="13" t="n">
        <v>12.13</v>
      </c>
      <c r="G906" s="13" t="n">
        <v>34.6475</v>
      </c>
      <c r="H906" s="14">
        <f>IF(AND(ISNUMBER(F906),ISNUMBER(G906),F906&gt;0),G906/F906-1,"")</f>
        <v/>
      </c>
      <c r="I906" s="13" t="n">
        <v>18.36</v>
      </c>
      <c r="J906" s="14">
        <f>IF(AND(ISNUMBER(F906),ISNUMBER(I906),F906&gt;0),I906/F906-1,"")</f>
        <v/>
      </c>
      <c r="K906" s="13" t="n">
        <v>43</v>
      </c>
      <c r="L906" s="14">
        <f>IF(AND(ISNUMBER(F906),ISNUMBER(K906),F906&gt;0),K906/F906-1,"")</f>
        <v/>
      </c>
      <c r="M906" s="15" t="n">
        <v>16</v>
      </c>
      <c r="N906" s="16" t="n"/>
      <c r="O906" s="17">
        <f>IF(AND(ISNUMBER(F906),ISNUMBER(N906),F906&gt;0),N906/F906,"")</f>
        <v/>
      </c>
      <c r="P906" s="18" t="n"/>
      <c r="Q906" s="18" t="n">
        <v>46336</v>
      </c>
      <c r="R906" s="16" t="n">
        <v>-0.6899999999999999</v>
      </c>
      <c r="S906" s="19">
        <f>IF(AND(ISNUMBER(F906),ISNUMBER(R906),R906&gt;0),F906/R906,"")</f>
        <v/>
      </c>
      <c r="T906" s="18" t="n">
        <v>46323</v>
      </c>
    </row>
    <row r="907">
      <c r="A907" s="20" t="inlineStr">
        <is>
          <t>CORZ</t>
        </is>
      </c>
      <c r="B907" s="20" t="inlineStr">
        <is>
          <t>Core Scientific, Inc.</t>
        </is>
      </c>
      <c r="C907" s="20" t="inlineStr">
        <is>
          <t>Software - Infrastructure</t>
        </is>
      </c>
      <c r="D907" s="20" t="inlineStr">
        <is>
          <t>United States</t>
        </is>
      </c>
      <c r="E907" s="21" t="n">
        <v>4.58</v>
      </c>
      <c r="F907" s="22" t="n">
        <v>14.27</v>
      </c>
      <c r="G907" s="22" t="n">
        <v>31.47619</v>
      </c>
      <c r="H907" s="23">
        <f>IF(AND(ISNUMBER(F907),ISNUMBER(G907),F907&gt;0),G907/F907-1,"")</f>
        <v/>
      </c>
      <c r="I907" s="22" t="n">
        <v>16</v>
      </c>
      <c r="J907" s="23">
        <f>IF(AND(ISNUMBER(F907),ISNUMBER(I907),F907&gt;0),I907/F907-1,"")</f>
        <v/>
      </c>
      <c r="K907" s="22" t="n">
        <v>47</v>
      </c>
      <c r="L907" s="23">
        <f>IF(AND(ISNUMBER(F907),ISNUMBER(K907),F907&gt;0),K907/F907-1,"")</f>
        <v/>
      </c>
      <c r="M907" s="24" t="n">
        <v>21</v>
      </c>
      <c r="N907" s="25" t="n"/>
      <c r="O907" s="26">
        <f>IF(AND(ISNUMBER(F907),ISNUMBER(N907),F907&gt;0),N907/F907,"")</f>
        <v/>
      </c>
      <c r="P907" s="27" t="n"/>
      <c r="Q907" s="27" t="n">
        <v>46331</v>
      </c>
      <c r="R907" s="25" t="n">
        <v>-4.25</v>
      </c>
      <c r="S907" s="28">
        <f>IF(AND(ISNUMBER(F907),ISNUMBER(R907),R907&gt;0),F907/R907,"")</f>
        <v/>
      </c>
      <c r="T907" s="27" t="n">
        <v>46323</v>
      </c>
    </row>
    <row r="908">
      <c r="A908" s="11" t="inlineStr">
        <is>
          <t>WHD</t>
        </is>
      </c>
      <c r="B908" s="11" t="inlineStr">
        <is>
          <t>Cactus, Inc. Class A Common Sto</t>
        </is>
      </c>
      <c r="C908" s="11" t="inlineStr">
        <is>
          <t>Oil &amp; Gas Equipment &amp; Services</t>
        </is>
      </c>
      <c r="D908" s="11" t="inlineStr">
        <is>
          <t>United States</t>
        </is>
      </c>
      <c r="E908" s="12" t="n">
        <v>4.57</v>
      </c>
      <c r="F908" s="13" t="n">
        <v>65.56</v>
      </c>
      <c r="G908" s="13" t="n">
        <v>71.55556</v>
      </c>
      <c r="H908" s="14">
        <f>IF(AND(ISNUMBER(F908),ISNUMBER(G908),F908&gt;0),G908/F908-1,"")</f>
        <v/>
      </c>
      <c r="I908" s="13" t="n">
        <v>57</v>
      </c>
      <c r="J908" s="14">
        <f>IF(AND(ISNUMBER(F908),ISNUMBER(I908),F908&gt;0),I908/F908-1,"")</f>
        <v/>
      </c>
      <c r="K908" s="13" t="n">
        <v>83</v>
      </c>
      <c r="L908" s="14">
        <f>IF(AND(ISNUMBER(F908),ISNUMBER(K908),F908&gt;0),K908/F908-1,"")</f>
        <v/>
      </c>
      <c r="M908" s="15" t="n">
        <v>9</v>
      </c>
      <c r="N908" s="16" t="n">
        <v>0.6</v>
      </c>
      <c r="O908" s="17">
        <f>IF(AND(ISNUMBER(F908),ISNUMBER(N908),F908&gt;0),N908/F908,"")</f>
        <v/>
      </c>
      <c r="P908" s="18" t="n">
        <v>46265</v>
      </c>
      <c r="Q908" s="18" t="n">
        <v>46323</v>
      </c>
      <c r="R908" s="16" t="n">
        <v>1.19</v>
      </c>
      <c r="S908" s="19">
        <f>IF(AND(ISNUMBER(F908),ISNUMBER(R908),R908&gt;0),F908/R908,"")</f>
        <v/>
      </c>
      <c r="T908" s="18" t="n">
        <v>46323</v>
      </c>
    </row>
    <row r="909">
      <c r="A909" s="20" t="inlineStr">
        <is>
          <t>GDS</t>
        </is>
      </c>
      <c r="B909" s="20" t="inlineStr">
        <is>
          <t>GDS Holdings Limited</t>
        </is>
      </c>
      <c r="C909" s="20" t="inlineStr">
        <is>
          <t>Information Technology Services</t>
        </is>
      </c>
      <c r="D909" s="20" t="inlineStr">
        <is>
          <t>China</t>
        </is>
      </c>
      <c r="E909" s="21" t="n">
        <v>4.57</v>
      </c>
      <c r="F909" s="22" t="n">
        <v>22.81</v>
      </c>
      <c r="G909" s="22" t="n">
        <v>49.2906</v>
      </c>
      <c r="H909" s="23">
        <f>IF(AND(ISNUMBER(F909),ISNUMBER(G909),F909&gt;0),G909/F909-1,"")</f>
        <v/>
      </c>
      <c r="I909" s="22" t="n">
        <v>35.22746</v>
      </c>
      <c r="J909" s="23">
        <f>IF(AND(ISNUMBER(F909),ISNUMBER(I909),F909&gt;0),I909/F909-1,"")</f>
        <v/>
      </c>
      <c r="K909" s="22" t="n">
        <v>59.81551</v>
      </c>
      <c r="L909" s="23">
        <f>IF(AND(ISNUMBER(F909),ISNUMBER(K909),F909&gt;0),K909/F909-1,"")</f>
        <v/>
      </c>
      <c r="M909" s="24" t="n">
        <v>16</v>
      </c>
      <c r="N909" s="25" t="n"/>
      <c r="O909" s="26">
        <f>IF(AND(ISNUMBER(F909),ISNUMBER(N909),F909&gt;0),N909/F909,"")</f>
        <v/>
      </c>
      <c r="P909" s="27" t="n"/>
      <c r="Q909" s="27" t="n">
        <v>46344</v>
      </c>
      <c r="R909" s="25" t="n">
        <v>2.15</v>
      </c>
      <c r="S909" s="28">
        <f>IF(AND(ISNUMBER(F909),ISNUMBER(R909),R909&gt;0),F909/R909,"")</f>
        <v/>
      </c>
      <c r="T909" s="27" t="n">
        <v>46323</v>
      </c>
    </row>
    <row r="910">
      <c r="A910" s="11" t="inlineStr">
        <is>
          <t>ATAT</t>
        </is>
      </c>
      <c r="B910" s="11" t="inlineStr">
        <is>
          <t>Atour Lifestyle Holdings Limite</t>
        </is>
      </c>
      <c r="C910" s="11" t="inlineStr">
        <is>
          <t>Lodging</t>
        </is>
      </c>
      <c r="D910" s="11" t="inlineStr">
        <is>
          <t>China</t>
        </is>
      </c>
      <c r="E910" s="12" t="n">
        <v>4.53</v>
      </c>
      <c r="F910" s="13" t="n">
        <v>32.75</v>
      </c>
      <c r="G910" s="13" t="n">
        <v>49.248013</v>
      </c>
      <c r="H910" s="14">
        <f>IF(AND(ISNUMBER(F910),ISNUMBER(G910),F910&gt;0),G910/F910-1,"")</f>
        <v/>
      </c>
      <c r="I910" s="13" t="n">
        <v>40.660255</v>
      </c>
      <c r="J910" s="14">
        <f>IF(AND(ISNUMBER(F910),ISNUMBER(I910),F910&gt;0),I910/F910-1,"")</f>
        <v/>
      </c>
      <c r="K910" s="13" t="n">
        <v>60.507565</v>
      </c>
      <c r="L910" s="14">
        <f>IF(AND(ISNUMBER(F910),ISNUMBER(K910),F910&gt;0),K910/F910-1,"")</f>
        <v/>
      </c>
      <c r="M910" s="15" t="n">
        <v>19</v>
      </c>
      <c r="N910" s="16" t="n">
        <v>0.54</v>
      </c>
      <c r="O910" s="17">
        <f>IF(AND(ISNUMBER(F910),ISNUMBER(N910),F910&gt;0),N910/F910,"")</f>
        <v/>
      </c>
      <c r="P910" s="18" t="n">
        <v>46178</v>
      </c>
      <c r="Q910" s="18" t="n">
        <v>46336</v>
      </c>
      <c r="R910" s="16" t="n">
        <v>2.03</v>
      </c>
      <c r="S910" s="19">
        <f>IF(AND(ISNUMBER(F910),ISNUMBER(R910),R910&gt;0),F910/R910,"")</f>
        <v/>
      </c>
      <c r="T910" s="18" t="n">
        <v>46323</v>
      </c>
    </row>
    <row r="911">
      <c r="A911" s="20" t="inlineStr">
        <is>
          <t>CNR</t>
        </is>
      </c>
      <c r="B911" s="20" t="inlineStr">
        <is>
          <t>Core Natural Resources, Inc.</t>
        </is>
      </c>
      <c r="C911" s="20" t="inlineStr">
        <is>
          <t>Thermal Coal</t>
        </is>
      </c>
      <c r="D911" s="20" t="inlineStr">
        <is>
          <t>United States</t>
        </is>
      </c>
      <c r="E911" s="21" t="n">
        <v>4.51</v>
      </c>
      <c r="F911" s="22" t="n">
        <v>90.87</v>
      </c>
      <c r="G911" s="22" t="n">
        <v>110.5</v>
      </c>
      <c r="H911" s="23">
        <f>IF(AND(ISNUMBER(F911),ISNUMBER(G911),F911&gt;0),G911/F911-1,"")</f>
        <v/>
      </c>
      <c r="I911" s="22" t="n">
        <v>105</v>
      </c>
      <c r="J911" s="23">
        <f>IF(AND(ISNUMBER(F911),ISNUMBER(I911),F911&gt;0),I911/F911-1,"")</f>
        <v/>
      </c>
      <c r="K911" s="22" t="n">
        <v>122</v>
      </c>
      <c r="L911" s="23">
        <f>IF(AND(ISNUMBER(F911),ISNUMBER(K911),F911&gt;0),K911/F911-1,"")</f>
        <v/>
      </c>
      <c r="M911" s="24" t="n">
        <v>4</v>
      </c>
      <c r="N911" s="25" t="n">
        <v>0.4</v>
      </c>
      <c r="O911" s="26">
        <f>IF(AND(ISNUMBER(F911),ISNUMBER(N911),F911&gt;0),N911/F911,"")</f>
        <v/>
      </c>
      <c r="P911" s="27" t="n">
        <v>46265</v>
      </c>
      <c r="Q911" s="27" t="n">
        <v>46331</v>
      </c>
      <c r="R911" s="25" t="n">
        <v>1.98</v>
      </c>
      <c r="S911" s="28">
        <f>IF(AND(ISNUMBER(F911),ISNUMBER(R911),R911&gt;0),F911/R911,"")</f>
        <v/>
      </c>
      <c r="T911" s="27" t="n">
        <v>46323</v>
      </c>
    </row>
    <row r="912">
      <c r="A912" s="11" t="inlineStr">
        <is>
          <t>EQPT</t>
        </is>
      </c>
      <c r="B912" s="11" t="inlineStr">
        <is>
          <t>EquipmentShare.com Inc</t>
        </is>
      </c>
      <c r="C912" s="11" t="inlineStr">
        <is>
          <t>Rental &amp; Leasing Services</t>
        </is>
      </c>
      <c r="D912" s="11" t="inlineStr">
        <is>
          <t>United States</t>
        </is>
      </c>
      <c r="E912" s="12" t="n">
        <v>4.49</v>
      </c>
      <c r="F912" s="13" t="n">
        <v>17.71</v>
      </c>
      <c r="G912" s="13" t="n">
        <v>30.4</v>
      </c>
      <c r="H912" s="14">
        <f>IF(AND(ISNUMBER(F912),ISNUMBER(G912),F912&gt;0),G912/F912-1,"")</f>
        <v/>
      </c>
      <c r="I912" s="13" t="n">
        <v>16</v>
      </c>
      <c r="J912" s="14">
        <f>IF(AND(ISNUMBER(F912),ISNUMBER(I912),F912&gt;0),I912/F912-1,"")</f>
        <v/>
      </c>
      <c r="K912" s="13" t="n">
        <v>55</v>
      </c>
      <c r="L912" s="14">
        <f>IF(AND(ISNUMBER(F912),ISNUMBER(K912),F912&gt;0),K912/F912-1,"")</f>
        <v/>
      </c>
      <c r="M912" s="15" t="n">
        <v>10</v>
      </c>
      <c r="N912" s="16" t="n"/>
      <c r="O912" s="17">
        <f>IF(AND(ISNUMBER(F912),ISNUMBER(N912),F912&gt;0),N912/F912,"")</f>
        <v/>
      </c>
      <c r="P912" s="18" t="n"/>
      <c r="Q912" s="18" t="n">
        <v>46335</v>
      </c>
      <c r="R912" s="16" t="n">
        <v>0.11</v>
      </c>
      <c r="S912" s="19">
        <f>IF(AND(ISNUMBER(F912),ISNUMBER(R912),R912&gt;0),F912/R912,"")</f>
        <v/>
      </c>
      <c r="T912" s="18" t="n">
        <v>46323</v>
      </c>
    </row>
    <row r="913">
      <c r="A913" s="20" t="inlineStr">
        <is>
          <t>BBWI</t>
        </is>
      </c>
      <c r="B913" s="20" t="inlineStr">
        <is>
          <t>Bath &amp; Body Works, Inc.</t>
        </is>
      </c>
      <c r="C913" s="20" t="inlineStr">
        <is>
          <t>Specialty Retail</t>
        </is>
      </c>
      <c r="D913" s="20" t="inlineStr">
        <is>
          <t>United States</t>
        </is>
      </c>
      <c r="E913" s="21" t="n">
        <v>4.43</v>
      </c>
      <c r="F913" s="22" t="n">
        <v>21.95</v>
      </c>
      <c r="G913" s="22" t="n">
        <v>24.2</v>
      </c>
      <c r="H913" s="23">
        <f>IF(AND(ISNUMBER(F913),ISNUMBER(G913),F913&gt;0),G913/F913-1,"")</f>
        <v/>
      </c>
      <c r="I913" s="22" t="n">
        <v>17</v>
      </c>
      <c r="J913" s="23">
        <f>IF(AND(ISNUMBER(F913),ISNUMBER(I913),F913&gt;0),I913/F913-1,"")</f>
        <v/>
      </c>
      <c r="K913" s="22" t="n">
        <v>54</v>
      </c>
      <c r="L913" s="23">
        <f>IF(AND(ISNUMBER(F913),ISNUMBER(K913),F913&gt;0),K913/F913-1,"")</f>
        <v/>
      </c>
      <c r="M913" s="24" t="n">
        <v>15</v>
      </c>
      <c r="N913" s="25" t="n">
        <v>0.8</v>
      </c>
      <c r="O913" s="26">
        <f>IF(AND(ISNUMBER(F913),ISNUMBER(N913),F913&gt;0),N913/F913,"")</f>
        <v/>
      </c>
      <c r="P913" s="27" t="n">
        <v>46255</v>
      </c>
      <c r="Q913" s="27" t="n">
        <v>46345</v>
      </c>
      <c r="R913" s="25" t="n">
        <v>3.8</v>
      </c>
      <c r="S913" s="28">
        <f>IF(AND(ISNUMBER(F913),ISNUMBER(R913),R913&gt;0),F913/R913,"")</f>
        <v/>
      </c>
      <c r="T913" s="27" t="n">
        <v>46323</v>
      </c>
    </row>
    <row r="914">
      <c r="A914" s="11" t="inlineStr">
        <is>
          <t>SIG</t>
        </is>
      </c>
      <c r="B914" s="11" t="inlineStr">
        <is>
          <t>Signet Jewelers Limited</t>
        </is>
      </c>
      <c r="C914" s="11" t="inlineStr">
        <is>
          <t>Luxury Goods</t>
        </is>
      </c>
      <c r="D914" s="11" t="inlineStr">
        <is>
          <t>Bermuda</t>
        </is>
      </c>
      <c r="E914" s="12" t="n">
        <v>4.41</v>
      </c>
      <c r="F914" s="13" t="n">
        <v>115.22</v>
      </c>
      <c r="G914" s="13" t="n">
        <v>124.33333</v>
      </c>
      <c r="H914" s="14">
        <f>IF(AND(ISNUMBER(F914),ISNUMBER(G914),F914&gt;0),G914/F914-1,"")</f>
        <v/>
      </c>
      <c r="I914" s="13" t="n">
        <v>100</v>
      </c>
      <c r="J914" s="14">
        <f>IF(AND(ISNUMBER(F914),ISNUMBER(I914),F914&gt;0),I914/F914-1,"")</f>
        <v/>
      </c>
      <c r="K914" s="13" t="n">
        <v>175</v>
      </c>
      <c r="L914" s="14">
        <f>IF(AND(ISNUMBER(F914),ISNUMBER(K914),F914&gt;0),K914/F914-1,"")</f>
        <v/>
      </c>
      <c r="M914" s="15" t="n">
        <v>9</v>
      </c>
      <c r="N914" s="16" t="n">
        <v>1.4</v>
      </c>
      <c r="O914" s="17">
        <f>IF(AND(ISNUMBER(F914),ISNUMBER(N914),F914&gt;0),N914/F914,"")</f>
        <v/>
      </c>
      <c r="P914" s="18" t="n">
        <v>46318</v>
      </c>
      <c r="Q914" s="18" t="n">
        <v>46357</v>
      </c>
      <c r="R914" s="16" t="n">
        <v>8.619999999999999</v>
      </c>
      <c r="S914" s="19">
        <f>IF(AND(ISNUMBER(F914),ISNUMBER(R914),R914&gt;0),F914/R914,"")</f>
        <v/>
      </c>
      <c r="T914" s="18" t="n">
        <v>46323</v>
      </c>
    </row>
    <row r="915">
      <c r="A915" s="20" t="inlineStr">
        <is>
          <t>BLSH</t>
        </is>
      </c>
      <c r="B915" s="20" t="inlineStr">
        <is>
          <t>Bullish</t>
        </is>
      </c>
      <c r="C915" s="20" t="inlineStr">
        <is>
          <t>Software - Infrastructure</t>
        </is>
      </c>
      <c r="D915" s="20" t="inlineStr">
        <is>
          <t>Cayman Islands</t>
        </is>
      </c>
      <c r="E915" s="21" t="n">
        <v>4.39</v>
      </c>
      <c r="F915" s="22" t="n">
        <v>28.94</v>
      </c>
      <c r="G915" s="22" t="n">
        <v>40.81818</v>
      </c>
      <c r="H915" s="23">
        <f>IF(AND(ISNUMBER(F915),ISNUMBER(G915),F915&gt;0),G915/F915-1,"")</f>
        <v/>
      </c>
      <c r="I915" s="22" t="n">
        <v>25</v>
      </c>
      <c r="J915" s="23">
        <f>IF(AND(ISNUMBER(F915),ISNUMBER(I915),F915&gt;0),I915/F915-1,"")</f>
        <v/>
      </c>
      <c r="K915" s="22" t="n">
        <v>53</v>
      </c>
      <c r="L915" s="23">
        <f>IF(AND(ISNUMBER(F915),ISNUMBER(K915),F915&gt;0),K915/F915-1,"")</f>
        <v/>
      </c>
      <c r="M915" s="24" t="n">
        <v>11</v>
      </c>
      <c r="N915" s="25" t="n"/>
      <c r="O915" s="26">
        <f>IF(AND(ISNUMBER(F915),ISNUMBER(N915),F915&gt;0),N915/F915,"")</f>
        <v/>
      </c>
      <c r="P915" s="27" t="n"/>
      <c r="Q915" s="27" t="n">
        <v>46344</v>
      </c>
      <c r="R915" s="25" t="n">
        <v>-9.49</v>
      </c>
      <c r="S915" s="28">
        <f>IF(AND(ISNUMBER(F915),ISNUMBER(R915),R915&gt;0),F915/R915,"")</f>
        <v/>
      </c>
      <c r="T915" s="27" t="n">
        <v>46323</v>
      </c>
    </row>
    <row r="916">
      <c r="A916" s="11" t="inlineStr">
        <is>
          <t>FCN</t>
        </is>
      </c>
      <c r="B916" s="11" t="inlineStr">
        <is>
          <t>FTI Consulting, Inc.</t>
        </is>
      </c>
      <c r="C916" s="11" t="inlineStr">
        <is>
          <t>Consulting Services</t>
        </is>
      </c>
      <c r="D916" s="11" t="inlineStr">
        <is>
          <t>United States</t>
        </is>
      </c>
      <c r="E916" s="12" t="n">
        <v>4.38</v>
      </c>
      <c r="F916" s="13" t="n">
        <v>158.8</v>
      </c>
      <c r="G916" s="13" t="n">
        <v>154.5</v>
      </c>
      <c r="H916" s="14">
        <f>IF(AND(ISNUMBER(F916),ISNUMBER(G916),F916&gt;0),G916/F916-1,"")</f>
        <v/>
      </c>
      <c r="I916" s="13" t="n">
        <v>151</v>
      </c>
      <c r="J916" s="14">
        <f>IF(AND(ISNUMBER(F916),ISNUMBER(I916),F916&gt;0),I916/F916-1,"")</f>
        <v/>
      </c>
      <c r="K916" s="13" t="n">
        <v>158</v>
      </c>
      <c r="L916" s="14">
        <f>IF(AND(ISNUMBER(F916),ISNUMBER(K916),F916&gt;0),K916/F916-1,"")</f>
        <v/>
      </c>
      <c r="M916" s="15" t="n">
        <v>2</v>
      </c>
      <c r="N916" s="16" t="n"/>
      <c r="O916" s="17">
        <f>IF(AND(ISNUMBER(F916),ISNUMBER(N916),F916&gt;0),N916/F916,"")</f>
        <v/>
      </c>
      <c r="P916" s="18" t="n"/>
      <c r="Q916" s="18" t="n">
        <v>46324</v>
      </c>
      <c r="R916" s="16" t="n">
        <v>8.300000000000001</v>
      </c>
      <c r="S916" s="19">
        <f>IF(AND(ISNUMBER(F916),ISNUMBER(R916),R916&gt;0),F916/R916,"")</f>
        <v/>
      </c>
      <c r="T916" s="18" t="n">
        <v>46323</v>
      </c>
    </row>
    <row r="917">
      <c r="A917" s="20" t="inlineStr">
        <is>
          <t>CRK</t>
        </is>
      </c>
      <c r="B917" s="20" t="inlineStr">
        <is>
          <t>Comstock Resources, Inc.</t>
        </is>
      </c>
      <c r="C917" s="20" t="inlineStr">
        <is>
          <t>Oil &amp; Gas E&amp;P</t>
        </is>
      </c>
      <c r="D917" s="20" t="inlineStr">
        <is>
          <t>United States</t>
        </is>
      </c>
      <c r="E917" s="21" t="n">
        <v>4.37</v>
      </c>
      <c r="F917" s="22" t="n">
        <v>14.9</v>
      </c>
      <c r="G917" s="22" t="n">
        <v>15.3</v>
      </c>
      <c r="H917" s="23">
        <f>IF(AND(ISNUMBER(F917),ISNUMBER(G917),F917&gt;0),G917/F917-1,"")</f>
        <v/>
      </c>
      <c r="I917" s="22" t="n">
        <v>11</v>
      </c>
      <c r="J917" s="23">
        <f>IF(AND(ISNUMBER(F917),ISNUMBER(I917),F917&gt;0),I917/F917-1,"")</f>
        <v/>
      </c>
      <c r="K917" s="22" t="n">
        <v>21</v>
      </c>
      <c r="L917" s="23">
        <f>IF(AND(ISNUMBER(F917),ISNUMBER(K917),F917&gt;0),K917/F917-1,"")</f>
        <v/>
      </c>
      <c r="M917" s="24" t="n">
        <v>15</v>
      </c>
      <c r="N917" s="25" t="n"/>
      <c r="O917" s="26">
        <f>IF(AND(ISNUMBER(F917),ISNUMBER(N917),F917&gt;0),N917/F917,"")</f>
        <v/>
      </c>
      <c r="P917" s="27" t="n"/>
      <c r="Q917" s="27" t="n">
        <v>46330</v>
      </c>
      <c r="R917" s="25" t="n">
        <v>1.84</v>
      </c>
      <c r="S917" s="28">
        <f>IF(AND(ISNUMBER(F917),ISNUMBER(R917),R917&gt;0),F917/R917,"")</f>
        <v/>
      </c>
      <c r="T917" s="27" t="n">
        <v>46323</v>
      </c>
    </row>
    <row r="918">
      <c r="A918" s="11" t="inlineStr">
        <is>
          <t>HHH</t>
        </is>
      </c>
      <c r="B918" s="11" t="inlineStr">
        <is>
          <t>Howard Hughes Holdings Inc.</t>
        </is>
      </c>
      <c r="C918" s="11" t="inlineStr">
        <is>
          <t>Real Estate - Development</t>
        </is>
      </c>
      <c r="D918" s="11" t="inlineStr">
        <is>
          <t>United States</t>
        </is>
      </c>
      <c r="E918" s="12" t="n">
        <v>4.37</v>
      </c>
      <c r="F918" s="13" t="n">
        <v>73.25</v>
      </c>
      <c r="G918" s="13" t="n">
        <v>84</v>
      </c>
      <c r="H918" s="14">
        <f>IF(AND(ISNUMBER(F918),ISNUMBER(G918),F918&gt;0),G918/F918-1,"")</f>
        <v/>
      </c>
      <c r="I918" s="13" t="n">
        <v>79</v>
      </c>
      <c r="J918" s="14">
        <f>IF(AND(ISNUMBER(F918),ISNUMBER(I918),F918&gt;0),I918/F918-1,"")</f>
        <v/>
      </c>
      <c r="K918" s="13" t="n">
        <v>90</v>
      </c>
      <c r="L918" s="14">
        <f>IF(AND(ISNUMBER(F918),ISNUMBER(K918),F918&gt;0),K918/F918-1,"")</f>
        <v/>
      </c>
      <c r="M918" s="15" t="n">
        <v>3</v>
      </c>
      <c r="N918" s="16" t="n"/>
      <c r="O918" s="17">
        <f>IF(AND(ISNUMBER(F918),ISNUMBER(N918),F918&gt;0),N918/F918,"")</f>
        <v/>
      </c>
      <c r="P918" s="18" t="n"/>
      <c r="Q918" s="18" t="n">
        <v>46331</v>
      </c>
      <c r="R918" s="16" t="n">
        <v>4.94</v>
      </c>
      <c r="S918" s="19">
        <f>IF(AND(ISNUMBER(F918),ISNUMBER(R918),R918&gt;0),F918/R918,"")</f>
        <v/>
      </c>
      <c r="T918" s="18" t="n">
        <v>46323</v>
      </c>
    </row>
    <row r="919">
      <c r="A919" s="20" t="inlineStr">
        <is>
          <t>SEZL</t>
        </is>
      </c>
      <c r="B919" s="20" t="inlineStr">
        <is>
          <t>Sezzle Inc.</t>
        </is>
      </c>
      <c r="C919" s="20" t="inlineStr">
        <is>
          <t>Credit Services</t>
        </is>
      </c>
      <c r="D919" s="20" t="inlineStr">
        <is>
          <t>United States</t>
        </is>
      </c>
      <c r="E919" s="21" t="n">
        <v>4.3</v>
      </c>
      <c r="F919" s="22" t="n">
        <v>127.36</v>
      </c>
      <c r="G919" s="22" t="n">
        <v>167.16667</v>
      </c>
      <c r="H919" s="23">
        <f>IF(AND(ISNUMBER(F919),ISNUMBER(G919),F919&gt;0),G919/F919-1,"")</f>
        <v/>
      </c>
      <c r="I919" s="22" t="n">
        <v>150</v>
      </c>
      <c r="J919" s="23">
        <f>IF(AND(ISNUMBER(F919),ISNUMBER(I919),F919&gt;0),I919/F919-1,"")</f>
        <v/>
      </c>
      <c r="K919" s="22" t="n">
        <v>196</v>
      </c>
      <c r="L919" s="23">
        <f>IF(AND(ISNUMBER(F919),ISNUMBER(K919),F919&gt;0),K919/F919-1,"")</f>
        <v/>
      </c>
      <c r="M919" s="24" t="n">
        <v>6</v>
      </c>
      <c r="N919" s="25" t="n"/>
      <c r="O919" s="26">
        <f>IF(AND(ISNUMBER(F919),ISNUMBER(N919),F919&gt;0),N919/F919,"")</f>
        <v/>
      </c>
      <c r="P919" s="27" t="n"/>
      <c r="Q919" s="27" t="n">
        <v>46330</v>
      </c>
      <c r="R919" s="25" t="n">
        <v>4.56</v>
      </c>
      <c r="S919" s="28">
        <f>IF(AND(ISNUMBER(F919),ISNUMBER(R919),R919&gt;0),F919/R919,"")</f>
        <v/>
      </c>
      <c r="T919" s="27" t="n">
        <v>46323</v>
      </c>
    </row>
    <row r="920">
      <c r="A920" s="11" t="inlineStr">
        <is>
          <t>STNG</t>
        </is>
      </c>
      <c r="B920" s="11" t="inlineStr">
        <is>
          <t>Scorpio Tankers Inc.</t>
        </is>
      </c>
      <c r="C920" s="11" t="inlineStr">
        <is>
          <t>Oil &amp; Gas Midstream</t>
        </is>
      </c>
      <c r="D920" s="11" t="inlineStr">
        <is>
          <t>Monaco</t>
        </is>
      </c>
      <c r="E920" s="12" t="n">
        <v>4.27</v>
      </c>
      <c r="F920" s="13" t="n">
        <v>85.33</v>
      </c>
      <c r="G920" s="13" t="n">
        <v>102.7</v>
      </c>
      <c r="H920" s="14">
        <f>IF(AND(ISNUMBER(F920),ISNUMBER(G920),F920&gt;0),G920/F920-1,"")</f>
        <v/>
      </c>
      <c r="I920" s="13" t="n">
        <v>83</v>
      </c>
      <c r="J920" s="14">
        <f>IF(AND(ISNUMBER(F920),ISNUMBER(I920),F920&gt;0),I920/F920-1,"")</f>
        <v/>
      </c>
      <c r="K920" s="13" t="n">
        <v>120</v>
      </c>
      <c r="L920" s="14">
        <f>IF(AND(ISNUMBER(F920),ISNUMBER(K920),F920&gt;0),K920/F920-1,"")</f>
        <v/>
      </c>
      <c r="M920" s="15" t="n">
        <v>10</v>
      </c>
      <c r="N920" s="16" t="n">
        <v>1.8</v>
      </c>
      <c r="O920" s="17">
        <f>IF(AND(ISNUMBER(F920),ISNUMBER(N920),F920&gt;0),N920/F920,"")</f>
        <v/>
      </c>
      <c r="P920" s="18" t="n">
        <v>46251</v>
      </c>
      <c r="Q920" s="18" t="n">
        <v>46323</v>
      </c>
      <c r="R920" s="16" t="n">
        <v>16.06</v>
      </c>
      <c r="S920" s="19">
        <f>IF(AND(ISNUMBER(F920),ISNUMBER(R920),R920&gt;0),F920/R920,"")</f>
        <v/>
      </c>
      <c r="T920" s="18" t="n">
        <v>46323</v>
      </c>
    </row>
    <row r="921">
      <c r="A921" s="20" t="inlineStr">
        <is>
          <t>TDW</t>
        </is>
      </c>
      <c r="B921" s="20" t="inlineStr">
        <is>
          <t>Tidewater Inc.</t>
        </is>
      </c>
      <c r="C921" s="20" t="inlineStr">
        <is>
          <t>Oil &amp; Gas Equipment &amp; Services</t>
        </is>
      </c>
      <c r="D921" s="20" t="inlineStr">
        <is>
          <t>United States</t>
        </is>
      </c>
      <c r="E921" s="21" t="n">
        <v>4.26</v>
      </c>
      <c r="F921" s="22" t="n">
        <v>85.55</v>
      </c>
      <c r="G921" s="22" t="n">
        <v>94.875</v>
      </c>
      <c r="H921" s="23">
        <f>IF(AND(ISNUMBER(F921),ISNUMBER(G921),F921&gt;0),G921/F921-1,"")</f>
        <v/>
      </c>
      <c r="I921" s="22" t="n">
        <v>68</v>
      </c>
      <c r="J921" s="23">
        <f>IF(AND(ISNUMBER(F921),ISNUMBER(I921),F921&gt;0),I921/F921-1,"")</f>
        <v/>
      </c>
      <c r="K921" s="22" t="n">
        <v>120</v>
      </c>
      <c r="L921" s="23">
        <f>IF(AND(ISNUMBER(F921),ISNUMBER(K921),F921&gt;0),K921/F921-1,"")</f>
        <v/>
      </c>
      <c r="M921" s="24" t="n">
        <v>8</v>
      </c>
      <c r="N921" s="25" t="n"/>
      <c r="O921" s="26">
        <f>IF(AND(ISNUMBER(F921),ISNUMBER(N921),F921&gt;0),N921/F921,"")</f>
        <v/>
      </c>
      <c r="P921" s="27" t="n"/>
      <c r="Q921" s="27" t="n">
        <v>46335</v>
      </c>
      <c r="R921" s="25" t="n">
        <v>4.91</v>
      </c>
      <c r="S921" s="28">
        <f>IF(AND(ISNUMBER(F921),ISNUMBER(R921),R921&gt;0),F921/R921,"")</f>
        <v/>
      </c>
      <c r="T921" s="27" t="n">
        <v>46323</v>
      </c>
    </row>
    <row r="922">
      <c r="A922" s="11" t="inlineStr">
        <is>
          <t>QTWO</t>
        </is>
      </c>
      <c r="B922" s="11" t="inlineStr">
        <is>
          <t>Q2 Holdings, Inc.</t>
        </is>
      </c>
      <c r="C922" s="11" t="inlineStr">
        <is>
          <t>Software - Application</t>
        </is>
      </c>
      <c r="D922" s="11" t="inlineStr">
        <is>
          <t>United States</t>
        </is>
      </c>
      <c r="E922" s="12" t="n">
        <v>4.25</v>
      </c>
      <c r="F922" s="13" t="n">
        <v>68.13</v>
      </c>
      <c r="G922" s="13" t="n">
        <v>75.64357</v>
      </c>
      <c r="H922" s="14">
        <f>IF(AND(ISNUMBER(F922),ISNUMBER(G922),F922&gt;0),G922/F922-1,"")</f>
        <v/>
      </c>
      <c r="I922" s="13" t="n">
        <v>67.01000000000001</v>
      </c>
      <c r="J922" s="14">
        <f>IF(AND(ISNUMBER(F922),ISNUMBER(I922),F922&gt;0),I922/F922-1,"")</f>
        <v/>
      </c>
      <c r="K922" s="13" t="n">
        <v>82</v>
      </c>
      <c r="L922" s="14">
        <f>IF(AND(ISNUMBER(F922),ISNUMBER(K922),F922&gt;0),K922/F922-1,"")</f>
        <v/>
      </c>
      <c r="M922" s="15" t="n">
        <v>14</v>
      </c>
      <c r="N922" s="16" t="n"/>
      <c r="O922" s="17">
        <f>IF(AND(ISNUMBER(F922),ISNUMBER(N922),F922&gt;0),N922/F922,"")</f>
        <v/>
      </c>
      <c r="P922" s="18" t="n"/>
      <c r="Q922" s="18" t="n">
        <v>46323</v>
      </c>
      <c r="R922" s="16" t="n">
        <v>1.41</v>
      </c>
      <c r="S922" s="19">
        <f>IF(AND(ISNUMBER(F922),ISNUMBER(R922),R922&gt;0),F922/R922,"")</f>
        <v/>
      </c>
      <c r="T922" s="18" t="n">
        <v>46323</v>
      </c>
    </row>
    <row r="923">
      <c r="A923" s="20" t="inlineStr">
        <is>
          <t>KRC</t>
        </is>
      </c>
      <c r="B923" s="20" t="inlineStr">
        <is>
          <t>Kilroy Realty Corporation</t>
        </is>
      </c>
      <c r="C923" s="20" t="inlineStr">
        <is>
          <t>Reit - Office</t>
        </is>
      </c>
      <c r="D923" s="20" t="inlineStr">
        <is>
          <t>United States</t>
        </is>
      </c>
      <c r="E923" s="21" t="n">
        <v>4.22</v>
      </c>
      <c r="F923" s="22" t="n">
        <v>35.97</v>
      </c>
      <c r="G923" s="22" t="n">
        <v>39.57143</v>
      </c>
      <c r="H923" s="23">
        <f>IF(AND(ISNUMBER(F923),ISNUMBER(G923),F923&gt;0),G923/F923-1,"")</f>
        <v/>
      </c>
      <c r="I923" s="22" t="n">
        <v>31</v>
      </c>
      <c r="J923" s="23">
        <f>IF(AND(ISNUMBER(F923),ISNUMBER(I923),F923&gt;0),I923/F923-1,"")</f>
        <v/>
      </c>
      <c r="K923" s="22" t="n">
        <v>50</v>
      </c>
      <c r="L923" s="23">
        <f>IF(AND(ISNUMBER(F923),ISNUMBER(K923),F923&gt;0),K923/F923-1,"")</f>
        <v/>
      </c>
      <c r="M923" s="24" t="n">
        <v>14</v>
      </c>
      <c r="N923" s="25" t="n">
        <v>2.16</v>
      </c>
      <c r="O923" s="26">
        <f>IF(AND(ISNUMBER(F923),ISNUMBER(N923),F923&gt;0),N923/F923,"")</f>
        <v/>
      </c>
      <c r="P923" s="27" t="n">
        <v>46295</v>
      </c>
      <c r="Q923" s="27" t="n">
        <v>46317</v>
      </c>
      <c r="R923" s="25" t="n">
        <v>0.25</v>
      </c>
      <c r="S923" s="28">
        <f>IF(AND(ISNUMBER(F923),ISNUMBER(R923),R923&gt;0),F923/R923,"")</f>
        <v/>
      </c>
      <c r="T923" s="27" t="n">
        <v>46323</v>
      </c>
    </row>
    <row r="924">
      <c r="A924" s="11" t="inlineStr">
        <is>
          <t>MNDY</t>
        </is>
      </c>
      <c r="B924" s="11" t="inlineStr">
        <is>
          <t>monday.com Ltd.</t>
        </is>
      </c>
      <c r="C924" s="11" t="inlineStr">
        <is>
          <t>Software - Application</t>
        </is>
      </c>
      <c r="D924" s="11" t="inlineStr">
        <is>
          <t>Israel</t>
        </is>
      </c>
      <c r="E924" s="12" t="n">
        <v>4.21</v>
      </c>
      <c r="F924" s="13" t="n">
        <v>99.61</v>
      </c>
      <c r="G924" s="13" t="n">
        <v>108.555</v>
      </c>
      <c r="H924" s="14">
        <f>IF(AND(ISNUMBER(F924),ISNUMBER(G924),F924&gt;0),G924/F924-1,"")</f>
        <v/>
      </c>
      <c r="I924" s="13" t="n">
        <v>87</v>
      </c>
      <c r="J924" s="14">
        <f>IF(AND(ISNUMBER(F924),ISNUMBER(I924),F924&gt;0),I924/F924-1,"")</f>
        <v/>
      </c>
      <c r="K924" s="13" t="n">
        <v>165</v>
      </c>
      <c r="L924" s="14">
        <f>IF(AND(ISNUMBER(F924),ISNUMBER(K924),F924&gt;0),K924/F924-1,"")</f>
        <v/>
      </c>
      <c r="M924" s="15" t="n">
        <v>24</v>
      </c>
      <c r="N924" s="16" t="n"/>
      <c r="O924" s="17">
        <f>IF(AND(ISNUMBER(F924),ISNUMBER(N924),F924&gt;0),N924/F924,"")</f>
        <v/>
      </c>
      <c r="P924" s="18" t="n"/>
      <c r="Q924" s="18" t="n">
        <v>46335</v>
      </c>
      <c r="R924" s="16" t="n">
        <v>2.37</v>
      </c>
      <c r="S924" s="19">
        <f>IF(AND(ISNUMBER(F924),ISNUMBER(R924),R924&gt;0),F924/R924,"")</f>
        <v/>
      </c>
      <c r="T924" s="18" t="n">
        <v>46323</v>
      </c>
    </row>
    <row r="925">
      <c r="A925" s="20" t="inlineStr">
        <is>
          <t>LEGN</t>
        </is>
      </c>
      <c r="B925" s="20" t="inlineStr">
        <is>
          <t>Legend Biotech Corporation</t>
        </is>
      </c>
      <c r="C925" s="20" t="inlineStr">
        <is>
          <t>Biotechnology</t>
        </is>
      </c>
      <c r="D925" s="20" t="inlineStr">
        <is>
          <t>United States</t>
        </is>
      </c>
      <c r="E925" s="21" t="n">
        <v>4.19</v>
      </c>
      <c r="F925" s="22" t="n">
        <v>21.56</v>
      </c>
      <c r="G925" s="22" t="n">
        <v>45.62231</v>
      </c>
      <c r="H925" s="23">
        <f>IF(AND(ISNUMBER(F925),ISNUMBER(G925),F925&gt;0),G925/F925-1,"")</f>
        <v/>
      </c>
      <c r="I925" s="22" t="n">
        <v>24</v>
      </c>
      <c r="J925" s="23">
        <f>IF(AND(ISNUMBER(F925),ISNUMBER(I925),F925&gt;0),I925/F925-1,"")</f>
        <v/>
      </c>
      <c r="K925" s="22" t="n">
        <v>68</v>
      </c>
      <c r="L925" s="23">
        <f>IF(AND(ISNUMBER(F925),ISNUMBER(K925),F925&gt;0),K925/F925-1,"")</f>
        <v/>
      </c>
      <c r="M925" s="24" t="n">
        <v>13</v>
      </c>
      <c r="N925" s="25" t="n"/>
      <c r="O925" s="26">
        <f>IF(AND(ISNUMBER(F925),ISNUMBER(N925),F925&gt;0),N925/F925,"")</f>
        <v/>
      </c>
      <c r="P925" s="27" t="n"/>
      <c r="Q925" s="27" t="n">
        <v>46336</v>
      </c>
      <c r="R925" s="25" t="n">
        <v>-0.52</v>
      </c>
      <c r="S925" s="28">
        <f>IF(AND(ISNUMBER(F925),ISNUMBER(R925),R925&gt;0),F925/R925,"")</f>
        <v/>
      </c>
      <c r="T925" s="27" t="n">
        <v>46323</v>
      </c>
    </row>
    <row r="926">
      <c r="A926" s="11" t="inlineStr">
        <is>
          <t>ENVA</t>
        </is>
      </c>
      <c r="B926" s="11" t="inlineStr">
        <is>
          <t>Enova International, Inc.</t>
        </is>
      </c>
      <c r="C926" s="11" t="inlineStr">
        <is>
          <t>Credit Services</t>
        </is>
      </c>
      <c r="D926" s="11" t="inlineStr">
        <is>
          <t>United States</t>
        </is>
      </c>
      <c r="E926" s="12" t="n">
        <v>4.19</v>
      </c>
      <c r="F926" s="13" t="n">
        <v>171.31</v>
      </c>
      <c r="G926" s="13" t="n">
        <v>230.83333</v>
      </c>
      <c r="H926" s="14">
        <f>IF(AND(ISNUMBER(F926),ISNUMBER(G926),F926&gt;0),G926/F926-1,"")</f>
        <v/>
      </c>
      <c r="I926" s="13" t="n">
        <v>220</v>
      </c>
      <c r="J926" s="14">
        <f>IF(AND(ISNUMBER(F926),ISNUMBER(I926),F926&gt;0),I926/F926-1,"")</f>
        <v/>
      </c>
      <c r="K926" s="13" t="n">
        <v>275</v>
      </c>
      <c r="L926" s="14">
        <f>IF(AND(ISNUMBER(F926),ISNUMBER(K926),F926&gt;0),K926/F926-1,"")</f>
        <v/>
      </c>
      <c r="M926" s="15" t="n">
        <v>6</v>
      </c>
      <c r="N926" s="16" t="n"/>
      <c r="O926" s="17">
        <f>IF(AND(ISNUMBER(F926),ISNUMBER(N926),F926&gt;0),N926/F926,"")</f>
        <v/>
      </c>
      <c r="P926" s="18" t="n"/>
      <c r="Q926" s="18" t="n">
        <v>46317</v>
      </c>
      <c r="R926" s="16" t="n">
        <v>14.48</v>
      </c>
      <c r="S926" s="19">
        <f>IF(AND(ISNUMBER(F926),ISNUMBER(R926),R926&gt;0),F926/R926,"")</f>
        <v/>
      </c>
      <c r="T926" s="18" t="n">
        <v>46323</v>
      </c>
    </row>
    <row r="927">
      <c r="A927" s="20" t="inlineStr">
        <is>
          <t>DAVE</t>
        </is>
      </c>
      <c r="B927" s="20" t="inlineStr">
        <is>
          <t>Dave Inc.</t>
        </is>
      </c>
      <c r="C927" s="20" t="inlineStr">
        <is>
          <t>Software - Application</t>
        </is>
      </c>
      <c r="D927" s="20" t="inlineStr">
        <is>
          <t>United States</t>
        </is>
      </c>
      <c r="E927" s="21" t="n">
        <v>4.19</v>
      </c>
      <c r="F927" s="22" t="n">
        <v>328.47</v>
      </c>
      <c r="G927" s="22" t="n">
        <v>445.07144</v>
      </c>
      <c r="H927" s="23">
        <f>IF(AND(ISNUMBER(F927),ISNUMBER(G927),F927&gt;0),G927/F927-1,"")</f>
        <v/>
      </c>
      <c r="I927" s="22" t="n">
        <v>350</v>
      </c>
      <c r="J927" s="23">
        <f>IF(AND(ISNUMBER(F927),ISNUMBER(I927),F927&gt;0),I927/F927-1,"")</f>
        <v/>
      </c>
      <c r="K927" s="22" t="n">
        <v>500</v>
      </c>
      <c r="L927" s="23">
        <f>IF(AND(ISNUMBER(F927),ISNUMBER(K927),F927&gt;0),K927/F927-1,"")</f>
        <v/>
      </c>
      <c r="M927" s="24" t="n">
        <v>14</v>
      </c>
      <c r="N927" s="25" t="n"/>
      <c r="O927" s="26">
        <f>IF(AND(ISNUMBER(F927),ISNUMBER(N927),F927&gt;0),N927/F927,"")</f>
        <v/>
      </c>
      <c r="P927" s="27" t="n"/>
      <c r="Q927" s="27" t="n">
        <v>46330</v>
      </c>
      <c r="R927" s="25" t="n">
        <v>15.51</v>
      </c>
      <c r="S927" s="28">
        <f>IF(AND(ISNUMBER(F927),ISNUMBER(R927),R927&gt;0),F927/R927,"")</f>
        <v/>
      </c>
      <c r="T927" s="27" t="n">
        <v>46323</v>
      </c>
    </row>
    <row r="928">
      <c r="A928" s="11" t="inlineStr">
        <is>
          <t>OLED</t>
        </is>
      </c>
      <c r="B928" s="11" t="inlineStr">
        <is>
          <t>Universal Display Corporation</t>
        </is>
      </c>
      <c r="C928" s="11" t="inlineStr">
        <is>
          <t>Electronic Components</t>
        </is>
      </c>
      <c r="D928" s="11" t="inlineStr">
        <is>
          <t>United States</t>
        </is>
      </c>
      <c r="E928" s="12" t="n">
        <v>4.15</v>
      </c>
      <c r="F928" s="13" t="n">
        <v>90.36</v>
      </c>
      <c r="G928" s="13" t="n">
        <v>113.81778</v>
      </c>
      <c r="H928" s="14">
        <f>IF(AND(ISNUMBER(F928),ISNUMBER(G928),F928&gt;0),G928/F928-1,"")</f>
        <v/>
      </c>
      <c r="I928" s="13" t="n">
        <v>71</v>
      </c>
      <c r="J928" s="14">
        <f>IF(AND(ISNUMBER(F928),ISNUMBER(I928),F928&gt;0),I928/F928-1,"")</f>
        <v/>
      </c>
      <c r="K928" s="13" t="n">
        <v>158</v>
      </c>
      <c r="L928" s="14">
        <f>IF(AND(ISNUMBER(F928),ISNUMBER(K928),F928&gt;0),K928/F928-1,"")</f>
        <v/>
      </c>
      <c r="M928" s="15" t="n">
        <v>9</v>
      </c>
      <c r="N928" s="16" t="n">
        <v>2</v>
      </c>
      <c r="O928" s="17">
        <f>IF(AND(ISNUMBER(F928),ISNUMBER(N928),F928&gt;0),N928/F928,"")</f>
        <v/>
      </c>
      <c r="P928" s="18" t="n">
        <v>46281</v>
      </c>
      <c r="Q928" s="18" t="n">
        <v>46323</v>
      </c>
      <c r="R928" s="16" t="n">
        <v>4.14</v>
      </c>
      <c r="S928" s="19">
        <f>IF(AND(ISNUMBER(F928),ISNUMBER(R928),R928&gt;0),F928/R928,"")</f>
        <v/>
      </c>
      <c r="T928" s="18" t="n">
        <v>46323</v>
      </c>
    </row>
    <row r="929">
      <c r="A929" s="20" t="inlineStr">
        <is>
          <t>RGTI</t>
        </is>
      </c>
      <c r="B929" s="20" t="inlineStr">
        <is>
          <t>Rigetti Computing, Inc.</t>
        </is>
      </c>
      <c r="C929" s="20" t="inlineStr">
        <is>
          <t>Computer Hardware</t>
        </is>
      </c>
      <c r="D929" s="20" t="inlineStr">
        <is>
          <t>United States</t>
        </is>
      </c>
      <c r="E929" s="21" t="n">
        <v>4.15</v>
      </c>
      <c r="F929" s="22" t="n">
        <v>12.44</v>
      </c>
      <c r="G929" s="22" t="n">
        <v>28.525</v>
      </c>
      <c r="H929" s="23">
        <f>IF(AND(ISNUMBER(F929),ISNUMBER(G929),F929&gt;0),G929/F929-1,"")</f>
        <v/>
      </c>
      <c r="I929" s="22" t="n">
        <v>17.3</v>
      </c>
      <c r="J929" s="23">
        <f>IF(AND(ISNUMBER(F929),ISNUMBER(I929),F929&gt;0),I929/F929-1,"")</f>
        <v/>
      </c>
      <c r="K929" s="22" t="n">
        <v>40</v>
      </c>
      <c r="L929" s="23">
        <f>IF(AND(ISNUMBER(F929),ISNUMBER(K929),F929&gt;0),K929/F929-1,"")</f>
        <v/>
      </c>
      <c r="M929" s="24" t="n">
        <v>12</v>
      </c>
      <c r="N929" s="25" t="n"/>
      <c r="O929" s="26">
        <f>IF(AND(ISNUMBER(F929),ISNUMBER(N929),F929&gt;0),N929/F929,"")</f>
        <v/>
      </c>
      <c r="P929" s="27" t="n"/>
      <c r="Q929" s="27" t="n">
        <v>46336</v>
      </c>
      <c r="R929" s="25" t="n">
        <v>-0.8</v>
      </c>
      <c r="S929" s="28">
        <f>IF(AND(ISNUMBER(F929),ISNUMBER(R929),R929&gt;0),F929/R929,"")</f>
        <v/>
      </c>
      <c r="T929" s="27" t="n">
        <v>46323</v>
      </c>
    </row>
    <row r="930">
      <c r="A930" s="11" t="inlineStr">
        <is>
          <t>TRMD</t>
        </is>
      </c>
      <c r="B930" s="11" t="inlineStr">
        <is>
          <t>TORM plc</t>
        </is>
      </c>
      <c r="C930" s="11" t="inlineStr">
        <is>
          <t>Oil &amp; Gas Midstream</t>
        </is>
      </c>
      <c r="D930" s="11" t="inlineStr">
        <is>
          <t>United Kingdom</t>
        </is>
      </c>
      <c r="E930" s="12" t="n">
        <v>4.15</v>
      </c>
      <c r="F930" s="13" t="n">
        <v>40.37</v>
      </c>
      <c r="G930" s="13" t="n">
        <v>45</v>
      </c>
      <c r="H930" s="14">
        <f>IF(AND(ISNUMBER(F930),ISNUMBER(G930),F930&gt;0),G930/F930-1,"")</f>
        <v/>
      </c>
      <c r="I930" s="13" t="n">
        <v>45</v>
      </c>
      <c r="J930" s="14">
        <f>IF(AND(ISNUMBER(F930),ISNUMBER(I930),F930&gt;0),I930/F930-1,"")</f>
        <v/>
      </c>
      <c r="K930" s="13" t="n">
        <v>45</v>
      </c>
      <c r="L930" s="14">
        <f>IF(AND(ISNUMBER(F930),ISNUMBER(K930),F930&gt;0),K930/F930-1,"")</f>
        <v/>
      </c>
      <c r="M930" s="15" t="n">
        <v>2</v>
      </c>
      <c r="N930" s="16" t="n">
        <v>4.42</v>
      </c>
      <c r="O930" s="17">
        <f>IF(AND(ISNUMBER(F930),ISNUMBER(N930),F930&gt;0),N930/F930,"")</f>
        <v/>
      </c>
      <c r="P930" s="18" t="n">
        <v>46275</v>
      </c>
      <c r="Q930" s="18" t="n">
        <v>46330</v>
      </c>
      <c r="R930" s="16" t="n">
        <v>6.07</v>
      </c>
      <c r="S930" s="19">
        <f>IF(AND(ISNUMBER(F930),ISNUMBER(R930),R930&gt;0),F930/R930,"")</f>
        <v/>
      </c>
      <c r="T930" s="18" t="n">
        <v>46323</v>
      </c>
    </row>
    <row r="931">
      <c r="A931" s="20" t="inlineStr">
        <is>
          <t>ITRI</t>
        </is>
      </c>
      <c r="B931" s="20" t="inlineStr">
        <is>
          <t>Itron, Inc.</t>
        </is>
      </c>
      <c r="C931" s="20" t="inlineStr">
        <is>
          <t>Scientific &amp; Technical Instruments</t>
        </is>
      </c>
      <c r="D931" s="20" t="inlineStr">
        <is>
          <t>United States</t>
        </is>
      </c>
      <c r="E931" s="21" t="n">
        <v>4.14</v>
      </c>
      <c r="F931" s="22" t="n">
        <v>94.55</v>
      </c>
      <c r="G931" s="22" t="n">
        <v>128.44444</v>
      </c>
      <c r="H931" s="23">
        <f>IF(AND(ISNUMBER(F931),ISNUMBER(G931),F931&gt;0),G931/F931-1,"")</f>
        <v/>
      </c>
      <c r="I931" s="22" t="n">
        <v>107</v>
      </c>
      <c r="J931" s="23">
        <f>IF(AND(ISNUMBER(F931),ISNUMBER(I931),F931&gt;0),I931/F931-1,"")</f>
        <v/>
      </c>
      <c r="K931" s="22" t="n">
        <v>150</v>
      </c>
      <c r="L931" s="23">
        <f>IF(AND(ISNUMBER(F931),ISNUMBER(K931),F931&gt;0),K931/F931-1,"")</f>
        <v/>
      </c>
      <c r="M931" s="24" t="n">
        <v>9</v>
      </c>
      <c r="N931" s="25" t="n"/>
      <c r="O931" s="26">
        <f>IF(AND(ISNUMBER(F931),ISNUMBER(N931),F931&gt;0),N931/F931,"")</f>
        <v/>
      </c>
      <c r="P931" s="27" t="n"/>
      <c r="Q931" s="27" t="n">
        <v>46322</v>
      </c>
      <c r="R931" s="25" t="n">
        <v>5.98</v>
      </c>
      <c r="S931" s="28">
        <f>IF(AND(ISNUMBER(F931),ISNUMBER(R931),R931&gt;0),F931/R931,"")</f>
        <v/>
      </c>
      <c r="T931" s="27" t="n">
        <v>46323</v>
      </c>
    </row>
    <row r="932">
      <c r="A932" s="11" t="inlineStr">
        <is>
          <t>DLO</t>
        </is>
      </c>
      <c r="B932" s="11" t="inlineStr">
        <is>
          <t>DLocal Limited</t>
        </is>
      </c>
      <c r="C932" s="11" t="inlineStr">
        <is>
          <t>Software - Infrastructure</t>
        </is>
      </c>
      <c r="D932" s="11" t="inlineStr">
        <is>
          <t>Uruguay</t>
        </is>
      </c>
      <c r="E932" s="12" t="n">
        <v>4.13</v>
      </c>
      <c r="F932" s="13" t="n">
        <v>14.05</v>
      </c>
      <c r="G932" s="13" t="n">
        <v>18.7</v>
      </c>
      <c r="H932" s="14">
        <f>IF(AND(ISNUMBER(F932),ISNUMBER(G932),F932&gt;0),G932/F932-1,"")</f>
        <v/>
      </c>
      <c r="I932" s="13" t="n">
        <v>15</v>
      </c>
      <c r="J932" s="14">
        <f>IF(AND(ISNUMBER(F932),ISNUMBER(I932),F932&gt;0),I932/F932-1,"")</f>
        <v/>
      </c>
      <c r="K932" s="13" t="n">
        <v>21</v>
      </c>
      <c r="L932" s="14">
        <f>IF(AND(ISNUMBER(F932),ISNUMBER(K932),F932&gt;0),K932/F932-1,"")</f>
        <v/>
      </c>
      <c r="M932" s="15" t="n">
        <v>10</v>
      </c>
      <c r="N932" s="16" t="n">
        <v>0.19</v>
      </c>
      <c r="O932" s="17">
        <f>IF(AND(ISNUMBER(F932),ISNUMBER(N932),F932&gt;0),N932/F932,"")</f>
        <v/>
      </c>
      <c r="P932" s="18" t="n">
        <v>46169</v>
      </c>
      <c r="Q932" s="18" t="n">
        <v>46338</v>
      </c>
      <c r="R932" s="16" t="n">
        <v>0.68</v>
      </c>
      <c r="S932" s="19">
        <f>IF(AND(ISNUMBER(F932),ISNUMBER(R932),R932&gt;0),F932/R932,"")</f>
        <v/>
      </c>
      <c r="T932" s="18" t="n">
        <v>46323</v>
      </c>
    </row>
    <row r="933">
      <c r="A933" s="20" t="inlineStr">
        <is>
          <t>OII</t>
        </is>
      </c>
      <c r="B933" s="20" t="inlineStr">
        <is>
          <t>Oceaneering International, Inc.</t>
        </is>
      </c>
      <c r="C933" s="20" t="inlineStr">
        <is>
          <t>Oil &amp; Gas Equipment &amp; Services</t>
        </is>
      </c>
      <c r="D933" s="20" t="inlineStr">
        <is>
          <t>United States</t>
        </is>
      </c>
      <c r="E933" s="21" t="n">
        <v>4.13</v>
      </c>
      <c r="F933" s="22" t="n">
        <v>41.47</v>
      </c>
      <c r="G933" s="22" t="n">
        <v>42.75</v>
      </c>
      <c r="H933" s="23">
        <f>IF(AND(ISNUMBER(F933),ISNUMBER(G933),F933&gt;0),G933/F933-1,"")</f>
        <v/>
      </c>
      <c r="I933" s="22" t="n">
        <v>30</v>
      </c>
      <c r="J933" s="23">
        <f>IF(AND(ISNUMBER(F933),ISNUMBER(I933),F933&gt;0),I933/F933-1,"")</f>
        <v/>
      </c>
      <c r="K933" s="22" t="n">
        <v>52</v>
      </c>
      <c r="L933" s="23">
        <f>IF(AND(ISNUMBER(F933),ISNUMBER(K933),F933&gt;0),K933/F933-1,"")</f>
        <v/>
      </c>
      <c r="M933" s="24" t="n">
        <v>4</v>
      </c>
      <c r="N933" s="25" t="n"/>
      <c r="O933" s="26">
        <f>IF(AND(ISNUMBER(F933),ISNUMBER(N933),F933&gt;0),N933/F933,"")</f>
        <v/>
      </c>
      <c r="P933" s="27" t="n"/>
      <c r="Q933" s="27" t="n">
        <v>46316</v>
      </c>
      <c r="R933" s="25" t="n">
        <v>3.28</v>
      </c>
      <c r="S933" s="28">
        <f>IF(AND(ISNUMBER(F933),ISNUMBER(R933),R933&gt;0),F933/R933,"")</f>
        <v/>
      </c>
      <c r="T933" s="27" t="n">
        <v>46323</v>
      </c>
    </row>
    <row r="934">
      <c r="A934" s="11" t="inlineStr">
        <is>
          <t>COLD</t>
        </is>
      </c>
      <c r="B934" s="11" t="inlineStr">
        <is>
          <t>Americold Realty Trust, Inc.</t>
        </is>
      </c>
      <c r="C934" s="11" t="inlineStr">
        <is>
          <t>Reit - Industrial</t>
        </is>
      </c>
      <c r="D934" s="11" t="inlineStr">
        <is>
          <t>United States</t>
        </is>
      </c>
      <c r="E934" s="12" t="n">
        <v>4.12</v>
      </c>
      <c r="F934" s="13" t="n">
        <v>14.37</v>
      </c>
      <c r="G934" s="13" t="n">
        <v>16.23529</v>
      </c>
      <c r="H934" s="14">
        <f>IF(AND(ISNUMBER(F934),ISNUMBER(G934),F934&gt;0),G934/F934-1,"")</f>
        <v/>
      </c>
      <c r="I934" s="13" t="n">
        <v>13</v>
      </c>
      <c r="J934" s="14">
        <f>IF(AND(ISNUMBER(F934),ISNUMBER(I934),F934&gt;0),I934/F934-1,"")</f>
        <v/>
      </c>
      <c r="K934" s="13" t="n">
        <v>21</v>
      </c>
      <c r="L934" s="14">
        <f>IF(AND(ISNUMBER(F934),ISNUMBER(K934),F934&gt;0),K934/F934-1,"")</f>
        <v/>
      </c>
      <c r="M934" s="15" t="n">
        <v>17</v>
      </c>
      <c r="N934" s="16" t="n">
        <v>0.92</v>
      </c>
      <c r="O934" s="17">
        <f>IF(AND(ISNUMBER(F934),ISNUMBER(N934),F934&gt;0),N934/F934,"")</f>
        <v/>
      </c>
      <c r="P934" s="18" t="n">
        <v>46295</v>
      </c>
      <c r="Q934" s="18" t="n">
        <v>46331</v>
      </c>
      <c r="R934" s="16" t="n">
        <v>-1.59</v>
      </c>
      <c r="S934" s="19">
        <f>IF(AND(ISNUMBER(F934),ISNUMBER(R934),R934&gt;0),F934/R934,"")</f>
        <v/>
      </c>
      <c r="T934" s="18" t="n">
        <v>46323</v>
      </c>
    </row>
    <row r="935">
      <c r="A935" s="20" t="inlineStr">
        <is>
          <t>SPHR</t>
        </is>
      </c>
      <c r="B935" s="20" t="inlineStr">
        <is>
          <t>Sphere Entertainment Co.</t>
        </is>
      </c>
      <c r="C935" s="20" t="inlineStr">
        <is>
          <t>Entertainment</t>
        </is>
      </c>
      <c r="D935" s="20" t="inlineStr">
        <is>
          <t>United States</t>
        </is>
      </c>
      <c r="E935" s="21" t="n">
        <v>4.12</v>
      </c>
      <c r="F935" s="22" t="n">
        <v>114.73</v>
      </c>
      <c r="G935" s="22" t="n">
        <v>159</v>
      </c>
      <c r="H935" s="23">
        <f>IF(AND(ISNUMBER(F935),ISNUMBER(G935),F935&gt;0),G935/F935-1,"")</f>
        <v/>
      </c>
      <c r="I935" s="22" t="n">
        <v>125</v>
      </c>
      <c r="J935" s="23">
        <f>IF(AND(ISNUMBER(F935),ISNUMBER(I935),F935&gt;0),I935/F935-1,"")</f>
        <v/>
      </c>
      <c r="K935" s="22" t="n">
        <v>200</v>
      </c>
      <c r="L935" s="23">
        <f>IF(AND(ISNUMBER(F935),ISNUMBER(K935),F935&gt;0),K935/F935-1,"")</f>
        <v/>
      </c>
      <c r="M935" s="24" t="n">
        <v>13</v>
      </c>
      <c r="N935" s="25" t="n"/>
      <c r="O935" s="26">
        <f>IF(AND(ISNUMBER(F935),ISNUMBER(N935),F935&gt;0),N935/F935,"")</f>
        <v/>
      </c>
      <c r="P935" s="27" t="n"/>
      <c r="Q935" s="27" t="n">
        <v>46331</v>
      </c>
      <c r="R935" s="25" t="n">
        <v>-2.69</v>
      </c>
      <c r="S935" s="28">
        <f>IF(AND(ISNUMBER(F935),ISNUMBER(R935),R935&gt;0),F935/R935,"")</f>
        <v/>
      </c>
      <c r="T935" s="27" t="n">
        <v>46323</v>
      </c>
    </row>
    <row r="936">
      <c r="A936" s="11" t="inlineStr">
        <is>
          <t>TDS</t>
        </is>
      </c>
      <c r="B936" s="11" t="inlineStr">
        <is>
          <t>Telephone and Data Systems, Inc</t>
        </is>
      </c>
      <c r="C936" s="11" t="inlineStr">
        <is>
          <t>Telecom Services</t>
        </is>
      </c>
      <c r="D936" s="11" t="inlineStr">
        <is>
          <t>United States</t>
        </is>
      </c>
      <c r="E936" s="12" t="n">
        <v>4.11</v>
      </c>
      <c r="F936" s="13" t="n">
        <v>35.69</v>
      </c>
      <c r="G936" s="13" t="n">
        <v>47.5</v>
      </c>
      <c r="H936" s="14">
        <f>IF(AND(ISNUMBER(F936),ISNUMBER(G936),F936&gt;0),G936/F936-1,"")</f>
        <v/>
      </c>
      <c r="I936" s="13" t="n">
        <v>47</v>
      </c>
      <c r="J936" s="14">
        <f>IF(AND(ISNUMBER(F936),ISNUMBER(I936),F936&gt;0),I936/F936-1,"")</f>
        <v/>
      </c>
      <c r="K936" s="13" t="n">
        <v>48</v>
      </c>
      <c r="L936" s="14">
        <f>IF(AND(ISNUMBER(F936),ISNUMBER(K936),F936&gt;0),K936/F936-1,"")</f>
        <v/>
      </c>
      <c r="M936" s="15" t="n">
        <v>2</v>
      </c>
      <c r="N936" s="16" t="n">
        <v>0.16</v>
      </c>
      <c r="O936" s="17">
        <f>IF(AND(ISNUMBER(F936),ISNUMBER(N936),F936&gt;0),N936/F936,"")</f>
        <v/>
      </c>
      <c r="P936" s="18" t="n">
        <v>46280</v>
      </c>
      <c r="Q936" s="18" t="n">
        <v>46335</v>
      </c>
      <c r="R936" s="16" t="n">
        <v>4</v>
      </c>
      <c r="S936" s="19">
        <f>IF(AND(ISNUMBER(F936),ISNUMBER(R936),R936&gt;0),F936/R936,"")</f>
        <v/>
      </c>
      <c r="T936" s="18" t="n">
        <v>46323</v>
      </c>
    </row>
    <row r="937">
      <c r="A937" s="20" t="inlineStr">
        <is>
          <t>AZZ</t>
        </is>
      </c>
      <c r="B937" s="20" t="inlineStr">
        <is>
          <t>AZZ Inc.</t>
        </is>
      </c>
      <c r="C937" s="20" t="inlineStr">
        <is>
          <t>Specialty Business Services</t>
        </is>
      </c>
      <c r="D937" s="20" t="inlineStr">
        <is>
          <t>United States</t>
        </is>
      </c>
      <c r="E937" s="21" t="n">
        <v>4.11</v>
      </c>
      <c r="F937" s="22" t="n">
        <v>137.29</v>
      </c>
      <c r="G937" s="22" t="n">
        <v>162.3</v>
      </c>
      <c r="H937" s="23">
        <f>IF(AND(ISNUMBER(F937),ISNUMBER(G937),F937&gt;0),G937/F937-1,"")</f>
        <v/>
      </c>
      <c r="I937" s="22" t="n">
        <v>145</v>
      </c>
      <c r="J937" s="23">
        <f>IF(AND(ISNUMBER(F937),ISNUMBER(I937),F937&gt;0),I937/F937-1,"")</f>
        <v/>
      </c>
      <c r="K937" s="22" t="n">
        <v>200</v>
      </c>
      <c r="L937" s="23">
        <f>IF(AND(ISNUMBER(F937),ISNUMBER(K937),F937&gt;0),K937/F937-1,"")</f>
        <v/>
      </c>
      <c r="M937" s="24" t="n">
        <v>10</v>
      </c>
      <c r="N937" s="25" t="n">
        <v>0.96</v>
      </c>
      <c r="O937" s="26">
        <f>IF(AND(ISNUMBER(F937),ISNUMBER(N937),F937&gt;0),N937/F937,"")</f>
        <v/>
      </c>
      <c r="P937" s="27" t="n">
        <v>46314</v>
      </c>
      <c r="Q937" s="27" t="n">
        <v>46393</v>
      </c>
      <c r="R937" s="25" t="n">
        <v>5.55</v>
      </c>
      <c r="S937" s="28">
        <f>IF(AND(ISNUMBER(F937),ISNUMBER(R937),R937&gt;0),F937/R937,"")</f>
        <v/>
      </c>
      <c r="T937" s="27" t="n">
        <v>46323</v>
      </c>
    </row>
    <row r="938">
      <c r="A938" s="11" t="inlineStr">
        <is>
          <t>GTX</t>
        </is>
      </c>
      <c r="B938" s="11" t="inlineStr">
        <is>
          <t>Garrett Motion Inc.</t>
        </is>
      </c>
      <c r="C938" s="11" t="inlineStr">
        <is>
          <t>Auto Parts</t>
        </is>
      </c>
      <c r="D938" s="11" t="inlineStr">
        <is>
          <t>United States</t>
        </is>
      </c>
      <c r="E938" s="12" t="n">
        <v>4.1</v>
      </c>
      <c r="F938" s="13" t="n">
        <v>22.01</v>
      </c>
      <c r="G938" s="13" t="n">
        <v>34.83333</v>
      </c>
      <c r="H938" s="14">
        <f>IF(AND(ISNUMBER(F938),ISNUMBER(G938),F938&gt;0),G938/F938-1,"")</f>
        <v/>
      </c>
      <c r="I938" s="13" t="n">
        <v>32</v>
      </c>
      <c r="J938" s="14">
        <f>IF(AND(ISNUMBER(F938),ISNUMBER(I938),F938&gt;0),I938/F938-1,"")</f>
        <v/>
      </c>
      <c r="K938" s="13" t="n">
        <v>42</v>
      </c>
      <c r="L938" s="14">
        <f>IF(AND(ISNUMBER(F938),ISNUMBER(K938),F938&gt;0),K938/F938-1,"")</f>
        <v/>
      </c>
      <c r="M938" s="15" t="n">
        <v>6</v>
      </c>
      <c r="N938" s="16" t="n">
        <v>0.32</v>
      </c>
      <c r="O938" s="17">
        <f>IF(AND(ISNUMBER(F938),ISNUMBER(N938),F938&gt;0),N938/F938,"")</f>
        <v/>
      </c>
      <c r="P938" s="18" t="n">
        <v>46266</v>
      </c>
      <c r="Q938" s="18" t="n">
        <v>46324</v>
      </c>
      <c r="R938" s="16" t="n">
        <v>1.82</v>
      </c>
      <c r="S938" s="19">
        <f>IF(AND(ISNUMBER(F938),ISNUMBER(R938),R938&gt;0),F938/R938,"")</f>
        <v/>
      </c>
      <c r="T938" s="18" t="n">
        <v>46323</v>
      </c>
    </row>
    <row r="939">
      <c r="A939" s="20" t="inlineStr">
        <is>
          <t>LOPE</t>
        </is>
      </c>
      <c r="B939" s="20" t="inlineStr">
        <is>
          <t>Grand Canyon Education, Inc.</t>
        </is>
      </c>
      <c r="C939" s="20" t="inlineStr">
        <is>
          <t>Education &amp; Training Services</t>
        </is>
      </c>
      <c r="D939" s="20" t="inlineStr">
        <is>
          <t>United States</t>
        </is>
      </c>
      <c r="E939" s="21" t="n">
        <v>4.1</v>
      </c>
      <c r="F939" s="22" t="n">
        <v>157.31</v>
      </c>
      <c r="G939" s="22" t="n">
        <v>194</v>
      </c>
      <c r="H939" s="23">
        <f>IF(AND(ISNUMBER(F939),ISNUMBER(G939),F939&gt;0),G939/F939-1,"")</f>
        <v/>
      </c>
      <c r="I939" s="22" t="n">
        <v>182</v>
      </c>
      <c r="J939" s="23">
        <f>IF(AND(ISNUMBER(F939),ISNUMBER(I939),F939&gt;0),I939/F939-1,"")</f>
        <v/>
      </c>
      <c r="K939" s="22" t="n">
        <v>200</v>
      </c>
      <c r="L939" s="23">
        <f>IF(AND(ISNUMBER(F939),ISNUMBER(K939),F939&gt;0),K939/F939-1,"")</f>
        <v/>
      </c>
      <c r="M939" s="24" t="n">
        <v>3</v>
      </c>
      <c r="N939" s="25" t="n"/>
      <c r="O939" s="26">
        <f>IF(AND(ISNUMBER(F939),ISNUMBER(N939),F939&gt;0),N939/F939,"")</f>
        <v/>
      </c>
      <c r="P939" s="27" t="n"/>
      <c r="Q939" s="27" t="n">
        <v>46330</v>
      </c>
      <c r="R939" s="25" t="n">
        <v>8.15</v>
      </c>
      <c r="S939" s="28">
        <f>IF(AND(ISNUMBER(F939),ISNUMBER(R939),R939&gt;0),F939/R939,"")</f>
        <v/>
      </c>
      <c r="T939" s="27" t="n">
        <v>46323</v>
      </c>
    </row>
    <row r="940">
      <c r="A940" s="11" t="inlineStr">
        <is>
          <t>INDV</t>
        </is>
      </c>
      <c r="B940" s="11" t="inlineStr">
        <is>
          <t>Indivior Pharmaceuticals, Inc.</t>
        </is>
      </c>
      <c r="C940" s="11" t="inlineStr">
        <is>
          <t>Drug Manufacturers - Specialty &amp; Generic</t>
        </is>
      </c>
      <c r="D940" s="11" t="inlineStr">
        <is>
          <t>United States</t>
        </is>
      </c>
      <c r="E940" s="12" t="n">
        <v>4.1</v>
      </c>
      <c r="F940" s="13" t="n">
        <v>34.72</v>
      </c>
      <c r="G940" s="13" t="n">
        <v>49</v>
      </c>
      <c r="H940" s="14">
        <f>IF(AND(ISNUMBER(F940),ISNUMBER(G940),F940&gt;0),G940/F940-1,"")</f>
        <v/>
      </c>
      <c r="I940" s="13" t="n">
        <v>43</v>
      </c>
      <c r="J940" s="14">
        <f>IF(AND(ISNUMBER(F940),ISNUMBER(I940),F940&gt;0),I940/F940-1,"")</f>
        <v/>
      </c>
      <c r="K940" s="13" t="n">
        <v>53</v>
      </c>
      <c r="L940" s="14">
        <f>IF(AND(ISNUMBER(F940),ISNUMBER(K940),F940&gt;0),K940/F940-1,"")</f>
        <v/>
      </c>
      <c r="M940" s="15" t="n">
        <v>4</v>
      </c>
      <c r="N940" s="16" t="n"/>
      <c r="O940" s="17">
        <f>IF(AND(ISNUMBER(F940),ISNUMBER(N940),F940&gt;0),N940/F940,"")</f>
        <v/>
      </c>
      <c r="P940" s="18" t="n">
        <v>46325</v>
      </c>
      <c r="Q940" s="18" t="n">
        <v>46324</v>
      </c>
      <c r="R940" s="16" t="n">
        <v>2.83</v>
      </c>
      <c r="S940" s="19">
        <f>IF(AND(ISNUMBER(F940),ISNUMBER(R940),R940&gt;0),F940/R940,"")</f>
        <v/>
      </c>
      <c r="T940" s="18" t="n">
        <v>46323</v>
      </c>
    </row>
    <row r="941">
      <c r="A941" s="20" t="inlineStr">
        <is>
          <t>KTB</t>
        </is>
      </c>
      <c r="B941" s="20" t="inlineStr">
        <is>
          <t>Kontoor Brands, Inc.</t>
        </is>
      </c>
      <c r="C941" s="20" t="inlineStr">
        <is>
          <t>Apparel Manufacturing</t>
        </is>
      </c>
      <c r="D941" s="20" t="inlineStr">
        <is>
          <t>United States</t>
        </is>
      </c>
      <c r="E941" s="21" t="n">
        <v>4.09</v>
      </c>
      <c r="F941" s="22" t="n">
        <v>74.86</v>
      </c>
      <c r="G941" s="22" t="n">
        <v>98.2</v>
      </c>
      <c r="H941" s="23">
        <f>IF(AND(ISNUMBER(F941),ISNUMBER(G941),F941&gt;0),G941/F941-1,"")</f>
        <v/>
      </c>
      <c r="I941" s="22" t="n">
        <v>50</v>
      </c>
      <c r="J941" s="23">
        <f>IF(AND(ISNUMBER(F941),ISNUMBER(I941),F941&gt;0),I941/F941-1,"")</f>
        <v/>
      </c>
      <c r="K941" s="22" t="n">
        <v>136</v>
      </c>
      <c r="L941" s="23">
        <f>IF(AND(ISNUMBER(F941),ISNUMBER(K941),F941&gt;0),K941/F941-1,"")</f>
        <v/>
      </c>
      <c r="M941" s="24" t="n">
        <v>10</v>
      </c>
      <c r="N941" s="25" t="n">
        <v>2.16</v>
      </c>
      <c r="O941" s="26">
        <f>IF(AND(ISNUMBER(F941),ISNUMBER(N941),F941&gt;0),N941/F941,"")</f>
        <v/>
      </c>
      <c r="P941" s="27" t="n">
        <v>46364</v>
      </c>
      <c r="Q941" s="27" t="n">
        <v>46324</v>
      </c>
      <c r="R941" s="25" t="n">
        <v>4.09</v>
      </c>
      <c r="S941" s="28">
        <f>IF(AND(ISNUMBER(F941),ISNUMBER(R941),R941&gt;0),F941/R941,"")</f>
        <v/>
      </c>
      <c r="T941" s="27" t="n">
        <v>46323</v>
      </c>
    </row>
    <row r="942">
      <c r="A942" s="11" t="inlineStr">
        <is>
          <t>TAC</t>
        </is>
      </c>
      <c r="B942" s="11" t="inlineStr">
        <is>
          <t>TransAlta Corporation</t>
        </is>
      </c>
      <c r="C942" s="11" t="inlineStr">
        <is>
          <t>Utilities - Independent Power Producers</t>
        </is>
      </c>
      <c r="D942" s="11" t="inlineStr">
        <is>
          <t>Canada</t>
        </is>
      </c>
      <c r="E942" s="12" t="n">
        <v>4.07</v>
      </c>
      <c r="F942" s="13" t="n">
        <v>12.87</v>
      </c>
      <c r="G942" s="13" t="n">
        <v>13.161021</v>
      </c>
      <c r="H942" s="14">
        <f>IF(AND(ISNUMBER(F942),ISNUMBER(G942),F942&gt;0),G942/F942-1,"")</f>
        <v/>
      </c>
      <c r="I942" s="13" t="n">
        <v>9.961019</v>
      </c>
      <c r="J942" s="14">
        <f>IF(AND(ISNUMBER(F942),ISNUMBER(I942),F942&gt;0),I942/F942-1,"")</f>
        <v/>
      </c>
      <c r="K942" s="13" t="n">
        <v>16.361025</v>
      </c>
      <c r="L942" s="14">
        <f>IF(AND(ISNUMBER(F942),ISNUMBER(K942),F942&gt;0),K942/F942-1,"")</f>
        <v/>
      </c>
      <c r="M942" s="15" t="n">
        <v>2</v>
      </c>
      <c r="N942" s="16" t="n">
        <v>0.2</v>
      </c>
      <c r="O942" s="17">
        <f>IF(AND(ISNUMBER(F942),ISNUMBER(N942),F942&gt;0),N942/F942,"")</f>
        <v/>
      </c>
      <c r="P942" s="18" t="n">
        <v>46266</v>
      </c>
      <c r="Q942" s="18" t="n">
        <v>46329</v>
      </c>
      <c r="R942" s="16" t="n">
        <v>-0.22</v>
      </c>
      <c r="S942" s="19">
        <f>IF(AND(ISNUMBER(F942),ISNUMBER(R942),R942&gt;0),F942/R942,"")</f>
        <v/>
      </c>
      <c r="T942" s="18" t="n">
        <v>46323</v>
      </c>
    </row>
    <row r="943">
      <c r="A943" s="20" t="inlineStr">
        <is>
          <t>PAM</t>
        </is>
      </c>
      <c r="B943" s="20" t="inlineStr">
        <is>
          <t>Pampa Energia S.A.</t>
        </is>
      </c>
      <c r="C943" s="20" t="inlineStr">
        <is>
          <t>Conglomerates</t>
        </is>
      </c>
      <c r="D943" s="20" t="inlineStr">
        <is>
          <t>Argentina</t>
        </is>
      </c>
      <c r="E943" s="21" t="n">
        <v>4.04</v>
      </c>
      <c r="F943" s="22" t="n">
        <v>75.39</v>
      </c>
      <c r="G943" s="22" t="n">
        <v>120.63636</v>
      </c>
      <c r="H943" s="23">
        <f>IF(AND(ISNUMBER(F943),ISNUMBER(G943),F943&gt;0),G943/F943-1,"")</f>
        <v/>
      </c>
      <c r="I943" s="22" t="n">
        <v>100</v>
      </c>
      <c r="J943" s="23">
        <f>IF(AND(ISNUMBER(F943),ISNUMBER(I943),F943&gt;0),I943/F943-1,"")</f>
        <v/>
      </c>
      <c r="K943" s="22" t="n">
        <v>160</v>
      </c>
      <c r="L943" s="23">
        <f>IF(AND(ISNUMBER(F943),ISNUMBER(K943),F943&gt;0),K943/F943-1,"")</f>
        <v/>
      </c>
      <c r="M943" s="24" t="n">
        <v>11</v>
      </c>
      <c r="N943" s="25" t="n"/>
      <c r="O943" s="26">
        <f>IF(AND(ISNUMBER(F943),ISNUMBER(N943),F943&gt;0),N943/F943,"")</f>
        <v/>
      </c>
      <c r="P943" s="27" t="n"/>
      <c r="Q943" s="27" t="n">
        <v>46328</v>
      </c>
      <c r="R943" s="25" t="n">
        <v>11</v>
      </c>
      <c r="S943" s="28">
        <f>IF(AND(ISNUMBER(F943),ISNUMBER(R943),R943&gt;0),F943/R943,"")</f>
        <v/>
      </c>
      <c r="T943" s="27" t="n">
        <v>46323</v>
      </c>
    </row>
    <row r="944">
      <c r="A944" s="11" t="inlineStr">
        <is>
          <t>PAY</t>
        </is>
      </c>
      <c r="B944" s="11" t="inlineStr">
        <is>
          <t>Paymentus Holdings, Inc.</t>
        </is>
      </c>
      <c r="C944" s="11" t="inlineStr">
        <is>
          <t>Software - Infrastructure</t>
        </is>
      </c>
      <c r="D944" s="11" t="inlineStr">
        <is>
          <t>United States</t>
        </is>
      </c>
      <c r="E944" s="12" t="n">
        <v>4.01</v>
      </c>
      <c r="F944" s="13" t="n">
        <v>31.87</v>
      </c>
      <c r="G944" s="13" t="n">
        <v>40.14286</v>
      </c>
      <c r="H944" s="14">
        <f>IF(AND(ISNUMBER(F944),ISNUMBER(G944),F944&gt;0),G944/F944-1,"")</f>
        <v/>
      </c>
      <c r="I944" s="13" t="n">
        <v>36</v>
      </c>
      <c r="J944" s="14">
        <f>IF(AND(ISNUMBER(F944),ISNUMBER(I944),F944&gt;0),I944/F944-1,"")</f>
        <v/>
      </c>
      <c r="K944" s="13" t="n">
        <v>45</v>
      </c>
      <c r="L944" s="14">
        <f>IF(AND(ISNUMBER(F944),ISNUMBER(K944),F944&gt;0),K944/F944-1,"")</f>
        <v/>
      </c>
      <c r="M944" s="15" t="n">
        <v>7</v>
      </c>
      <c r="N944" s="16" t="n"/>
      <c r="O944" s="17">
        <f>IF(AND(ISNUMBER(F944),ISNUMBER(N944),F944&gt;0),N944/F944,"")</f>
        <v/>
      </c>
      <c r="P944" s="18" t="n"/>
      <c r="Q944" s="18" t="n">
        <v>46328</v>
      </c>
      <c r="R944" s="16" t="n">
        <v>0.66</v>
      </c>
      <c r="S944" s="19">
        <f>IF(AND(ISNUMBER(F944),ISNUMBER(R944),R944&gt;0),F944/R944,"")</f>
        <v/>
      </c>
      <c r="T944" s="18" t="n">
        <v>46323</v>
      </c>
    </row>
    <row r="945">
      <c r="A945" s="20" t="inlineStr">
        <is>
          <t>ALK</t>
        </is>
      </c>
      <c r="B945" s="20" t="inlineStr">
        <is>
          <t>Alaska Air Group, Inc.</t>
        </is>
      </c>
      <c r="C945" s="20" t="inlineStr">
        <is>
          <t>Airlines</t>
        </is>
      </c>
      <c r="D945" s="20" t="inlineStr">
        <is>
          <t>United States</t>
        </is>
      </c>
      <c r="E945" s="21" t="n">
        <v>4.01</v>
      </c>
      <c r="F945" s="22" t="n">
        <v>35.91</v>
      </c>
      <c r="G945" s="22" t="n">
        <v>52.0625</v>
      </c>
      <c r="H945" s="23">
        <f>IF(AND(ISNUMBER(F945),ISNUMBER(G945),F945&gt;0),G945/F945-1,"")</f>
        <v/>
      </c>
      <c r="I945" s="22" t="n">
        <v>33</v>
      </c>
      <c r="J945" s="23">
        <f>IF(AND(ISNUMBER(F945),ISNUMBER(I945),F945&gt;0),I945/F945-1,"")</f>
        <v/>
      </c>
      <c r="K945" s="22" t="n">
        <v>78</v>
      </c>
      <c r="L945" s="23">
        <f>IF(AND(ISNUMBER(F945),ISNUMBER(K945),F945&gt;0),K945/F945-1,"")</f>
        <v/>
      </c>
      <c r="M945" s="24" t="n">
        <v>16</v>
      </c>
      <c r="N945" s="25" t="n"/>
      <c r="O945" s="26">
        <f>IF(AND(ISNUMBER(F945),ISNUMBER(N945),F945&gt;0),N945/F945,"")</f>
        <v/>
      </c>
      <c r="P945" s="27" t="n"/>
      <c r="Q945" s="27" t="n">
        <v>46315</v>
      </c>
      <c r="R945" s="25" t="n">
        <v>-3.52</v>
      </c>
      <c r="S945" s="28">
        <f>IF(AND(ISNUMBER(F945),ISNUMBER(R945),R945&gt;0),F945/R945,"")</f>
        <v/>
      </c>
      <c r="T945" s="27" t="n">
        <v>46323</v>
      </c>
    </row>
    <row r="946">
      <c r="A946" s="11" t="inlineStr">
        <is>
          <t>UEC</t>
        </is>
      </c>
      <c r="B946" s="11" t="inlineStr">
        <is>
          <t>Uranium Energy Corp.</t>
        </is>
      </c>
      <c r="C946" s="11" t="inlineStr">
        <is>
          <t>Uranium</t>
        </is>
      </c>
      <c r="D946" s="11" t="inlineStr">
        <is>
          <t>United States</t>
        </is>
      </c>
      <c r="E946" s="12" t="n">
        <v>3.98</v>
      </c>
      <c r="F946" s="13" t="n">
        <v>8.039999999999999</v>
      </c>
      <c r="G946" s="13" t="n">
        <v>16.02727</v>
      </c>
      <c r="H946" s="14">
        <f>IF(AND(ISNUMBER(F946),ISNUMBER(G946),F946&gt;0),G946/F946-1,"")</f>
        <v/>
      </c>
      <c r="I946" s="13" t="n">
        <v>10</v>
      </c>
      <c r="J946" s="14">
        <f>IF(AND(ISNUMBER(F946),ISNUMBER(I946),F946&gt;0),I946/F946-1,"")</f>
        <v/>
      </c>
      <c r="K946" s="13" t="n">
        <v>26.75</v>
      </c>
      <c r="L946" s="14">
        <f>IF(AND(ISNUMBER(F946),ISNUMBER(K946),F946&gt;0),K946/F946-1,"")</f>
        <v/>
      </c>
      <c r="M946" s="15" t="n">
        <v>11</v>
      </c>
      <c r="N946" s="16" t="n"/>
      <c r="O946" s="17">
        <f>IF(AND(ISNUMBER(F946),ISNUMBER(N946),F946&gt;0),N946/F946,"")</f>
        <v/>
      </c>
      <c r="P946" s="18" t="n"/>
      <c r="Q946" s="18" t="n">
        <v>46364</v>
      </c>
      <c r="R946" s="16" t="n">
        <v>-0.28</v>
      </c>
      <c r="S946" s="19">
        <f>IF(AND(ISNUMBER(F946),ISNUMBER(R946),R946&gt;0),F946/R946,"")</f>
        <v/>
      </c>
      <c r="T946" s="18" t="n">
        <v>46323</v>
      </c>
    </row>
    <row r="947">
      <c r="A947" s="20" t="inlineStr">
        <is>
          <t>PVH</t>
        </is>
      </c>
      <c r="B947" s="20" t="inlineStr">
        <is>
          <t>PVH Corp.</t>
        </is>
      </c>
      <c r="C947" s="20" t="inlineStr">
        <is>
          <t>Apparel Manufacturing</t>
        </is>
      </c>
      <c r="D947" s="20" t="inlineStr">
        <is>
          <t>United States</t>
        </is>
      </c>
      <c r="E947" s="21" t="n">
        <v>3.95</v>
      </c>
      <c r="F947" s="22" t="n">
        <v>85.61</v>
      </c>
      <c r="G947" s="22" t="n">
        <v>92.81818</v>
      </c>
      <c r="H947" s="23">
        <f>IF(AND(ISNUMBER(F947),ISNUMBER(G947),F947&gt;0),G947/F947-1,"")</f>
        <v/>
      </c>
      <c r="I947" s="22" t="n">
        <v>70</v>
      </c>
      <c r="J947" s="23">
        <f>IF(AND(ISNUMBER(F947),ISNUMBER(I947),F947&gt;0),I947/F947-1,"")</f>
        <v/>
      </c>
      <c r="K947" s="22" t="n">
        <v>128</v>
      </c>
      <c r="L947" s="23">
        <f>IF(AND(ISNUMBER(F947),ISNUMBER(K947),F947&gt;0),K947/F947-1,"")</f>
        <v/>
      </c>
      <c r="M947" s="24" t="n">
        <v>11</v>
      </c>
      <c r="N947" s="25" t="n">
        <v>0.15</v>
      </c>
      <c r="O947" s="26">
        <f>IF(AND(ISNUMBER(F947),ISNUMBER(N947),F947&gt;0),N947/F947,"")</f>
        <v/>
      </c>
      <c r="P947" s="27" t="n">
        <v>46267</v>
      </c>
      <c r="Q947" s="27" t="n">
        <v>46358</v>
      </c>
      <c r="R947" s="25" t="n">
        <v>-3.46</v>
      </c>
      <c r="S947" s="28">
        <f>IF(AND(ISNUMBER(F947),ISNUMBER(R947),R947&gt;0),F947/R947,"")</f>
        <v/>
      </c>
      <c r="T947" s="27" t="n">
        <v>46323</v>
      </c>
    </row>
    <row r="948">
      <c r="A948" s="11" t="inlineStr">
        <is>
          <t>ENPH</t>
        </is>
      </c>
      <c r="B948" s="11" t="inlineStr">
        <is>
          <t>Enphase Energy, Inc.</t>
        </is>
      </c>
      <c r="C948" s="11" t="inlineStr">
        <is>
          <t>Solar</t>
        </is>
      </c>
      <c r="D948" s="11" t="inlineStr">
        <is>
          <t>United States</t>
        </is>
      </c>
      <c r="E948" s="12" t="n">
        <v>3.93</v>
      </c>
      <c r="F948" s="13" t="n">
        <v>29.76</v>
      </c>
      <c r="G948" s="13" t="n">
        <v>49.12692</v>
      </c>
      <c r="H948" s="14">
        <f>IF(AND(ISNUMBER(F948),ISNUMBER(G948),F948&gt;0),G948/F948-1,"")</f>
        <v/>
      </c>
      <c r="I948" s="13" t="n">
        <v>24</v>
      </c>
      <c r="J948" s="14">
        <f>IF(AND(ISNUMBER(F948),ISNUMBER(I948),F948&gt;0),I948/F948-1,"")</f>
        <v/>
      </c>
      <c r="K948" s="13" t="n">
        <v>212</v>
      </c>
      <c r="L948" s="14">
        <f>IF(AND(ISNUMBER(F948),ISNUMBER(K948),F948&gt;0),K948/F948-1,"")</f>
        <v/>
      </c>
      <c r="M948" s="15" t="n">
        <v>26</v>
      </c>
      <c r="N948" s="16" t="n"/>
      <c r="O948" s="17">
        <f>IF(AND(ISNUMBER(F948),ISNUMBER(N948),F948&gt;0),N948/F948,"")</f>
        <v/>
      </c>
      <c r="P948" s="18" t="n"/>
      <c r="Q948" s="18" t="n">
        <v>46322</v>
      </c>
      <c r="R948" s="16" t="n">
        <v>1</v>
      </c>
      <c r="S948" s="19">
        <f>IF(AND(ISNUMBER(F948),ISNUMBER(R948),R948&gt;0),F948/R948,"")</f>
        <v/>
      </c>
      <c r="T948" s="18" t="n">
        <v>46323</v>
      </c>
    </row>
    <row r="949">
      <c r="A949" s="20" t="inlineStr">
        <is>
          <t>USAR</t>
        </is>
      </c>
      <c r="B949" s="20" t="inlineStr">
        <is>
          <t>USA Rare Earth, Inc.</t>
        </is>
      </c>
      <c r="C949" s="20" t="inlineStr">
        <is>
          <t>Other Industrial Metals &amp; Mining</t>
        </is>
      </c>
      <c r="D949" s="20" t="inlineStr">
        <is>
          <t>United States</t>
        </is>
      </c>
      <c r="E949" s="21" t="n">
        <v>3.9</v>
      </c>
      <c r="F949" s="22" t="n">
        <v>10.4</v>
      </c>
      <c r="G949" s="22" t="n">
        <v>35.125</v>
      </c>
      <c r="H949" s="23">
        <f>IF(AND(ISNUMBER(F949),ISNUMBER(G949),F949&gt;0),G949/F949-1,"")</f>
        <v/>
      </c>
      <c r="I949" s="22" t="n">
        <v>21</v>
      </c>
      <c r="J949" s="23">
        <f>IF(AND(ISNUMBER(F949),ISNUMBER(I949),F949&gt;0),I949/F949-1,"")</f>
        <v/>
      </c>
      <c r="K949" s="22" t="n">
        <v>45</v>
      </c>
      <c r="L949" s="23">
        <f>IF(AND(ISNUMBER(F949),ISNUMBER(K949),F949&gt;0),K949/F949-1,"")</f>
        <v/>
      </c>
      <c r="M949" s="24" t="n">
        <v>8</v>
      </c>
      <c r="N949" s="25" t="n"/>
      <c r="O949" s="26">
        <f>IF(AND(ISNUMBER(F949),ISNUMBER(N949),F949&gt;0),N949/F949,"")</f>
        <v/>
      </c>
      <c r="P949" s="27" t="n"/>
      <c r="Q949" s="27" t="n">
        <v>46331</v>
      </c>
      <c r="R949" s="25" t="n">
        <v>-2.49</v>
      </c>
      <c r="S949" s="28">
        <f>IF(AND(ISNUMBER(F949),ISNUMBER(R949),R949&gt;0),F949/R949,"")</f>
        <v/>
      </c>
      <c r="T949" s="27" t="n">
        <v>46323</v>
      </c>
    </row>
    <row r="950">
      <c r="A950" s="11" t="inlineStr">
        <is>
          <t>DHT</t>
        </is>
      </c>
      <c r="B950" s="11" t="inlineStr">
        <is>
          <t>DHT Holdings, Inc.</t>
        </is>
      </c>
      <c r="C950" s="11" t="inlineStr">
        <is>
          <t>Oil &amp; Gas Midstream</t>
        </is>
      </c>
      <c r="D950" s="11" t="inlineStr">
        <is>
          <t>Bermuda</t>
        </is>
      </c>
      <c r="E950" s="12" t="n">
        <v>3.89</v>
      </c>
      <c r="F950" s="13" t="n">
        <v>24.13</v>
      </c>
      <c r="G950" s="13" t="n">
        <v>26.01667</v>
      </c>
      <c r="H950" s="14">
        <f>IF(AND(ISNUMBER(F950),ISNUMBER(G950),F950&gt;0),G950/F950-1,"")</f>
        <v/>
      </c>
      <c r="I950" s="13" t="n">
        <v>19.9</v>
      </c>
      <c r="J950" s="14">
        <f>IF(AND(ISNUMBER(F950),ISNUMBER(I950),F950&gt;0),I950/F950-1,"")</f>
        <v/>
      </c>
      <c r="K950" s="13" t="n">
        <v>30</v>
      </c>
      <c r="L950" s="14">
        <f>IF(AND(ISNUMBER(F950),ISNUMBER(K950),F950&gt;0),K950/F950-1,"")</f>
        <v/>
      </c>
      <c r="M950" s="15" t="n">
        <v>6</v>
      </c>
      <c r="N950" s="16" t="n">
        <v>4.88</v>
      </c>
      <c r="O950" s="17">
        <f>IF(AND(ISNUMBER(F950),ISNUMBER(N950),F950&gt;0),N950/F950,"")</f>
        <v/>
      </c>
      <c r="P950" s="18" t="n">
        <v>46251</v>
      </c>
      <c r="Q950" s="18" t="n">
        <v>46335</v>
      </c>
      <c r="R950" s="16" t="n">
        <v>2.94</v>
      </c>
      <c r="S950" s="19">
        <f>IF(AND(ISNUMBER(F950),ISNUMBER(R950),R950&gt;0),F950/R950,"")</f>
        <v/>
      </c>
      <c r="T950" s="18" t="n">
        <v>46323</v>
      </c>
    </row>
    <row r="951">
      <c r="A951" s="20" t="inlineStr">
        <is>
          <t>MMYT</t>
        </is>
      </c>
      <c r="B951" s="20" t="inlineStr">
        <is>
          <t>MakeMyTrip Limited</t>
        </is>
      </c>
      <c r="C951" s="20" t="inlineStr">
        <is>
          <t>Travel Services</t>
        </is>
      </c>
      <c r="D951" s="20" t="inlineStr">
        <is>
          <t>India</t>
        </is>
      </c>
      <c r="E951" s="21" t="n">
        <v>3.89</v>
      </c>
      <c r="F951" s="22" t="n">
        <v>41.36</v>
      </c>
      <c r="G951" s="22" t="n">
        <v>68.88889</v>
      </c>
      <c r="H951" s="23">
        <f>IF(AND(ISNUMBER(F951),ISNUMBER(G951),F951&gt;0),G951/F951-1,"")</f>
        <v/>
      </c>
      <c r="I951" s="22" t="n">
        <v>55</v>
      </c>
      <c r="J951" s="23">
        <f>IF(AND(ISNUMBER(F951),ISNUMBER(I951),F951&gt;0),I951/F951-1,"")</f>
        <v/>
      </c>
      <c r="K951" s="22" t="n">
        <v>80</v>
      </c>
      <c r="L951" s="23">
        <f>IF(AND(ISNUMBER(F951),ISNUMBER(K951),F951&gt;0),K951/F951-1,"")</f>
        <v/>
      </c>
      <c r="M951" s="24" t="n">
        <v>9</v>
      </c>
      <c r="N951" s="25" t="n"/>
      <c r="O951" s="26">
        <f>IF(AND(ISNUMBER(F951),ISNUMBER(N951),F951&gt;0),N951/F951,"")</f>
        <v/>
      </c>
      <c r="P951" s="27" t="n"/>
      <c r="Q951" s="27" t="n">
        <v>46407</v>
      </c>
      <c r="R951" s="25" t="n">
        <v>0.27</v>
      </c>
      <c r="S951" s="28">
        <f>IF(AND(ISNUMBER(F951),ISNUMBER(R951),R951&gt;0),F951/R951,"")</f>
        <v/>
      </c>
      <c r="T951" s="27" t="n">
        <v>46323</v>
      </c>
    </row>
    <row r="952">
      <c r="A952" s="11" t="inlineStr">
        <is>
          <t>FRSH</t>
        </is>
      </c>
      <c r="B952" s="11" t="inlineStr">
        <is>
          <t>Freshworks Inc.</t>
        </is>
      </c>
      <c r="C952" s="11" t="inlineStr">
        <is>
          <t>Software - Application</t>
        </is>
      </c>
      <c r="D952" s="11" t="inlineStr">
        <is>
          <t>United States</t>
        </is>
      </c>
      <c r="E952" s="12" t="n">
        <v>3.89</v>
      </c>
      <c r="F952" s="13" t="n">
        <v>14.9</v>
      </c>
      <c r="G952" s="13" t="n">
        <v>14.78571</v>
      </c>
      <c r="H952" s="14">
        <f>IF(AND(ISNUMBER(F952),ISNUMBER(G952),F952&gt;0),G952/F952-1,"")</f>
        <v/>
      </c>
      <c r="I952" s="13" t="n">
        <v>10</v>
      </c>
      <c r="J952" s="14">
        <f>IF(AND(ISNUMBER(F952),ISNUMBER(I952),F952&gt;0),I952/F952-1,"")</f>
        <v/>
      </c>
      <c r="K952" s="13" t="n">
        <v>25</v>
      </c>
      <c r="L952" s="14">
        <f>IF(AND(ISNUMBER(F952),ISNUMBER(K952),F952&gt;0),K952/F952-1,"")</f>
        <v/>
      </c>
      <c r="M952" s="15" t="n">
        <v>14</v>
      </c>
      <c r="N952" s="16" t="n"/>
      <c r="O952" s="17">
        <f>IF(AND(ISNUMBER(F952),ISNUMBER(N952),F952&gt;0),N952/F952,"")</f>
        <v/>
      </c>
      <c r="P952" s="18" t="n"/>
      <c r="Q952" s="18" t="n">
        <v>46329</v>
      </c>
      <c r="R952" s="16" t="n">
        <v>0.63</v>
      </c>
      <c r="S952" s="19">
        <f>IF(AND(ISNUMBER(F952),ISNUMBER(R952),R952&gt;0),F952/R952,"")</f>
        <v/>
      </c>
      <c r="T952" s="18" t="n">
        <v>46323</v>
      </c>
    </row>
    <row r="953">
      <c r="A953" s="20" t="inlineStr">
        <is>
          <t>ONDS</t>
        </is>
      </c>
      <c r="B953" s="20" t="inlineStr">
        <is>
          <t>Ondas Inc</t>
        </is>
      </c>
      <c r="C953" s="20" t="inlineStr">
        <is>
          <t>Communication Equipment</t>
        </is>
      </c>
      <c r="D953" s="20" t="inlineStr">
        <is>
          <t>United States</t>
        </is>
      </c>
      <c r="E953" s="21" t="n">
        <v>3.87</v>
      </c>
      <c r="F953" s="22" t="n">
        <v>6.65</v>
      </c>
      <c r="G953" s="22" t="n">
        <v>18.875</v>
      </c>
      <c r="H953" s="23">
        <f>IF(AND(ISNUMBER(F953),ISNUMBER(G953),F953&gt;0),G953/F953-1,"")</f>
        <v/>
      </c>
      <c r="I953" s="22" t="n">
        <v>13</v>
      </c>
      <c r="J953" s="23">
        <f>IF(AND(ISNUMBER(F953),ISNUMBER(I953),F953&gt;0),I953/F953-1,"")</f>
        <v/>
      </c>
      <c r="K953" s="22" t="n">
        <v>25</v>
      </c>
      <c r="L953" s="23">
        <f>IF(AND(ISNUMBER(F953),ISNUMBER(K953),F953&gt;0),K953/F953-1,"")</f>
        <v/>
      </c>
      <c r="M953" s="24" t="n">
        <v>10</v>
      </c>
      <c r="N953" s="25" t="n"/>
      <c r="O953" s="26">
        <f>IF(AND(ISNUMBER(F953),ISNUMBER(N953),F953&gt;0),N953/F953,"")</f>
        <v/>
      </c>
      <c r="P953" s="27" t="n"/>
      <c r="Q953" s="27" t="n">
        <v>46338</v>
      </c>
      <c r="R953" s="25" t="n">
        <v>-0.06</v>
      </c>
      <c r="S953" s="28">
        <f>IF(AND(ISNUMBER(F953),ISNUMBER(R953),R953&gt;0),F953/R953,"")</f>
        <v/>
      </c>
      <c r="T953" s="27" t="n">
        <v>46323</v>
      </c>
    </row>
    <row r="954">
      <c r="A954" s="11" t="inlineStr">
        <is>
          <t>MIR</t>
        </is>
      </c>
      <c r="B954" s="11" t="inlineStr">
        <is>
          <t>Mirion Technologies, Inc.</t>
        </is>
      </c>
      <c r="C954" s="11" t="inlineStr">
        <is>
          <t>Specialty Industrial Machinery</t>
        </is>
      </c>
      <c r="D954" s="11" t="inlineStr">
        <is>
          <t>United States</t>
        </is>
      </c>
      <c r="E954" s="12" t="n">
        <v>3.84</v>
      </c>
      <c r="F954" s="13" t="n">
        <v>15.41</v>
      </c>
      <c r="G954" s="13" t="n">
        <v>24</v>
      </c>
      <c r="H954" s="14">
        <f>IF(AND(ISNUMBER(F954),ISNUMBER(G954),F954&gt;0),G954/F954-1,"")</f>
        <v/>
      </c>
      <c r="I954" s="13" t="n">
        <v>20</v>
      </c>
      <c r="J954" s="14">
        <f>IF(AND(ISNUMBER(F954),ISNUMBER(I954),F954&gt;0),I954/F954-1,"")</f>
        <v/>
      </c>
      <c r="K954" s="13" t="n">
        <v>29</v>
      </c>
      <c r="L954" s="14">
        <f>IF(AND(ISNUMBER(F954),ISNUMBER(K954),F954&gt;0),K954/F954-1,"")</f>
        <v/>
      </c>
      <c r="M954" s="15" t="n">
        <v>11</v>
      </c>
      <c r="N954" s="16" t="n"/>
      <c r="O954" s="17">
        <f>IF(AND(ISNUMBER(F954),ISNUMBER(N954),F954&gt;0),N954/F954,"")</f>
        <v/>
      </c>
      <c r="P954" s="18" t="n"/>
      <c r="Q954" s="18" t="n">
        <v>46322</v>
      </c>
      <c r="R954" s="16" t="n">
        <v>0.09</v>
      </c>
      <c r="S954" s="19">
        <f>IF(AND(ISNUMBER(F954),ISNUMBER(R954),R954&gt;0),F954/R954,"")</f>
        <v/>
      </c>
      <c r="T954" s="18" t="n">
        <v>46323</v>
      </c>
    </row>
    <row r="955">
      <c r="A955" s="20" t="inlineStr">
        <is>
          <t>CBT</t>
        </is>
      </c>
      <c r="B955" s="20" t="inlineStr">
        <is>
          <t>Cabot Corporation</t>
        </is>
      </c>
      <c r="C955" s="20" t="inlineStr">
        <is>
          <t>Specialty Chemicals</t>
        </is>
      </c>
      <c r="D955" s="20" t="inlineStr">
        <is>
          <t>United States</t>
        </is>
      </c>
      <c r="E955" s="21" t="n">
        <v>3.82</v>
      </c>
      <c r="F955" s="22" t="n">
        <v>74.02</v>
      </c>
      <c r="G955" s="22" t="n">
        <v>90.33333</v>
      </c>
      <c r="H955" s="23">
        <f>IF(AND(ISNUMBER(F955),ISNUMBER(G955),F955&gt;0),G955/F955-1,"")</f>
        <v/>
      </c>
      <c r="I955" s="22" t="n">
        <v>78</v>
      </c>
      <c r="J955" s="23">
        <f>IF(AND(ISNUMBER(F955),ISNUMBER(I955),F955&gt;0),I955/F955-1,"")</f>
        <v/>
      </c>
      <c r="K955" s="22" t="n">
        <v>100</v>
      </c>
      <c r="L955" s="23">
        <f>IF(AND(ISNUMBER(F955),ISNUMBER(K955),F955&gt;0),K955/F955-1,"")</f>
        <v/>
      </c>
      <c r="M955" s="24" t="n">
        <v>6</v>
      </c>
      <c r="N955" s="25" t="n">
        <v>1.85</v>
      </c>
      <c r="O955" s="26">
        <f>IF(AND(ISNUMBER(F955),ISNUMBER(N955),F955&gt;0),N955/F955,"")</f>
        <v/>
      </c>
      <c r="P955" s="27" t="n">
        <v>46262</v>
      </c>
      <c r="Q955" s="27" t="n">
        <v>46328</v>
      </c>
      <c r="R955" s="25" t="n">
        <v>3.57</v>
      </c>
      <c r="S955" s="28">
        <f>IF(AND(ISNUMBER(F955),ISNUMBER(R955),R955&gt;0),F955/R955,"")</f>
        <v/>
      </c>
      <c r="T955" s="27" t="n">
        <v>46323</v>
      </c>
    </row>
    <row r="956">
      <c r="A956" s="11" t="inlineStr">
        <is>
          <t>VAC</t>
        </is>
      </c>
      <c r="B956" s="11" t="inlineStr">
        <is>
          <t>Marriott Vacations Worldwide Co</t>
        </is>
      </c>
      <c r="C956" s="11" t="inlineStr">
        <is>
          <t>Resorts &amp; Casinos</t>
        </is>
      </c>
      <c r="D956" s="11" t="inlineStr">
        <is>
          <t>United States</t>
        </is>
      </c>
      <c r="E956" s="12" t="n">
        <v>3.82</v>
      </c>
      <c r="F956" s="13" t="n">
        <v>111.09</v>
      </c>
      <c r="G956" s="13" t="n">
        <v>123</v>
      </c>
      <c r="H956" s="14">
        <f>IF(AND(ISNUMBER(F956),ISNUMBER(G956),F956&gt;0),G956/F956-1,"")</f>
        <v/>
      </c>
      <c r="I956" s="13" t="n">
        <v>63</v>
      </c>
      <c r="J956" s="14">
        <f>IF(AND(ISNUMBER(F956),ISNUMBER(I956),F956&gt;0),I956/F956-1,"")</f>
        <v/>
      </c>
      <c r="K956" s="13" t="n">
        <v>147</v>
      </c>
      <c r="L956" s="14">
        <f>IF(AND(ISNUMBER(F956),ISNUMBER(K956),F956&gt;0),K956/F956-1,"")</f>
        <v/>
      </c>
      <c r="M956" s="15" t="n">
        <v>11</v>
      </c>
      <c r="N956" s="16" t="n">
        <v>3.2</v>
      </c>
      <c r="O956" s="17">
        <f>IF(AND(ISNUMBER(F956),ISNUMBER(N956),F956&gt;0),N956/F956,"")</f>
        <v/>
      </c>
      <c r="P956" s="18" t="n">
        <v>46281</v>
      </c>
      <c r="Q956" s="18" t="n">
        <v>46330</v>
      </c>
      <c r="R956" s="16" t="n">
        <v>-9.550000000000001</v>
      </c>
      <c r="S956" s="19">
        <f>IF(AND(ISNUMBER(F956),ISNUMBER(R956),R956&gt;0),F956/R956,"")</f>
        <v/>
      </c>
      <c r="T956" s="18" t="n">
        <v>46323</v>
      </c>
    </row>
    <row r="957">
      <c r="A957" s="20" t="inlineStr">
        <is>
          <t>TGS</t>
        </is>
      </c>
      <c r="B957" s="20" t="inlineStr">
        <is>
          <t>Transportadora de Gas del Sur S</t>
        </is>
      </c>
      <c r="C957" s="20" t="inlineStr">
        <is>
          <t>Oil &amp; Gas Integrated</t>
        </is>
      </c>
      <c r="D957" s="20" t="inlineStr">
        <is>
          <t>Argentina</t>
        </is>
      </c>
      <c r="E957" s="21" t="n">
        <v>3.82</v>
      </c>
      <c r="F957" s="22" t="n">
        <v>25.36</v>
      </c>
      <c r="G957" s="22" t="n">
        <v>40.5</v>
      </c>
      <c r="H957" s="23">
        <f>IF(AND(ISNUMBER(F957),ISNUMBER(G957),F957&gt;0),G957/F957-1,"")</f>
        <v/>
      </c>
      <c r="I957" s="22" t="n">
        <v>34</v>
      </c>
      <c r="J957" s="23">
        <f>IF(AND(ISNUMBER(F957),ISNUMBER(I957),F957&gt;0),I957/F957-1,"")</f>
        <v/>
      </c>
      <c r="K957" s="22" t="n">
        <v>54</v>
      </c>
      <c r="L957" s="23">
        <f>IF(AND(ISNUMBER(F957),ISNUMBER(K957),F957&gt;0),K957/F957-1,"")</f>
        <v/>
      </c>
      <c r="M957" s="24" t="n">
        <v>8</v>
      </c>
      <c r="N957" s="25" t="n"/>
      <c r="O957" s="26">
        <f>IF(AND(ISNUMBER(F957),ISNUMBER(N957),F957&gt;0),N957/F957,"")</f>
        <v/>
      </c>
      <c r="P957" s="27" t="n"/>
      <c r="Q957" s="27" t="n">
        <v>46324</v>
      </c>
      <c r="R957" s="25" t="n">
        <v>2.67</v>
      </c>
      <c r="S957" s="28">
        <f>IF(AND(ISNUMBER(F957),ISNUMBER(R957),R957&gt;0),F957/R957,"")</f>
        <v/>
      </c>
      <c r="T957" s="27" t="n">
        <v>46323</v>
      </c>
    </row>
    <row r="958">
      <c r="A958" s="11" t="inlineStr">
        <is>
          <t>EE</t>
        </is>
      </c>
      <c r="B958" s="11" t="inlineStr">
        <is>
          <t>Excelerate Energy, Inc.</t>
        </is>
      </c>
      <c r="C958" s="11" t="inlineStr">
        <is>
          <t>Oil &amp; Gas Midstream</t>
        </is>
      </c>
      <c r="D958" s="11" t="inlineStr">
        <is>
          <t>United States</t>
        </is>
      </c>
      <c r="E958" s="12" t="n">
        <v>3.78</v>
      </c>
      <c r="F958" s="13" t="n">
        <v>33.29</v>
      </c>
      <c r="G958" s="13" t="n">
        <v>43.46154</v>
      </c>
      <c r="H958" s="14">
        <f>IF(AND(ISNUMBER(F958),ISNUMBER(G958),F958&gt;0),G958/F958-1,"")</f>
        <v/>
      </c>
      <c r="I958" s="13" t="n">
        <v>38</v>
      </c>
      <c r="J958" s="14">
        <f>IF(AND(ISNUMBER(F958),ISNUMBER(I958),F958&gt;0),I958/F958-1,"")</f>
        <v/>
      </c>
      <c r="K958" s="13" t="n">
        <v>50</v>
      </c>
      <c r="L958" s="14">
        <f>IF(AND(ISNUMBER(F958),ISNUMBER(K958),F958&gt;0),K958/F958-1,"")</f>
        <v/>
      </c>
      <c r="M958" s="15" t="n">
        <v>13</v>
      </c>
      <c r="N958" s="16" t="n">
        <v>0.36</v>
      </c>
      <c r="O958" s="17">
        <f>IF(AND(ISNUMBER(F958),ISNUMBER(N958),F958&gt;0),N958/F958,"")</f>
        <v/>
      </c>
      <c r="P958" s="18" t="n">
        <v>46253</v>
      </c>
      <c r="Q958" s="18" t="n">
        <v>46330</v>
      </c>
      <c r="R958" s="16" t="n">
        <v>1.45</v>
      </c>
      <c r="S958" s="19">
        <f>IF(AND(ISNUMBER(F958),ISNUMBER(R958),R958&gt;0),F958/R958,"")</f>
        <v/>
      </c>
      <c r="T958" s="18" t="n">
        <v>46323</v>
      </c>
    </row>
    <row r="959">
      <c r="A959" s="20" t="inlineStr">
        <is>
          <t>PRIM</t>
        </is>
      </c>
      <c r="B959" s="20" t="inlineStr">
        <is>
          <t>Primoris Services Corporation</t>
        </is>
      </c>
      <c r="C959" s="20" t="inlineStr">
        <is>
          <t>Engineering &amp; Construction</t>
        </is>
      </c>
      <c r="D959" s="20" t="inlineStr">
        <is>
          <t>United States</t>
        </is>
      </c>
      <c r="E959" s="21" t="n">
        <v>3.75</v>
      </c>
      <c r="F959" s="22" t="n">
        <v>69.12</v>
      </c>
      <c r="G959" s="22" t="n">
        <v>115.13333</v>
      </c>
      <c r="H959" s="23">
        <f>IF(AND(ISNUMBER(F959),ISNUMBER(G959),F959&gt;0),G959/F959-1,"")</f>
        <v/>
      </c>
      <c r="I959" s="22" t="n">
        <v>85</v>
      </c>
      <c r="J959" s="23">
        <f>IF(AND(ISNUMBER(F959),ISNUMBER(I959),F959&gt;0),I959/F959-1,"")</f>
        <v/>
      </c>
      <c r="K959" s="22" t="n">
        <v>165</v>
      </c>
      <c r="L959" s="23">
        <f>IF(AND(ISNUMBER(F959),ISNUMBER(K959),F959&gt;0),K959/F959-1,"")</f>
        <v/>
      </c>
      <c r="M959" s="24" t="n">
        <v>15</v>
      </c>
      <c r="N959" s="25" t="n">
        <v>0.32</v>
      </c>
      <c r="O959" s="26">
        <f>IF(AND(ISNUMBER(F959),ISNUMBER(N959),F959&gt;0),N959/F959,"")</f>
        <v/>
      </c>
      <c r="P959" s="27" t="n">
        <v>46295</v>
      </c>
      <c r="Q959" s="27" t="n">
        <v>46329</v>
      </c>
      <c r="R959" s="25" t="n">
        <v>2.56</v>
      </c>
      <c r="S959" s="28">
        <f>IF(AND(ISNUMBER(F959),ISNUMBER(R959),R959&gt;0),F959/R959,"")</f>
        <v/>
      </c>
      <c r="T959" s="27" t="n">
        <v>46323</v>
      </c>
    </row>
    <row r="960">
      <c r="A960" s="11" t="inlineStr">
        <is>
          <t>GEO</t>
        </is>
      </c>
      <c r="B960" s="11" t="inlineStr">
        <is>
          <t>Geo Group Inc (The) REIT</t>
        </is>
      </c>
      <c r="C960" s="11" t="inlineStr">
        <is>
          <t>Security &amp; Protection Services</t>
        </is>
      </c>
      <c r="D960" s="11" t="inlineStr">
        <is>
          <t>United States</t>
        </is>
      </c>
      <c r="E960" s="12" t="n">
        <v>3.72</v>
      </c>
      <c r="F960" s="13" t="n">
        <v>28.27</v>
      </c>
      <c r="G960" s="13" t="n">
        <v>39</v>
      </c>
      <c r="H960" s="14">
        <f>IF(AND(ISNUMBER(F960),ISNUMBER(G960),F960&gt;0),G960/F960-1,"")</f>
        <v/>
      </c>
      <c r="I960" s="13" t="n">
        <v>36</v>
      </c>
      <c r="J960" s="14">
        <f>IF(AND(ISNUMBER(F960),ISNUMBER(I960),F960&gt;0),I960/F960-1,"")</f>
        <v/>
      </c>
      <c r="K960" s="13" t="n">
        <v>40</v>
      </c>
      <c r="L960" s="14">
        <f>IF(AND(ISNUMBER(F960),ISNUMBER(K960),F960&gt;0),K960/F960-1,"")</f>
        <v/>
      </c>
      <c r="M960" s="15" t="n">
        <v>4</v>
      </c>
      <c r="N960" s="16" t="n"/>
      <c r="O960" s="17">
        <f>IF(AND(ISNUMBER(F960),ISNUMBER(N960),F960&gt;0),N960/F960,"")</f>
        <v/>
      </c>
      <c r="P960" s="18" t="n"/>
      <c r="Q960" s="18" t="n">
        <v>46331</v>
      </c>
      <c r="R960" s="16" t="n">
        <v>2.13</v>
      </c>
      <c r="S960" s="19">
        <f>IF(AND(ISNUMBER(F960),ISNUMBER(R960),R960&gt;0),F960/R960,"")</f>
        <v/>
      </c>
      <c r="T960" s="18" t="n">
        <v>46323</v>
      </c>
    </row>
    <row r="961">
      <c r="A961" s="20" t="inlineStr">
        <is>
          <t>SKYW</t>
        </is>
      </c>
      <c r="B961" s="20" t="inlineStr">
        <is>
          <t>SkyWest, Inc.</t>
        </is>
      </c>
      <c r="C961" s="20" t="inlineStr">
        <is>
          <t>Airlines</t>
        </is>
      </c>
      <c r="D961" s="20" t="inlineStr">
        <is>
          <t>United States</t>
        </is>
      </c>
      <c r="E961" s="21" t="n">
        <v>3.72</v>
      </c>
      <c r="F961" s="22" t="n">
        <v>95.68000000000001</v>
      </c>
      <c r="G961" s="22" t="n">
        <v>125.33333</v>
      </c>
      <c r="H961" s="23">
        <f>IF(AND(ISNUMBER(F961),ISNUMBER(G961),F961&gt;0),G961/F961-1,"")</f>
        <v/>
      </c>
      <c r="I961" s="22" t="n">
        <v>105</v>
      </c>
      <c r="J961" s="23">
        <f>IF(AND(ISNUMBER(F961),ISNUMBER(I961),F961&gt;0),I961/F961-1,"")</f>
        <v/>
      </c>
      <c r="K961" s="22" t="n">
        <v>160</v>
      </c>
      <c r="L961" s="23">
        <f>IF(AND(ISNUMBER(F961),ISNUMBER(K961),F961&gt;0),K961/F961-1,"")</f>
        <v/>
      </c>
      <c r="M961" s="24" t="n">
        <v>6</v>
      </c>
      <c r="N961" s="25" t="n"/>
      <c r="O961" s="26">
        <f>IF(AND(ISNUMBER(F961),ISNUMBER(N961),F961&gt;0),N961/F961,"")</f>
        <v/>
      </c>
      <c r="P961" s="27" t="n"/>
      <c r="Q961" s="27" t="n">
        <v>46324</v>
      </c>
      <c r="R961" s="25" t="n">
        <v>10.17</v>
      </c>
      <c r="S961" s="28">
        <f>IF(AND(ISNUMBER(F961),ISNUMBER(R961),R961&gt;0),F961/R961,"")</f>
        <v/>
      </c>
      <c r="T961" s="27" t="n">
        <v>46323</v>
      </c>
    </row>
    <row r="962">
      <c r="A962" s="11" t="inlineStr">
        <is>
          <t>SRAD</t>
        </is>
      </c>
      <c r="B962" s="11" t="inlineStr">
        <is>
          <t>Sportradar Group AG</t>
        </is>
      </c>
      <c r="C962" s="11" t="inlineStr">
        <is>
          <t>Software - Application</t>
        </is>
      </c>
      <c r="D962" s="11" t="inlineStr">
        <is>
          <t>Switzerland</t>
        </is>
      </c>
      <c r="E962" s="12" t="n">
        <v>3.62</v>
      </c>
      <c r="F962" s="13" t="n">
        <v>12.23</v>
      </c>
      <c r="G962" s="13" t="n">
        <v>17.851002</v>
      </c>
      <c r="H962" s="14">
        <f>IF(AND(ISNUMBER(F962),ISNUMBER(G962),F962&gt;0),G962/F962-1,"")</f>
        <v/>
      </c>
      <c r="I962" s="13" t="n">
        <v>12.876698</v>
      </c>
      <c r="J962" s="14">
        <f>IF(AND(ISNUMBER(F962),ISNUMBER(I962),F962&gt;0),I962/F962-1,"")</f>
        <v/>
      </c>
      <c r="K962" s="13" t="n">
        <v>35.42733</v>
      </c>
      <c r="L962" s="14">
        <f>IF(AND(ISNUMBER(F962),ISNUMBER(K962),F962&gt;0),K962/F962-1,"")</f>
        <v/>
      </c>
      <c r="M962" s="15" t="n">
        <v>22</v>
      </c>
      <c r="N962" s="16" t="n"/>
      <c r="O962" s="17">
        <f>IF(AND(ISNUMBER(F962),ISNUMBER(N962),F962&gt;0),N962/F962,"")</f>
        <v/>
      </c>
      <c r="P962" s="18" t="n"/>
      <c r="Q962" s="18" t="n">
        <v>46329</v>
      </c>
      <c r="R962" s="16" t="n">
        <v>0.06</v>
      </c>
      <c r="S962" s="19">
        <f>IF(AND(ISNUMBER(F962),ISNUMBER(R962),R962&gt;0),F962/R962,"")</f>
        <v/>
      </c>
      <c r="T962" s="18" t="n">
        <v>46323</v>
      </c>
    </row>
    <row r="963">
      <c r="A963" s="20" t="inlineStr">
        <is>
          <t>ZIM</t>
        </is>
      </c>
      <c r="B963" s="20" t="inlineStr">
        <is>
          <t>ZIM Integrated Shipping Service</t>
        </is>
      </c>
      <c r="C963" s="20" t="inlineStr">
        <is>
          <t>Marine Shipping</t>
        </is>
      </c>
      <c r="D963" s="20" t="inlineStr">
        <is>
          <t>Israel</t>
        </is>
      </c>
      <c r="E963" s="21" t="n">
        <v>3.58</v>
      </c>
      <c r="F963" s="22" t="n">
        <v>29.73</v>
      </c>
      <c r="G963" s="22" t="n">
        <v>29.175</v>
      </c>
      <c r="H963" s="23">
        <f>IF(AND(ISNUMBER(F963),ISNUMBER(G963),F963&gt;0),G963/F963-1,"")</f>
        <v/>
      </c>
      <c r="I963" s="22" t="n">
        <v>22</v>
      </c>
      <c r="J963" s="23">
        <f>IF(AND(ISNUMBER(F963),ISNUMBER(I963),F963&gt;0),I963/F963-1,"")</f>
        <v/>
      </c>
      <c r="K963" s="22" t="n">
        <v>36</v>
      </c>
      <c r="L963" s="23">
        <f>IF(AND(ISNUMBER(F963),ISNUMBER(K963),F963&gt;0),K963/F963-1,"")</f>
        <v/>
      </c>
      <c r="M963" s="24" t="n">
        <v>4</v>
      </c>
      <c r="N963" s="25" t="n">
        <v>0</v>
      </c>
      <c r="O963" s="26">
        <f>IF(AND(ISNUMBER(F963),ISNUMBER(N963),F963&gt;0),N963/F963,"")</f>
        <v/>
      </c>
      <c r="P963" s="27" t="n">
        <v>46101</v>
      </c>
      <c r="Q963" s="27" t="n">
        <v>46345</v>
      </c>
      <c r="R963" s="25" t="n">
        <v>1.15</v>
      </c>
      <c r="S963" s="28">
        <f>IF(AND(ISNUMBER(F963),ISNUMBER(R963),R963&gt;0),F963/R963,"")</f>
        <v/>
      </c>
      <c r="T963" s="27" t="n">
        <v>46323</v>
      </c>
    </row>
    <row r="964">
      <c r="A964" s="11" t="inlineStr">
        <is>
          <t>LMND</t>
        </is>
      </c>
      <c r="B964" s="11" t="inlineStr">
        <is>
          <t>Lemonade, Inc.</t>
        </is>
      </c>
      <c r="C964" s="11" t="inlineStr">
        <is>
          <t>Insurance - Property &amp; Casualty</t>
        </is>
      </c>
      <c r="D964" s="11" t="inlineStr">
        <is>
          <t>United States</t>
        </is>
      </c>
      <c r="E964" s="12" t="n">
        <v>3.55</v>
      </c>
      <c r="F964" s="13" t="n">
        <v>45.91</v>
      </c>
      <c r="G964" s="13" t="n">
        <v>58.44444</v>
      </c>
      <c r="H964" s="14">
        <f>IF(AND(ISNUMBER(F964),ISNUMBER(G964),F964&gt;0),G964/F964-1,"")</f>
        <v/>
      </c>
      <c r="I964" s="13" t="n">
        <v>38</v>
      </c>
      <c r="J964" s="14">
        <f>IF(AND(ISNUMBER(F964),ISNUMBER(I964),F964&gt;0),I964/F964-1,"")</f>
        <v/>
      </c>
      <c r="K964" s="13" t="n">
        <v>92</v>
      </c>
      <c r="L964" s="14">
        <f>IF(AND(ISNUMBER(F964),ISNUMBER(K964),F964&gt;0),K964/F964-1,"")</f>
        <v/>
      </c>
      <c r="M964" s="15" t="n">
        <v>9</v>
      </c>
      <c r="N964" s="16" t="n"/>
      <c r="O964" s="17">
        <f>IF(AND(ISNUMBER(F964),ISNUMBER(N964),F964&gt;0),N964/F964,"")</f>
        <v/>
      </c>
      <c r="P964" s="18" t="n"/>
      <c r="Q964" s="18" t="n">
        <v>46331</v>
      </c>
      <c r="R964" s="16" t="n">
        <v>-1.82</v>
      </c>
      <c r="S964" s="19">
        <f>IF(AND(ISNUMBER(F964),ISNUMBER(R964),R964&gt;0),F964/R964,"")</f>
        <v/>
      </c>
      <c r="T964" s="18" t="n">
        <v>46323</v>
      </c>
    </row>
    <row r="965">
      <c r="A965" s="20" t="inlineStr">
        <is>
          <t>SLM</t>
        </is>
      </c>
      <c r="B965" s="20" t="inlineStr">
        <is>
          <t>SLM Corporation</t>
        </is>
      </c>
      <c r="C965" s="20" t="inlineStr">
        <is>
          <t>Credit Services</t>
        </is>
      </c>
      <c r="D965" s="20" t="inlineStr">
        <is>
          <t>United States</t>
        </is>
      </c>
      <c r="E965" s="21" t="n">
        <v>3.53</v>
      </c>
      <c r="F965" s="22" t="n">
        <v>18.77</v>
      </c>
      <c r="G965" s="22" t="n">
        <v>25.3</v>
      </c>
      <c r="H965" s="23">
        <f>IF(AND(ISNUMBER(F965),ISNUMBER(G965),F965&gt;0),G965/F965-1,"")</f>
        <v/>
      </c>
      <c r="I965" s="22" t="n">
        <v>22</v>
      </c>
      <c r="J965" s="23">
        <f>IF(AND(ISNUMBER(F965),ISNUMBER(I965),F965&gt;0),I965/F965-1,"")</f>
        <v/>
      </c>
      <c r="K965" s="22" t="n">
        <v>30</v>
      </c>
      <c r="L965" s="23">
        <f>IF(AND(ISNUMBER(F965),ISNUMBER(K965),F965&gt;0),K965/F965-1,"")</f>
        <v/>
      </c>
      <c r="M965" s="24" t="n">
        <v>10</v>
      </c>
      <c r="N965" s="25" t="n">
        <v>0.52</v>
      </c>
      <c r="O965" s="26">
        <f>IF(AND(ISNUMBER(F965),ISNUMBER(N965),F965&gt;0),N965/F965,"")</f>
        <v/>
      </c>
      <c r="P965" s="27" t="n">
        <v>46360</v>
      </c>
      <c r="Q965" s="27" t="n">
        <v>46408</v>
      </c>
      <c r="R965" s="25" t="n">
        <v>2.79</v>
      </c>
      <c r="S965" s="28">
        <f>IF(AND(ISNUMBER(F965),ISNUMBER(R965),R965&gt;0),F965/R965,"")</f>
        <v/>
      </c>
      <c r="T965" s="27" t="n">
        <v>46323</v>
      </c>
    </row>
    <row r="966">
      <c r="A966" s="11" t="inlineStr">
        <is>
          <t>CIFR</t>
        </is>
      </c>
      <c r="B966" s="11" t="inlineStr">
        <is>
          <t>Cipher Digital Inc.</t>
        </is>
      </c>
      <c r="C966" s="11" t="inlineStr">
        <is>
          <t>Information Technology Services</t>
        </is>
      </c>
      <c r="D966" s="11" t="inlineStr">
        <is>
          <t>United States</t>
        </is>
      </c>
      <c r="E966" s="12" t="n">
        <v>3.52</v>
      </c>
      <c r="F966" s="13" t="n">
        <v>8.48</v>
      </c>
      <c r="G966" s="13" t="n">
        <v>29.36364</v>
      </c>
      <c r="H966" s="14">
        <f>IF(AND(ISNUMBER(F966),ISNUMBER(G966),F966&gt;0),G966/F966-1,"")</f>
        <v/>
      </c>
      <c r="I966" s="13" t="n">
        <v>12</v>
      </c>
      <c r="J966" s="14">
        <f>IF(AND(ISNUMBER(F966),ISNUMBER(I966),F966&gt;0),I966/F966-1,"")</f>
        <v/>
      </c>
      <c r="K966" s="13" t="n">
        <v>59</v>
      </c>
      <c r="L966" s="14">
        <f>IF(AND(ISNUMBER(F966),ISNUMBER(K966),F966&gt;0),K966/F966-1,"")</f>
        <v/>
      </c>
      <c r="M966" s="15" t="n">
        <v>22</v>
      </c>
      <c r="N966" s="16" t="n"/>
      <c r="O966" s="17">
        <f>IF(AND(ISNUMBER(F966),ISNUMBER(N966),F966&gt;0),N966/F966,"")</f>
        <v/>
      </c>
      <c r="P966" s="18" t="n"/>
      <c r="Q966" s="18" t="n">
        <v>46328</v>
      </c>
      <c r="R966" s="16" t="n">
        <v>-2.87</v>
      </c>
      <c r="S966" s="19">
        <f>IF(AND(ISNUMBER(F966),ISNUMBER(R966),R966&gt;0),F966/R966,"")</f>
        <v/>
      </c>
      <c r="T966" s="18" t="n">
        <v>46323</v>
      </c>
    </row>
    <row r="967">
      <c r="A967" s="20" t="inlineStr">
        <is>
          <t>LIF</t>
        </is>
      </c>
      <c r="B967" s="20" t="inlineStr">
        <is>
          <t>Life360, Inc.</t>
        </is>
      </c>
      <c r="C967" s="20" t="inlineStr">
        <is>
          <t>Software - Application</t>
        </is>
      </c>
      <c r="D967" s="20" t="inlineStr">
        <is>
          <t>United States</t>
        </is>
      </c>
      <c r="E967" s="21" t="n">
        <v>3.52</v>
      </c>
      <c r="F967" s="22" t="n">
        <v>43.18</v>
      </c>
      <c r="G967" s="22" t="n">
        <v>60.7</v>
      </c>
      <c r="H967" s="23">
        <f>IF(AND(ISNUMBER(F967),ISNUMBER(G967),F967&gt;0),G967/F967-1,"")</f>
        <v/>
      </c>
      <c r="I967" s="22" t="n">
        <v>40</v>
      </c>
      <c r="J967" s="23">
        <f>IF(AND(ISNUMBER(F967),ISNUMBER(I967),F967&gt;0),I967/F967-1,"")</f>
        <v/>
      </c>
      <c r="K967" s="22" t="n">
        <v>72</v>
      </c>
      <c r="L967" s="23">
        <f>IF(AND(ISNUMBER(F967),ISNUMBER(K967),F967&gt;0),K967/F967-1,"")</f>
        <v/>
      </c>
      <c r="M967" s="24" t="n">
        <v>9</v>
      </c>
      <c r="N967" s="25" t="n"/>
      <c r="O967" s="26">
        <f>IF(AND(ISNUMBER(F967),ISNUMBER(N967),F967&gt;0),N967/F967,"")</f>
        <v/>
      </c>
      <c r="P967" s="27" t="n"/>
      <c r="Q967" s="27" t="n">
        <v>46335</v>
      </c>
      <c r="R967" s="25" t="n">
        <v>1.67</v>
      </c>
      <c r="S967" s="28">
        <f>IF(AND(ISNUMBER(F967),ISNUMBER(R967),R967&gt;0),F967/R967,"")</f>
        <v/>
      </c>
      <c r="T967" s="27" t="n">
        <v>46323</v>
      </c>
    </row>
    <row r="968">
      <c r="A968" s="11" t="inlineStr">
        <is>
          <t>ABG</t>
        </is>
      </c>
      <c r="B968" s="11" t="inlineStr">
        <is>
          <t>Asbury Automotive Group Inc</t>
        </is>
      </c>
      <c r="C968" s="11" t="inlineStr">
        <is>
          <t>Auto &amp; Truck Dealerships</t>
        </is>
      </c>
      <c r="D968" s="11" t="inlineStr">
        <is>
          <t>United States</t>
        </is>
      </c>
      <c r="E968" s="12" t="n">
        <v>3.5</v>
      </c>
      <c r="F968" s="13" t="n">
        <v>194.99</v>
      </c>
      <c r="G968" s="13" t="n">
        <v>227</v>
      </c>
      <c r="H968" s="14">
        <f>IF(AND(ISNUMBER(F968),ISNUMBER(G968),F968&gt;0),G968/F968-1,"")</f>
        <v/>
      </c>
      <c r="I968" s="13" t="n">
        <v>184</v>
      </c>
      <c r="J968" s="14">
        <f>IF(AND(ISNUMBER(F968),ISNUMBER(I968),F968&gt;0),I968/F968-1,"")</f>
        <v/>
      </c>
      <c r="K968" s="13" t="n">
        <v>315</v>
      </c>
      <c r="L968" s="14">
        <f>IF(AND(ISNUMBER(F968),ISNUMBER(K968),F968&gt;0),K968/F968-1,"")</f>
        <v/>
      </c>
      <c r="M968" s="15" t="n">
        <v>11</v>
      </c>
      <c r="N968" s="16" t="n"/>
      <c r="O968" s="17">
        <f>IF(AND(ISNUMBER(F968),ISNUMBER(N968),F968&gt;0),N968/F968,"")</f>
        <v/>
      </c>
      <c r="P968" s="18" t="n"/>
      <c r="Q968" s="18" t="n">
        <v>46322</v>
      </c>
      <c r="R968" s="16" t="n">
        <v>26.91</v>
      </c>
      <c r="S968" s="19">
        <f>IF(AND(ISNUMBER(F968),ISNUMBER(R968),R968&gt;0),F968/R968,"")</f>
        <v/>
      </c>
      <c r="T968" s="18" t="n">
        <v>46323</v>
      </c>
    </row>
    <row r="969">
      <c r="A969" s="20" t="inlineStr">
        <is>
          <t>BATRA</t>
        </is>
      </c>
      <c r="B969" s="20" t="inlineStr">
        <is>
          <t>Atlanta Braves Holdings, Inc. -</t>
        </is>
      </c>
      <c r="C969" s="20" t="inlineStr">
        <is>
          <t>Entertainment</t>
        </is>
      </c>
      <c r="D969" s="20" t="inlineStr">
        <is>
          <t>United States</t>
        </is>
      </c>
      <c r="E969" s="21" t="n">
        <v>3.48</v>
      </c>
      <c r="F969" s="22" t="n">
        <v>54.31</v>
      </c>
      <c r="G969" s="22" t="n"/>
      <c r="H969" s="23">
        <f>IF(AND(ISNUMBER(F969),ISNUMBER(G969),F969&gt;0),G969/F969-1,"")</f>
        <v/>
      </c>
      <c r="I969" s="22" t="n"/>
      <c r="J969" s="23">
        <f>IF(AND(ISNUMBER(F969),ISNUMBER(I969),F969&gt;0),I969/F969-1,"")</f>
        <v/>
      </c>
      <c r="K969" s="22" t="n"/>
      <c r="L969" s="23">
        <f>IF(AND(ISNUMBER(F969),ISNUMBER(K969),F969&gt;0),K969/F969-1,"")</f>
        <v/>
      </c>
      <c r="M969" s="24" t="n"/>
      <c r="N969" s="25" t="n"/>
      <c r="O969" s="26">
        <f>IF(AND(ISNUMBER(F969),ISNUMBER(N969),F969&gt;0),N969/F969,"")</f>
        <v/>
      </c>
      <c r="P969" s="27" t="n"/>
      <c r="Q969" s="27" t="n">
        <v>46330</v>
      </c>
      <c r="R969" s="25" t="n">
        <v>-1</v>
      </c>
      <c r="S969" s="28">
        <f>IF(AND(ISNUMBER(F969),ISNUMBER(R969),R969&gt;0),F969/R969,"")</f>
        <v/>
      </c>
      <c r="T969" s="27" t="n">
        <v>46323</v>
      </c>
    </row>
    <row r="970">
      <c r="A970" s="11" t="inlineStr">
        <is>
          <t>ARLP</t>
        </is>
      </c>
      <c r="B970" s="11" t="inlineStr">
        <is>
          <t>Alliance Resource Partners, L.P</t>
        </is>
      </c>
      <c r="C970" s="11" t="inlineStr">
        <is>
          <t>Thermal Coal</t>
        </is>
      </c>
      <c r="D970" s="11" t="inlineStr">
        <is>
          <t>United States</t>
        </is>
      </c>
      <c r="E970" s="12" t="n">
        <v>3.43</v>
      </c>
      <c r="F970" s="13" t="n">
        <v>26.68</v>
      </c>
      <c r="G970" s="13" t="n">
        <v>31.16667</v>
      </c>
      <c r="H970" s="14">
        <f>IF(AND(ISNUMBER(F970),ISNUMBER(G970),F970&gt;0),G970/F970-1,"")</f>
        <v/>
      </c>
      <c r="I970" s="13" t="n">
        <v>29</v>
      </c>
      <c r="J970" s="14">
        <f>IF(AND(ISNUMBER(F970),ISNUMBER(I970),F970&gt;0),I970/F970-1,"")</f>
        <v/>
      </c>
      <c r="K970" s="13" t="n">
        <v>33.5</v>
      </c>
      <c r="L970" s="14">
        <f>IF(AND(ISNUMBER(F970),ISNUMBER(K970),F970&gt;0),K970/F970-1,"")</f>
        <v/>
      </c>
      <c r="M970" s="15" t="n">
        <v>3</v>
      </c>
      <c r="N970" s="16" t="n">
        <v>2.4</v>
      </c>
      <c r="O970" s="17">
        <f>IF(AND(ISNUMBER(F970),ISNUMBER(N970),F970&gt;0),N970/F970,"")</f>
        <v/>
      </c>
      <c r="P970" s="18" t="n">
        <v>46332</v>
      </c>
      <c r="Q970" s="18" t="n">
        <v>46321</v>
      </c>
      <c r="R970" s="16" t="n">
        <v>2.05</v>
      </c>
      <c r="S970" s="19">
        <f>IF(AND(ISNUMBER(F970),ISNUMBER(R970),R970&gt;0),F970/R970,"")</f>
        <v/>
      </c>
      <c r="T970" s="18" t="n">
        <v>46323</v>
      </c>
    </row>
    <row r="971">
      <c r="A971" s="20" t="inlineStr">
        <is>
          <t>BOOT</t>
        </is>
      </c>
      <c r="B971" s="20" t="inlineStr">
        <is>
          <t>Boot Barn Holdings, Inc.</t>
        </is>
      </c>
      <c r="C971" s="20" t="inlineStr">
        <is>
          <t>Apparel Retail</t>
        </is>
      </c>
      <c r="D971" s="20" t="inlineStr">
        <is>
          <t>United States</t>
        </is>
      </c>
      <c r="E971" s="21" t="n">
        <v>3.38</v>
      </c>
      <c r="F971" s="22" t="n">
        <v>111.69</v>
      </c>
      <c r="G971" s="22" t="n">
        <v>203.6</v>
      </c>
      <c r="H971" s="23">
        <f>IF(AND(ISNUMBER(F971),ISNUMBER(G971),F971&gt;0),G971/F971-1,"")</f>
        <v/>
      </c>
      <c r="I971" s="22" t="n">
        <v>150</v>
      </c>
      <c r="J971" s="23">
        <f>IF(AND(ISNUMBER(F971),ISNUMBER(I971),F971&gt;0),I971/F971-1,"")</f>
        <v/>
      </c>
      <c r="K971" s="22" t="n">
        <v>248</v>
      </c>
      <c r="L971" s="23">
        <f>IF(AND(ISNUMBER(F971),ISNUMBER(K971),F971&gt;0),K971/F971-1,"")</f>
        <v/>
      </c>
      <c r="M971" s="24" t="n">
        <v>15</v>
      </c>
      <c r="N971" s="25" t="n"/>
      <c r="O971" s="26">
        <f>IF(AND(ISNUMBER(F971),ISNUMBER(N971),F971&gt;0),N971/F971,"")</f>
        <v/>
      </c>
      <c r="P971" s="27" t="n"/>
      <c r="Q971" s="27" t="n">
        <v>46323</v>
      </c>
      <c r="R971" s="25" t="n">
        <v>7.9</v>
      </c>
      <c r="S971" s="28">
        <f>IF(AND(ISNUMBER(F971),ISNUMBER(R971),R971&gt;0),F971/R971,"")</f>
        <v/>
      </c>
      <c r="T971" s="27" t="n">
        <v>46323</v>
      </c>
    </row>
    <row r="972">
      <c r="A972" s="11" t="inlineStr">
        <is>
          <t>WING</t>
        </is>
      </c>
      <c r="B972" s="11" t="inlineStr">
        <is>
          <t>Wingstop Inc.</t>
        </is>
      </c>
      <c r="C972" s="11" t="inlineStr">
        <is>
          <t>Restaurants</t>
        </is>
      </c>
      <c r="D972" s="11" t="inlineStr">
        <is>
          <t>United States</t>
        </is>
      </c>
      <c r="E972" s="12" t="n">
        <v>3.36</v>
      </c>
      <c r="F972" s="13" t="n">
        <v>123.52</v>
      </c>
      <c r="G972" s="13" t="n">
        <v>187.92308</v>
      </c>
      <c r="H972" s="14">
        <f>IF(AND(ISNUMBER(F972),ISNUMBER(G972),F972&gt;0),G972/F972-1,"")</f>
        <v/>
      </c>
      <c r="I972" s="13" t="n">
        <v>120</v>
      </c>
      <c r="J972" s="14">
        <f>IF(AND(ISNUMBER(F972),ISNUMBER(I972),F972&gt;0),I972/F972-1,"")</f>
        <v/>
      </c>
      <c r="K972" s="13" t="n">
        <v>265</v>
      </c>
      <c r="L972" s="14">
        <f>IF(AND(ISNUMBER(F972),ISNUMBER(K972),F972&gt;0),K972/F972-1,"")</f>
        <v/>
      </c>
      <c r="M972" s="15" t="n">
        <v>26</v>
      </c>
      <c r="N972" s="16" t="n">
        <v>1.32</v>
      </c>
      <c r="O972" s="17">
        <f>IF(AND(ISNUMBER(F972),ISNUMBER(N972),F972&gt;0),N972/F972,"")</f>
        <v/>
      </c>
      <c r="P972" s="18" t="n">
        <v>46248</v>
      </c>
      <c r="Q972" s="18" t="n">
        <v>46323</v>
      </c>
      <c r="R972" s="16" t="n">
        <v>4.22</v>
      </c>
      <c r="S972" s="19">
        <f>IF(AND(ISNUMBER(F972),ISNUMBER(R972),R972&gt;0),F972/R972,"")</f>
        <v/>
      </c>
      <c r="T972" s="18" t="n">
        <v>46323</v>
      </c>
    </row>
    <row r="973">
      <c r="A973" s="20" t="inlineStr">
        <is>
          <t>SBLK</t>
        </is>
      </c>
      <c r="B973" s="20" t="inlineStr">
        <is>
          <t>Star Bulk Carriers Corp.</t>
        </is>
      </c>
      <c r="C973" s="20" t="inlineStr">
        <is>
          <t>Marine Shipping</t>
        </is>
      </c>
      <c r="D973" s="20" t="inlineStr">
        <is>
          <t>Greece</t>
        </is>
      </c>
      <c r="E973" s="21" t="n">
        <v>3.35</v>
      </c>
      <c r="F973" s="22" t="n">
        <v>28.83</v>
      </c>
      <c r="G973" s="22" t="n">
        <v>34.44</v>
      </c>
      <c r="H973" s="23">
        <f>IF(AND(ISNUMBER(F973),ISNUMBER(G973),F973&gt;0),G973/F973-1,"")</f>
        <v/>
      </c>
      <c r="I973" s="22" t="n">
        <v>33</v>
      </c>
      <c r="J973" s="23">
        <f>IF(AND(ISNUMBER(F973),ISNUMBER(I973),F973&gt;0),I973/F973-1,"")</f>
        <v/>
      </c>
      <c r="K973" s="22" t="n">
        <v>38</v>
      </c>
      <c r="L973" s="23">
        <f>IF(AND(ISNUMBER(F973),ISNUMBER(K973),F973&gt;0),K973/F973-1,"")</f>
        <v/>
      </c>
      <c r="M973" s="24" t="n">
        <v>5</v>
      </c>
      <c r="N973" s="25" t="n">
        <v>1.88</v>
      </c>
      <c r="O973" s="26">
        <f>IF(AND(ISNUMBER(F973),ISNUMBER(N973),F973&gt;0),N973/F973,"")</f>
        <v/>
      </c>
      <c r="P973" s="27" t="n">
        <v>46255</v>
      </c>
      <c r="Q973" s="27" t="n">
        <v>46344</v>
      </c>
      <c r="R973" s="25" t="n">
        <v>2.55</v>
      </c>
      <c r="S973" s="28">
        <f>IF(AND(ISNUMBER(F973),ISNUMBER(R973),R973&gt;0),F973/R973,"")</f>
        <v/>
      </c>
      <c r="T973" s="27" t="n">
        <v>46323</v>
      </c>
    </row>
    <row r="974">
      <c r="A974" s="11" t="inlineStr">
        <is>
          <t>ASH</t>
        </is>
      </c>
      <c r="B974" s="11" t="inlineStr">
        <is>
          <t>Ashland Inc.</t>
        </is>
      </c>
      <c r="C974" s="11" t="inlineStr">
        <is>
          <t>Specialty Chemicals</t>
        </is>
      </c>
      <c r="D974" s="11" t="inlineStr">
        <is>
          <t>United States</t>
        </is>
      </c>
      <c r="E974" s="12" t="n">
        <v>3.33</v>
      </c>
      <c r="F974" s="13" t="n">
        <v>72.78</v>
      </c>
      <c r="G974" s="13" t="n">
        <v>80.45455</v>
      </c>
      <c r="H974" s="14">
        <f>IF(AND(ISNUMBER(F974),ISNUMBER(G974),F974&gt;0),G974/F974-1,"")</f>
        <v/>
      </c>
      <c r="I974" s="13" t="n">
        <v>73</v>
      </c>
      <c r="J974" s="14">
        <f>IF(AND(ISNUMBER(F974),ISNUMBER(I974),F974&gt;0),I974/F974-1,"")</f>
        <v/>
      </c>
      <c r="K974" s="13" t="n">
        <v>90</v>
      </c>
      <c r="L974" s="14">
        <f>IF(AND(ISNUMBER(F974),ISNUMBER(K974),F974&gt;0),K974/F974-1,"")</f>
        <v/>
      </c>
      <c r="M974" s="15" t="n">
        <v>11</v>
      </c>
      <c r="N974" s="16" t="n">
        <v>1.68</v>
      </c>
      <c r="O974" s="17">
        <f>IF(AND(ISNUMBER(F974),ISNUMBER(N974),F974&gt;0),N974/F974,"")</f>
        <v/>
      </c>
      <c r="P974" s="18" t="n">
        <v>46266</v>
      </c>
      <c r="Q974" s="18" t="n">
        <v>46329</v>
      </c>
      <c r="R974" s="16" t="n">
        <v>1.56</v>
      </c>
      <c r="S974" s="19">
        <f>IF(AND(ISNUMBER(F974),ISNUMBER(R974),R974&gt;0),F974/R974,"")</f>
        <v/>
      </c>
      <c r="T974" s="18" t="n">
        <v>46323</v>
      </c>
    </row>
    <row r="975">
      <c r="A975" s="20" t="inlineStr">
        <is>
          <t>WIX</t>
        </is>
      </c>
      <c r="B975" s="20" t="inlineStr">
        <is>
          <t>Wix.com Ltd.</t>
        </is>
      </c>
      <c r="C975" s="20" t="inlineStr">
        <is>
          <t>Software - Infrastructure</t>
        </is>
      </c>
      <c r="D975" s="20" t="inlineStr">
        <is>
          <t>Israel</t>
        </is>
      </c>
      <c r="E975" s="21" t="n">
        <v>3.31</v>
      </c>
      <c r="F975" s="22" t="n">
        <v>79.19</v>
      </c>
      <c r="G975" s="22" t="n">
        <v>80.15000000000001</v>
      </c>
      <c r="H975" s="23">
        <f>IF(AND(ISNUMBER(F975),ISNUMBER(G975),F975&gt;0),G975/F975-1,"")</f>
        <v/>
      </c>
      <c r="I975" s="22" t="n">
        <v>50</v>
      </c>
      <c r="J975" s="23">
        <f>IF(AND(ISNUMBER(F975),ISNUMBER(I975),F975&gt;0),I975/F975-1,"")</f>
        <v/>
      </c>
      <c r="K975" s="22" t="n">
        <v>135</v>
      </c>
      <c r="L975" s="23">
        <f>IF(AND(ISNUMBER(F975),ISNUMBER(K975),F975&gt;0),K975/F975-1,"")</f>
        <v/>
      </c>
      <c r="M975" s="24" t="n">
        <v>20</v>
      </c>
      <c r="N975" s="25" t="n"/>
      <c r="O975" s="26">
        <f>IF(AND(ISNUMBER(F975),ISNUMBER(N975),F975&gt;0),N975/F975,"")</f>
        <v/>
      </c>
      <c r="P975" s="27" t="n"/>
      <c r="Q975" s="27" t="n">
        <v>46336</v>
      </c>
      <c r="R975" s="25" t="n">
        <v>-3.43</v>
      </c>
      <c r="S975" s="28">
        <f>IF(AND(ISNUMBER(F975),ISNUMBER(R975),R975&gt;0),F975/R975,"")</f>
        <v/>
      </c>
      <c r="T975" s="27" t="n">
        <v>46323</v>
      </c>
    </row>
    <row r="976">
      <c r="A976" s="11" t="inlineStr">
        <is>
          <t>PII</t>
        </is>
      </c>
      <c r="B976" s="11" t="inlineStr">
        <is>
          <t>Polaris Inc.</t>
        </is>
      </c>
      <c r="C976" s="11" t="inlineStr">
        <is>
          <t>Recreational Vehicles</t>
        </is>
      </c>
      <c r="D976" s="11" t="inlineStr">
        <is>
          <t>United States</t>
        </is>
      </c>
      <c r="E976" s="12" t="n">
        <v>3.3</v>
      </c>
      <c r="F976" s="13" t="n">
        <v>58.06</v>
      </c>
      <c r="G976" s="13" t="n">
        <v>68.73333</v>
      </c>
      <c r="H976" s="14">
        <f>IF(AND(ISNUMBER(F976),ISNUMBER(G976),F976&gt;0),G976/F976-1,"")</f>
        <v/>
      </c>
      <c r="I976" s="13" t="n">
        <v>46</v>
      </c>
      <c r="J976" s="14">
        <f>IF(AND(ISNUMBER(F976),ISNUMBER(I976),F976&gt;0),I976/F976-1,"")</f>
        <v/>
      </c>
      <c r="K976" s="13" t="n">
        <v>85</v>
      </c>
      <c r="L976" s="14">
        <f>IF(AND(ISNUMBER(F976),ISNUMBER(K976),F976&gt;0),K976/F976-1,"")</f>
        <v/>
      </c>
      <c r="M976" s="15" t="n">
        <v>15</v>
      </c>
      <c r="N976" s="16" t="n">
        <v>2.72</v>
      </c>
      <c r="O976" s="17">
        <f>IF(AND(ISNUMBER(F976),ISNUMBER(N976),F976&gt;0),N976/F976,"")</f>
        <v/>
      </c>
      <c r="P976" s="18" t="n">
        <v>46266</v>
      </c>
      <c r="Q976" s="18" t="n">
        <v>46412</v>
      </c>
      <c r="R976" s="16" t="n">
        <v>-4.61</v>
      </c>
      <c r="S976" s="19">
        <f>IF(AND(ISNUMBER(F976),ISNUMBER(R976),R976&gt;0),F976/R976,"")</f>
        <v/>
      </c>
      <c r="T976" s="18" t="n">
        <v>46323</v>
      </c>
    </row>
    <row r="977">
      <c r="A977" s="20" t="inlineStr">
        <is>
          <t>LRN</t>
        </is>
      </c>
      <c r="B977" s="20" t="inlineStr">
        <is>
          <t>Stride, Inc.</t>
        </is>
      </c>
      <c r="C977" s="20" t="inlineStr">
        <is>
          <t>Education &amp; Training Services</t>
        </is>
      </c>
      <c r="D977" s="20" t="inlineStr">
        <is>
          <t>United States</t>
        </is>
      </c>
      <c r="E977" s="21" t="n">
        <v>3.29</v>
      </c>
      <c r="F977" s="22" t="n">
        <v>79.20999999999999</v>
      </c>
      <c r="G977" s="22" t="n">
        <v>102.5</v>
      </c>
      <c r="H977" s="23">
        <f>IF(AND(ISNUMBER(F977),ISNUMBER(G977),F977&gt;0),G977/F977-1,"")</f>
        <v/>
      </c>
      <c r="I977" s="22" t="n">
        <v>90</v>
      </c>
      <c r="J977" s="23">
        <f>IF(AND(ISNUMBER(F977),ISNUMBER(I977),F977&gt;0),I977/F977-1,"")</f>
        <v/>
      </c>
      <c r="K977" s="22" t="n">
        <v>115</v>
      </c>
      <c r="L977" s="23">
        <f>IF(AND(ISNUMBER(F977),ISNUMBER(K977),F977&gt;0),K977/F977-1,"")</f>
        <v/>
      </c>
      <c r="M977" s="24" t="n">
        <v>2</v>
      </c>
      <c r="N977" s="25" t="n"/>
      <c r="O977" s="26">
        <f>IF(AND(ISNUMBER(F977),ISNUMBER(N977),F977&gt;0),N977/F977,"")</f>
        <v/>
      </c>
      <c r="P977" s="27" t="n"/>
      <c r="Q977" s="27" t="n">
        <v>46315</v>
      </c>
      <c r="R977" s="25" t="n">
        <v>7.16</v>
      </c>
      <c r="S977" s="28">
        <f>IF(AND(ISNUMBER(F977),ISNUMBER(R977),R977&gt;0),F977/R977,"")</f>
        <v/>
      </c>
      <c r="T977" s="27" t="n">
        <v>46323</v>
      </c>
    </row>
    <row r="978">
      <c r="A978" s="11" t="inlineStr">
        <is>
          <t>FIZZ</t>
        </is>
      </c>
      <c r="B978" s="11" t="inlineStr">
        <is>
          <t>National Beverage Corp.</t>
        </is>
      </c>
      <c r="C978" s="11" t="inlineStr">
        <is>
          <t>Beverages - Non-Alcoholic</t>
        </is>
      </c>
      <c r="D978" s="11" t="inlineStr">
        <is>
          <t>United States</t>
        </is>
      </c>
      <c r="E978" s="12" t="n">
        <v>3.27</v>
      </c>
      <c r="F978" s="13" t="n">
        <v>34.96</v>
      </c>
      <c r="G978" s="13" t="n">
        <v>31</v>
      </c>
      <c r="H978" s="14">
        <f>IF(AND(ISNUMBER(F978),ISNUMBER(G978),F978&gt;0),G978/F978-1,"")</f>
        <v/>
      </c>
      <c r="I978" s="13" t="n">
        <v>31</v>
      </c>
      <c r="J978" s="14">
        <f>IF(AND(ISNUMBER(F978),ISNUMBER(I978),F978&gt;0),I978/F978-1,"")</f>
        <v/>
      </c>
      <c r="K978" s="13" t="n">
        <v>31</v>
      </c>
      <c r="L978" s="14">
        <f>IF(AND(ISNUMBER(F978),ISNUMBER(K978),F978&gt;0),K978/F978-1,"")</f>
        <v/>
      </c>
      <c r="M978" s="15" t="n">
        <v>1</v>
      </c>
      <c r="N978" s="16" t="n"/>
      <c r="O978" s="17">
        <f>IF(AND(ISNUMBER(F978),ISNUMBER(N978),F978&gt;0),N978/F978,"")</f>
        <v/>
      </c>
      <c r="P978" s="18" t="n">
        <v>46216</v>
      </c>
      <c r="Q978" s="18" t="n">
        <v>46366</v>
      </c>
      <c r="R978" s="16" t="n">
        <v>1.86</v>
      </c>
      <c r="S978" s="19">
        <f>IF(AND(ISNUMBER(F978),ISNUMBER(R978),R978&gt;0),F978/R978,"")</f>
        <v/>
      </c>
      <c r="T978" s="18" t="n">
        <v>46323</v>
      </c>
    </row>
    <row r="979">
      <c r="A979" s="20" t="inlineStr">
        <is>
          <t>NHI</t>
        </is>
      </c>
      <c r="B979" s="20" t="inlineStr">
        <is>
          <t>National Health Investors, Inc.</t>
        </is>
      </c>
      <c r="C979" s="20" t="inlineStr">
        <is>
          <t>Reit - Healthcare Facilities</t>
        </is>
      </c>
      <c r="D979" s="20" t="inlineStr">
        <is>
          <t>United States</t>
        </is>
      </c>
      <c r="E979" s="21" t="n">
        <v>3.26</v>
      </c>
      <c r="F979" s="22" t="n">
        <v>66.45999999999999</v>
      </c>
      <c r="G979" s="22" t="n">
        <v>78.5</v>
      </c>
      <c r="H979" s="23">
        <f>IF(AND(ISNUMBER(F979),ISNUMBER(G979),F979&gt;0),G979/F979-1,"")</f>
        <v/>
      </c>
      <c r="I979" s="22" t="n">
        <v>65</v>
      </c>
      <c r="J979" s="23">
        <f>IF(AND(ISNUMBER(F979),ISNUMBER(I979),F979&gt;0),I979/F979-1,"")</f>
        <v/>
      </c>
      <c r="K979" s="22" t="n">
        <v>90</v>
      </c>
      <c r="L979" s="23">
        <f>IF(AND(ISNUMBER(F979),ISNUMBER(K979),F979&gt;0),K979/F979-1,"")</f>
        <v/>
      </c>
      <c r="M979" s="24" t="n">
        <v>8</v>
      </c>
      <c r="N979" s="25" t="n">
        <v>3.76</v>
      </c>
      <c r="O979" s="26">
        <f>IF(AND(ISNUMBER(F979),ISNUMBER(N979),F979&gt;0),N979/F979,"")</f>
        <v/>
      </c>
      <c r="P979" s="27" t="n">
        <v>46295</v>
      </c>
      <c r="Q979" s="27" t="n">
        <v>46335</v>
      </c>
      <c r="R979" s="25" t="n">
        <v>3.46</v>
      </c>
      <c r="S979" s="28">
        <f>IF(AND(ISNUMBER(F979),ISNUMBER(R979),R979&gt;0),F979/R979,"")</f>
        <v/>
      </c>
      <c r="T979" s="27" t="n">
        <v>46323</v>
      </c>
    </row>
    <row r="980">
      <c r="A980" s="11" t="inlineStr">
        <is>
          <t>ACHR</t>
        </is>
      </c>
      <c r="B980" s="11" t="inlineStr">
        <is>
          <t>Archer Aviation Inc.</t>
        </is>
      </c>
      <c r="C980" s="11" t="inlineStr">
        <is>
          <t>Aerospace &amp; Defense</t>
        </is>
      </c>
      <c r="D980" s="11" t="inlineStr">
        <is>
          <t>United States</t>
        </is>
      </c>
      <c r="E980" s="12" t="n">
        <v>3.26</v>
      </c>
      <c r="F980" s="13" t="n">
        <v>4.23</v>
      </c>
      <c r="G980" s="13" t="n">
        <v>10.88889</v>
      </c>
      <c r="H980" s="14">
        <f>IF(AND(ISNUMBER(F980),ISNUMBER(G980),F980&gt;0),G980/F980-1,"")</f>
        <v/>
      </c>
      <c r="I980" s="13" t="n">
        <v>7</v>
      </c>
      <c r="J980" s="14">
        <f>IF(AND(ISNUMBER(F980),ISNUMBER(I980),F980&gt;0),I980/F980-1,"")</f>
        <v/>
      </c>
      <c r="K980" s="13" t="n">
        <v>18</v>
      </c>
      <c r="L980" s="14">
        <f>IF(AND(ISNUMBER(F980),ISNUMBER(K980),F980&gt;0),K980/F980-1,"")</f>
        <v/>
      </c>
      <c r="M980" s="15" t="n">
        <v>9</v>
      </c>
      <c r="N980" s="16" t="n"/>
      <c r="O980" s="17">
        <f>IF(AND(ISNUMBER(F980),ISNUMBER(N980),F980&gt;0),N980/F980,"")</f>
        <v/>
      </c>
      <c r="P980" s="18" t="n"/>
      <c r="Q980" s="18" t="n">
        <v>46335</v>
      </c>
      <c r="R980" s="16" t="n">
        <v>-1.09</v>
      </c>
      <c r="S980" s="19">
        <f>IF(AND(ISNUMBER(F980),ISNUMBER(R980),R980&gt;0),F980/R980,"")</f>
        <v/>
      </c>
      <c r="T980" s="18" t="n">
        <v>46323</v>
      </c>
    </row>
    <row r="981">
      <c r="A981" s="20" t="inlineStr">
        <is>
          <t>AEO</t>
        </is>
      </c>
      <c r="B981" s="20" t="inlineStr">
        <is>
          <t>American Eagle Outfitters, Inc.</t>
        </is>
      </c>
      <c r="C981" s="20" t="inlineStr">
        <is>
          <t>Apparel Retail</t>
        </is>
      </c>
      <c r="D981" s="20" t="inlineStr">
        <is>
          <t>United States</t>
        </is>
      </c>
      <c r="E981" s="21" t="n">
        <v>3.25</v>
      </c>
      <c r="F981" s="22" t="n">
        <v>19.42</v>
      </c>
      <c r="G981" s="22" t="n">
        <v>18.6</v>
      </c>
      <c r="H981" s="23">
        <f>IF(AND(ISNUMBER(F981),ISNUMBER(G981),F981&gt;0),G981/F981-1,"")</f>
        <v/>
      </c>
      <c r="I981" s="22" t="n">
        <v>15</v>
      </c>
      <c r="J981" s="23">
        <f>IF(AND(ISNUMBER(F981),ISNUMBER(I981),F981&gt;0),I981/F981-1,"")</f>
        <v/>
      </c>
      <c r="K981" s="22" t="n">
        <v>27</v>
      </c>
      <c r="L981" s="23">
        <f>IF(AND(ISNUMBER(F981),ISNUMBER(K981),F981&gt;0),K981/F981-1,"")</f>
        <v/>
      </c>
      <c r="M981" s="24" t="n">
        <v>10</v>
      </c>
      <c r="N981" s="25" t="n">
        <v>0.5</v>
      </c>
      <c r="O981" s="26">
        <f>IF(AND(ISNUMBER(F981),ISNUMBER(N981),F981&gt;0),N981/F981,"")</f>
        <v/>
      </c>
      <c r="P981" s="27" t="n">
        <v>46304</v>
      </c>
      <c r="Q981" s="27" t="n">
        <v>46357</v>
      </c>
      <c r="R981" s="25" t="n">
        <v>1.95</v>
      </c>
      <c r="S981" s="28">
        <f>IF(AND(ISNUMBER(F981),ISNUMBER(R981),R981&gt;0),F981/R981,"")</f>
        <v/>
      </c>
      <c r="T981" s="27" t="n">
        <v>46323</v>
      </c>
    </row>
    <row r="982">
      <c r="A982" s="11" t="inlineStr">
        <is>
          <t>WSC</t>
        </is>
      </c>
      <c r="B982" s="11" t="inlineStr">
        <is>
          <t>WillScot Holdings Corporation</t>
        </is>
      </c>
      <c r="C982" s="11" t="inlineStr">
        <is>
          <t>Rental &amp; Leasing Services</t>
        </is>
      </c>
      <c r="D982" s="11" t="inlineStr">
        <is>
          <t>United States</t>
        </is>
      </c>
      <c r="E982" s="12" t="n">
        <v>3.2</v>
      </c>
      <c r="F982" s="13" t="n">
        <v>17.65</v>
      </c>
      <c r="G982" s="13" t="n">
        <v>26.2</v>
      </c>
      <c r="H982" s="14">
        <f>IF(AND(ISNUMBER(F982),ISNUMBER(G982),F982&gt;0),G982/F982-1,"")</f>
        <v/>
      </c>
      <c r="I982" s="13" t="n">
        <v>18</v>
      </c>
      <c r="J982" s="14">
        <f>IF(AND(ISNUMBER(F982),ISNUMBER(I982),F982&gt;0),I982/F982-1,"")</f>
        <v/>
      </c>
      <c r="K982" s="13" t="n">
        <v>37</v>
      </c>
      <c r="L982" s="14">
        <f>IF(AND(ISNUMBER(F982),ISNUMBER(K982),F982&gt;0),K982/F982-1,"")</f>
        <v/>
      </c>
      <c r="M982" s="15" t="n">
        <v>10</v>
      </c>
      <c r="N982" s="16" t="n">
        <v>0.28</v>
      </c>
      <c r="O982" s="17">
        <f>IF(AND(ISNUMBER(F982),ISNUMBER(N982),F982&gt;0),N982/F982,"")</f>
        <v/>
      </c>
      <c r="P982" s="18" t="n">
        <v>46267</v>
      </c>
      <c r="Q982" s="18" t="n">
        <v>46331</v>
      </c>
      <c r="R982" s="16" t="n">
        <v>-0.38</v>
      </c>
      <c r="S982" s="19">
        <f>IF(AND(ISNUMBER(F982),ISNUMBER(R982),R982&gt;0),F982/R982,"")</f>
        <v/>
      </c>
      <c r="T982" s="18" t="n">
        <v>46323</v>
      </c>
    </row>
    <row r="983">
      <c r="A983" s="20" t="inlineStr">
        <is>
          <t>BATRK</t>
        </is>
      </c>
      <c r="B983" s="20" t="inlineStr">
        <is>
          <t>Atlanta Braves Holdings, Inc. -</t>
        </is>
      </c>
      <c r="C983" s="20" t="inlineStr">
        <is>
          <t>Entertainment</t>
        </is>
      </c>
      <c r="D983" s="20" t="inlineStr">
        <is>
          <t>United States</t>
        </is>
      </c>
      <c r="E983" s="21" t="n">
        <v>3.2</v>
      </c>
      <c r="F983" s="22" t="n">
        <v>49.8</v>
      </c>
      <c r="G983" s="22" t="n">
        <v>63.4</v>
      </c>
      <c r="H983" s="23">
        <f>IF(AND(ISNUMBER(F983),ISNUMBER(G983),F983&gt;0),G983/F983-1,"")</f>
        <v/>
      </c>
      <c r="I983" s="22" t="n">
        <v>49</v>
      </c>
      <c r="J983" s="23">
        <f>IF(AND(ISNUMBER(F983),ISNUMBER(I983),F983&gt;0),I983/F983-1,"")</f>
        <v/>
      </c>
      <c r="K983" s="22" t="n">
        <v>74</v>
      </c>
      <c r="L983" s="23">
        <f>IF(AND(ISNUMBER(F983),ISNUMBER(K983),F983&gt;0),K983/F983-1,"")</f>
        <v/>
      </c>
      <c r="M983" s="24" t="n">
        <v>5</v>
      </c>
      <c r="N983" s="25" t="n"/>
      <c r="O983" s="26">
        <f>IF(AND(ISNUMBER(F983),ISNUMBER(N983),F983&gt;0),N983/F983,"")</f>
        <v/>
      </c>
      <c r="P983" s="27" t="n"/>
      <c r="Q983" s="27" t="n">
        <v>46330</v>
      </c>
      <c r="R983" s="25" t="n">
        <v>-1</v>
      </c>
      <c r="S983" s="28">
        <f>IF(AND(ISNUMBER(F983),ISNUMBER(R983),R983&gt;0),F983/R983,"")</f>
        <v/>
      </c>
      <c r="T983" s="27" t="n">
        <v>46323</v>
      </c>
    </row>
    <row r="984">
      <c r="A984" s="11" t="inlineStr">
        <is>
          <t>SDRL</t>
        </is>
      </c>
      <c r="B984" s="11" t="inlineStr">
        <is>
          <t>Seadrill Limited</t>
        </is>
      </c>
      <c r="C984" s="11" t="inlineStr">
        <is>
          <t>Oil &amp; Gas Drilling</t>
        </is>
      </c>
      <c r="D984" s="11" t="inlineStr">
        <is>
          <t>United States</t>
        </is>
      </c>
      <c r="E984" s="12" t="n">
        <v>3.19</v>
      </c>
      <c r="F984" s="13" t="n">
        <v>50.96</v>
      </c>
      <c r="G984" s="13" t="n">
        <v>54</v>
      </c>
      <c r="H984" s="14">
        <f>IF(AND(ISNUMBER(F984),ISNUMBER(G984),F984&gt;0),G984/F984-1,"")</f>
        <v/>
      </c>
      <c r="I984" s="13" t="n">
        <v>26</v>
      </c>
      <c r="J984" s="14">
        <f>IF(AND(ISNUMBER(F984),ISNUMBER(I984),F984&gt;0),I984/F984-1,"")</f>
        <v/>
      </c>
      <c r="K984" s="13" t="n">
        <v>80</v>
      </c>
      <c r="L984" s="14">
        <f>IF(AND(ISNUMBER(F984),ISNUMBER(K984),F984&gt;0),K984/F984-1,"")</f>
        <v/>
      </c>
      <c r="M984" s="15" t="n">
        <v>9</v>
      </c>
      <c r="N984" s="16" t="n"/>
      <c r="O984" s="17">
        <f>IF(AND(ISNUMBER(F984),ISNUMBER(N984),F984&gt;0),N984/F984,"")</f>
        <v/>
      </c>
      <c r="P984" s="18" t="n"/>
      <c r="Q984" s="18" t="n">
        <v>46329</v>
      </c>
      <c r="R984" s="16" t="n">
        <v>0.03</v>
      </c>
      <c r="S984" s="19">
        <f>IF(AND(ISNUMBER(F984),ISNUMBER(R984),R984&gt;0),F984/R984,"")</f>
        <v/>
      </c>
      <c r="T984" s="18" t="n">
        <v>46323</v>
      </c>
    </row>
    <row r="985">
      <c r="A985" s="20" t="inlineStr">
        <is>
          <t>VKTX</t>
        </is>
      </c>
      <c r="B985" s="20" t="inlineStr">
        <is>
          <t>Viking Therapeutics, Inc.</t>
        </is>
      </c>
      <c r="C985" s="20" t="inlineStr">
        <is>
          <t>Biotechnology</t>
        </is>
      </c>
      <c r="D985" s="20" t="inlineStr">
        <is>
          <t>United States</t>
        </is>
      </c>
      <c r="E985" s="21" t="n">
        <v>3.17</v>
      </c>
      <c r="F985" s="22" t="n">
        <v>24.89</v>
      </c>
      <c r="G985" s="22" t="n">
        <v>95.05262999999999</v>
      </c>
      <c r="H985" s="23">
        <f>IF(AND(ISNUMBER(F985),ISNUMBER(G985),F985&gt;0),G985/F985-1,"")</f>
        <v/>
      </c>
      <c r="I985" s="22" t="n">
        <v>38</v>
      </c>
      <c r="J985" s="23">
        <f>IF(AND(ISNUMBER(F985),ISNUMBER(I985),F985&gt;0),I985/F985-1,"")</f>
        <v/>
      </c>
      <c r="K985" s="22" t="n">
        <v>125</v>
      </c>
      <c r="L985" s="23">
        <f>IF(AND(ISNUMBER(F985),ISNUMBER(K985),F985&gt;0),K985/F985-1,"")</f>
        <v/>
      </c>
      <c r="M985" s="24" t="n">
        <v>19</v>
      </c>
      <c r="N985" s="25" t="n"/>
      <c r="O985" s="26">
        <f>IF(AND(ISNUMBER(F985),ISNUMBER(N985),F985&gt;0),N985/F985,"")</f>
        <v/>
      </c>
      <c r="P985" s="27" t="n"/>
      <c r="Q985" s="27" t="n">
        <v>46323</v>
      </c>
      <c r="R985" s="25" t="n">
        <v>-4.67</v>
      </c>
      <c r="S985" s="28">
        <f>IF(AND(ISNUMBER(F985),ISNUMBER(R985),R985&gt;0),F985/R985,"")</f>
        <v/>
      </c>
      <c r="T985" s="27" t="n">
        <v>46323</v>
      </c>
    </row>
    <row r="986">
      <c r="A986" s="11" t="inlineStr">
        <is>
          <t>COLM</t>
        </is>
      </c>
      <c r="B986" s="11" t="inlineStr">
        <is>
          <t>Columbia Sportswear Company</t>
        </is>
      </c>
      <c r="C986" s="11" t="inlineStr">
        <is>
          <t>Apparel Manufacturing</t>
        </is>
      </c>
      <c r="D986" s="11" t="inlineStr">
        <is>
          <t>United States</t>
        </is>
      </c>
      <c r="E986" s="12" t="n">
        <v>3.13</v>
      </c>
      <c r="F986" s="13" t="n">
        <v>61.17</v>
      </c>
      <c r="G986" s="13" t="n">
        <v>70.2</v>
      </c>
      <c r="H986" s="14">
        <f>IF(AND(ISNUMBER(F986),ISNUMBER(G986),F986&gt;0),G986/F986-1,"")</f>
        <v/>
      </c>
      <c r="I986" s="13" t="n">
        <v>47</v>
      </c>
      <c r="J986" s="14">
        <f>IF(AND(ISNUMBER(F986),ISNUMBER(I986),F986&gt;0),I986/F986-1,"")</f>
        <v/>
      </c>
      <c r="K986" s="13" t="n">
        <v>92</v>
      </c>
      <c r="L986" s="14">
        <f>IF(AND(ISNUMBER(F986),ISNUMBER(K986),F986&gt;0),K986/F986-1,"")</f>
        <v/>
      </c>
      <c r="M986" s="15" t="n">
        <v>5</v>
      </c>
      <c r="N986" s="16" t="n">
        <v>1.2</v>
      </c>
      <c r="O986" s="17">
        <f>IF(AND(ISNUMBER(F986),ISNUMBER(N986),F986&gt;0),N986/F986,"")</f>
        <v/>
      </c>
      <c r="P986" s="18" t="n">
        <v>46254</v>
      </c>
      <c r="Q986" s="18" t="n">
        <v>46324</v>
      </c>
      <c r="R986" s="16" t="n">
        <v>3.83</v>
      </c>
      <c r="S986" s="19">
        <f>IF(AND(ISNUMBER(F986),ISNUMBER(R986),R986&gt;0),F986/R986,"")</f>
        <v/>
      </c>
      <c r="T986" s="18" t="n">
        <v>46323</v>
      </c>
    </row>
    <row r="987">
      <c r="A987" s="20" t="inlineStr">
        <is>
          <t>SHOO</t>
        </is>
      </c>
      <c r="B987" s="20" t="inlineStr">
        <is>
          <t>Steven Madden, Ltd.</t>
        </is>
      </c>
      <c r="C987" s="20" t="inlineStr">
        <is>
          <t>Footwear &amp; Accessories</t>
        </is>
      </c>
      <c r="D987" s="20" t="inlineStr">
        <is>
          <t>United States</t>
        </is>
      </c>
      <c r="E987" s="21" t="n">
        <v>3.13</v>
      </c>
      <c r="F987" s="22" t="n">
        <v>42.78</v>
      </c>
      <c r="G987" s="22" t="n">
        <v>52.11111</v>
      </c>
      <c r="H987" s="23">
        <f>IF(AND(ISNUMBER(F987),ISNUMBER(G987),F987&gt;0),G987/F987-1,"")</f>
        <v/>
      </c>
      <c r="I987" s="22" t="n">
        <v>36</v>
      </c>
      <c r="J987" s="23">
        <f>IF(AND(ISNUMBER(F987),ISNUMBER(I987),F987&gt;0),I987/F987-1,"")</f>
        <v/>
      </c>
      <c r="K987" s="22" t="n">
        <v>60</v>
      </c>
      <c r="L987" s="23">
        <f>IF(AND(ISNUMBER(F987),ISNUMBER(K987),F987&gt;0),K987/F987-1,"")</f>
        <v/>
      </c>
      <c r="M987" s="24" t="n">
        <v>9</v>
      </c>
      <c r="N987" s="25" t="n">
        <v>0.84</v>
      </c>
      <c r="O987" s="26">
        <f>IF(AND(ISNUMBER(F987),ISNUMBER(N987),F987&gt;0),N987/F987,"")</f>
        <v/>
      </c>
      <c r="P987" s="27" t="n">
        <v>46276</v>
      </c>
      <c r="Q987" s="27" t="n">
        <v>46331</v>
      </c>
      <c r="R987" s="25" t="n">
        <v>1.99</v>
      </c>
      <c r="S987" s="28">
        <f>IF(AND(ISNUMBER(F987),ISNUMBER(R987),R987&gt;0),F987/R987,"")</f>
        <v/>
      </c>
      <c r="T987" s="27" t="n">
        <v>46323</v>
      </c>
    </row>
    <row r="988">
      <c r="A988" s="11" t="inlineStr">
        <is>
          <t>COCO</t>
        </is>
      </c>
      <c r="B988" s="11" t="inlineStr">
        <is>
          <t>The Vita Coco Company, Inc.</t>
        </is>
      </c>
      <c r="C988" s="11" t="inlineStr">
        <is>
          <t>Beverages - Non-Alcoholic</t>
        </is>
      </c>
      <c r="D988" s="11" t="inlineStr">
        <is>
          <t>United States</t>
        </is>
      </c>
      <c r="E988" s="12" t="n">
        <v>3.12</v>
      </c>
      <c r="F988" s="13" t="n">
        <v>54.76</v>
      </c>
      <c r="G988" s="13" t="n">
        <v>79.09999999999999</v>
      </c>
      <c r="H988" s="14">
        <f>IF(AND(ISNUMBER(F988),ISNUMBER(G988),F988&gt;0),G988/F988-1,"")</f>
        <v/>
      </c>
      <c r="I988" s="13" t="n">
        <v>65</v>
      </c>
      <c r="J988" s="14">
        <f>IF(AND(ISNUMBER(F988),ISNUMBER(I988),F988&gt;0),I988/F988-1,"")</f>
        <v/>
      </c>
      <c r="K988" s="13" t="n">
        <v>90</v>
      </c>
      <c r="L988" s="14">
        <f>IF(AND(ISNUMBER(F988),ISNUMBER(K988),F988&gt;0),K988/F988-1,"")</f>
        <v/>
      </c>
      <c r="M988" s="15" t="n">
        <v>10</v>
      </c>
      <c r="N988" s="16" t="n"/>
      <c r="O988" s="17">
        <f>IF(AND(ISNUMBER(F988),ISNUMBER(N988),F988&gt;0),N988/F988,"")</f>
        <v/>
      </c>
      <c r="P988" s="18" t="n"/>
      <c r="Q988" s="18" t="n">
        <v>46317</v>
      </c>
      <c r="R988" s="16" t="n">
        <v>1.98</v>
      </c>
      <c r="S988" s="19">
        <f>IF(AND(ISNUMBER(F988),ISNUMBER(R988),R988&gt;0),F988/R988,"")</f>
        <v/>
      </c>
      <c r="T988" s="18" t="n">
        <v>46323</v>
      </c>
    </row>
    <row r="989">
      <c r="A989" s="20" t="inlineStr">
        <is>
          <t>WRBY</t>
        </is>
      </c>
      <c r="B989" s="20" t="inlineStr">
        <is>
          <t>Warby Parker Inc.</t>
        </is>
      </c>
      <c r="C989" s="20" t="inlineStr">
        <is>
          <t>Medical Instruments &amp; Supplies</t>
        </is>
      </c>
      <c r="D989" s="20" t="inlineStr">
        <is>
          <t>United States</t>
        </is>
      </c>
      <c r="E989" s="21" t="n">
        <v>3.1</v>
      </c>
      <c r="F989" s="22" t="n">
        <v>25.07</v>
      </c>
      <c r="G989" s="22" t="n">
        <v>31</v>
      </c>
      <c r="H989" s="23">
        <f>IF(AND(ISNUMBER(F989),ISNUMBER(G989),F989&gt;0),G989/F989-1,"")</f>
        <v/>
      </c>
      <c r="I989" s="22" t="n">
        <v>25</v>
      </c>
      <c r="J989" s="23">
        <f>IF(AND(ISNUMBER(F989),ISNUMBER(I989),F989&gt;0),I989/F989-1,"")</f>
        <v/>
      </c>
      <c r="K989" s="22" t="n">
        <v>35</v>
      </c>
      <c r="L989" s="23">
        <f>IF(AND(ISNUMBER(F989),ISNUMBER(K989),F989&gt;0),K989/F989-1,"")</f>
        <v/>
      </c>
      <c r="M989" s="24" t="n">
        <v>12</v>
      </c>
      <c r="N989" s="25" t="n"/>
      <c r="O989" s="26">
        <f>IF(AND(ISNUMBER(F989),ISNUMBER(N989),F989&gt;0),N989/F989,"")</f>
        <v/>
      </c>
      <c r="P989" s="27" t="n"/>
      <c r="Q989" s="27" t="n">
        <v>46331</v>
      </c>
      <c r="R989" s="25" t="n">
        <v>0.06</v>
      </c>
      <c r="S989" s="28">
        <f>IF(AND(ISNUMBER(F989),ISNUMBER(R989),R989&gt;0),F989/R989,"")</f>
        <v/>
      </c>
      <c r="T989" s="27" t="n">
        <v>46323</v>
      </c>
    </row>
    <row r="990">
      <c r="A990" s="11" t="inlineStr">
        <is>
          <t>FRPT</t>
        </is>
      </c>
      <c r="B990" s="11" t="inlineStr">
        <is>
          <t>Freshpet, Inc.</t>
        </is>
      </c>
      <c r="C990" s="11" t="inlineStr">
        <is>
          <t>Packaged Foods</t>
        </is>
      </c>
      <c r="D990" s="11" t="inlineStr">
        <is>
          <t>United States</t>
        </is>
      </c>
      <c r="E990" s="12" t="n">
        <v>3.09</v>
      </c>
      <c r="F990" s="13" t="n">
        <v>64.38</v>
      </c>
      <c r="G990" s="13" t="n">
        <v>83.1875</v>
      </c>
      <c r="H990" s="14">
        <f>IF(AND(ISNUMBER(F990),ISNUMBER(G990),F990&gt;0),G990/F990-1,"")</f>
        <v/>
      </c>
      <c r="I990" s="13" t="n">
        <v>67</v>
      </c>
      <c r="J990" s="14">
        <f>IF(AND(ISNUMBER(F990),ISNUMBER(I990),F990&gt;0),I990/F990-1,"")</f>
        <v/>
      </c>
      <c r="K990" s="13" t="n">
        <v>104</v>
      </c>
      <c r="L990" s="14">
        <f>IF(AND(ISNUMBER(F990),ISNUMBER(K990),F990&gt;0),K990/F990-1,"")</f>
        <v/>
      </c>
      <c r="M990" s="15" t="n">
        <v>16</v>
      </c>
      <c r="N990" s="16" t="n"/>
      <c r="O990" s="17">
        <f>IF(AND(ISNUMBER(F990),ISNUMBER(N990),F990&gt;0),N990/F990,"")</f>
        <v/>
      </c>
      <c r="P990" s="18" t="n"/>
      <c r="Q990" s="18" t="n">
        <v>46330</v>
      </c>
      <c r="R990" s="16" t="n">
        <v>3.79</v>
      </c>
      <c r="S990" s="19">
        <f>IF(AND(ISNUMBER(F990),ISNUMBER(R990),R990&gt;0),F990/R990,"")</f>
        <v/>
      </c>
      <c r="T990" s="18" t="n">
        <v>46323</v>
      </c>
    </row>
    <row r="991">
      <c r="A991" s="20" t="inlineStr">
        <is>
          <t>KD</t>
        </is>
      </c>
      <c r="B991" s="20" t="inlineStr">
        <is>
          <t>Kyndryl Holdings, Inc.</t>
        </is>
      </c>
      <c r="C991" s="20" t="inlineStr">
        <is>
          <t>Information Technology Services</t>
        </is>
      </c>
      <c r="D991" s="20" t="inlineStr">
        <is>
          <t>United States</t>
        </is>
      </c>
      <c r="E991" s="21" t="n">
        <v>3.08</v>
      </c>
      <c r="F991" s="22" t="n">
        <v>14.16</v>
      </c>
      <c r="G991" s="22" t="n">
        <v>14.2</v>
      </c>
      <c r="H991" s="23">
        <f>IF(AND(ISNUMBER(F991),ISNUMBER(G991),F991&gt;0),G991/F991-1,"")</f>
        <v/>
      </c>
      <c r="I991" s="22" t="n">
        <v>13</v>
      </c>
      <c r="J991" s="23">
        <f>IF(AND(ISNUMBER(F991),ISNUMBER(I991),F991&gt;0),I991/F991-1,"")</f>
        <v/>
      </c>
      <c r="K991" s="22" t="n">
        <v>16</v>
      </c>
      <c r="L991" s="23">
        <f>IF(AND(ISNUMBER(F991),ISNUMBER(K991),F991&gt;0),K991/F991-1,"")</f>
        <v/>
      </c>
      <c r="M991" s="24" t="n">
        <v>5</v>
      </c>
      <c r="N991" s="25" t="n"/>
      <c r="O991" s="26">
        <f>IF(AND(ISNUMBER(F991),ISNUMBER(N991),F991&gt;0),N991/F991,"")</f>
        <v/>
      </c>
      <c r="P991" s="27" t="n"/>
      <c r="Q991" s="27" t="n">
        <v>46330</v>
      </c>
      <c r="R991" s="25" t="n">
        <v>0.37</v>
      </c>
      <c r="S991" s="28">
        <f>IF(AND(ISNUMBER(F991),ISNUMBER(R991),R991&gt;0),F991/R991,"")</f>
        <v/>
      </c>
      <c r="T991" s="27" t="n">
        <v>46323</v>
      </c>
    </row>
    <row r="992">
      <c r="A992" s="11" t="inlineStr">
        <is>
          <t>YETI</t>
        </is>
      </c>
      <c r="B992" s="11" t="inlineStr">
        <is>
          <t>YETI Holdings, Inc.</t>
        </is>
      </c>
      <c r="C992" s="11" t="inlineStr">
        <is>
          <t>Leisure</t>
        </is>
      </c>
      <c r="D992" s="11" t="inlineStr">
        <is>
          <t>United States</t>
        </is>
      </c>
      <c r="E992" s="12" t="n">
        <v>3.08</v>
      </c>
      <c r="F992" s="13" t="n">
        <v>42.25</v>
      </c>
      <c r="G992" s="13" t="n">
        <v>54.25</v>
      </c>
      <c r="H992" s="14">
        <f>IF(AND(ISNUMBER(F992),ISNUMBER(G992),F992&gt;0),G992/F992-1,"")</f>
        <v/>
      </c>
      <c r="I992" s="13" t="n">
        <v>43</v>
      </c>
      <c r="J992" s="14">
        <f>IF(AND(ISNUMBER(F992),ISNUMBER(I992),F992&gt;0),I992/F992-1,"")</f>
        <v/>
      </c>
      <c r="K992" s="13" t="n">
        <v>80</v>
      </c>
      <c r="L992" s="14">
        <f>IF(AND(ISNUMBER(F992),ISNUMBER(K992),F992&gt;0),K992/F992-1,"")</f>
        <v/>
      </c>
      <c r="M992" s="15" t="n">
        <v>16</v>
      </c>
      <c r="N992" s="16" t="n"/>
      <c r="O992" s="17">
        <f>IF(AND(ISNUMBER(F992),ISNUMBER(N992),F992&gt;0),N992/F992,"")</f>
        <v/>
      </c>
      <c r="P992" s="18" t="n"/>
      <c r="Q992" s="18" t="n">
        <v>46338</v>
      </c>
      <c r="R992" s="16" t="n">
        <v>2.32</v>
      </c>
      <c r="S992" s="19">
        <f>IF(AND(ISNUMBER(F992),ISNUMBER(R992),R992&gt;0),F992/R992,"")</f>
        <v/>
      </c>
      <c r="T992" s="18" t="n">
        <v>46323</v>
      </c>
    </row>
    <row r="993">
      <c r="A993" s="20" t="inlineStr">
        <is>
          <t>VIA</t>
        </is>
      </c>
      <c r="B993" s="20" t="inlineStr">
        <is>
          <t>Via Transportation, Inc.</t>
        </is>
      </c>
      <c r="C993" s="20" t="inlineStr">
        <is>
          <t>Software - Application</t>
        </is>
      </c>
      <c r="D993" s="20" t="inlineStr">
        <is>
          <t>United States</t>
        </is>
      </c>
      <c r="E993" s="21" t="n">
        <v>3.06</v>
      </c>
      <c r="F993" s="22" t="n">
        <v>35.97</v>
      </c>
      <c r="G993" s="22" t="n">
        <v>37.66667</v>
      </c>
      <c r="H993" s="23">
        <f>IF(AND(ISNUMBER(F993),ISNUMBER(G993),F993&gt;0),G993/F993-1,"")</f>
        <v/>
      </c>
      <c r="I993" s="22" t="n">
        <v>26</v>
      </c>
      <c r="J993" s="23">
        <f>IF(AND(ISNUMBER(F993),ISNUMBER(I993),F993&gt;0),I993/F993-1,"")</f>
        <v/>
      </c>
      <c r="K993" s="22" t="n">
        <v>55</v>
      </c>
      <c r="L993" s="23">
        <f>IF(AND(ISNUMBER(F993),ISNUMBER(K993),F993&gt;0),K993/F993-1,"")</f>
        <v/>
      </c>
      <c r="M993" s="24" t="n">
        <v>9</v>
      </c>
      <c r="N993" s="25" t="n"/>
      <c r="O993" s="26">
        <f>IF(AND(ISNUMBER(F993),ISNUMBER(N993),F993&gt;0),N993/F993,"")</f>
        <v/>
      </c>
      <c r="P993" s="27" t="n"/>
      <c r="Q993" s="27" t="n">
        <v>46335</v>
      </c>
      <c r="R993" s="25" t="n">
        <v>-0.47</v>
      </c>
      <c r="S993" s="28">
        <f>IF(AND(ISNUMBER(F993),ISNUMBER(R993),R993&gt;0),F993/R993,"")</f>
        <v/>
      </c>
      <c r="T993" s="27" t="n">
        <v>46323</v>
      </c>
    </row>
    <row r="994">
      <c r="A994" s="11" t="inlineStr">
        <is>
          <t>CXW</t>
        </is>
      </c>
      <c r="B994" s="11" t="inlineStr">
        <is>
          <t>CoreCivic, Inc.</t>
        </is>
      </c>
      <c r="C994" s="11" t="inlineStr">
        <is>
          <t>Security &amp; Protection Services</t>
        </is>
      </c>
      <c r="D994" s="11" t="inlineStr">
        <is>
          <t>United States</t>
        </is>
      </c>
      <c r="E994" s="12" t="n">
        <v>3.05</v>
      </c>
      <c r="F994" s="13" t="n">
        <v>30.8</v>
      </c>
      <c r="G994" s="13" t="n">
        <v>41.8</v>
      </c>
      <c r="H994" s="14">
        <f>IF(AND(ISNUMBER(F994),ISNUMBER(G994),F994&gt;0),G994/F994-1,"")</f>
        <v/>
      </c>
      <c r="I994" s="13" t="n">
        <v>40</v>
      </c>
      <c r="J994" s="14">
        <f>IF(AND(ISNUMBER(F994),ISNUMBER(I994),F994&gt;0),I994/F994-1,"")</f>
        <v/>
      </c>
      <c r="K994" s="13" t="n">
        <v>45</v>
      </c>
      <c r="L994" s="14">
        <f>IF(AND(ISNUMBER(F994),ISNUMBER(K994),F994&gt;0),K994/F994-1,"")</f>
        <v/>
      </c>
      <c r="M994" s="15" t="n">
        <v>5</v>
      </c>
      <c r="N994" s="16" t="n"/>
      <c r="O994" s="17">
        <f>IF(AND(ISNUMBER(F994),ISNUMBER(N994),F994&gt;0),N994/F994,"")</f>
        <v/>
      </c>
      <c r="P994" s="18" t="n"/>
      <c r="Q994" s="18" t="n">
        <v>46330</v>
      </c>
      <c r="R994" s="16" t="n">
        <v>1.25</v>
      </c>
      <c r="S994" s="19">
        <f>IF(AND(ISNUMBER(F994),ISNUMBER(R994),R994&gt;0),F994/R994,"")</f>
        <v/>
      </c>
      <c r="T994" s="18" t="n">
        <v>46323</v>
      </c>
    </row>
    <row r="995">
      <c r="A995" s="20" t="inlineStr">
        <is>
          <t>NOG</t>
        </is>
      </c>
      <c r="B995" s="20" t="inlineStr">
        <is>
          <t>Northern Oil and Gas, Inc.</t>
        </is>
      </c>
      <c r="C995" s="20" t="inlineStr">
        <is>
          <t>Oil &amp; Gas E&amp;P</t>
        </is>
      </c>
      <c r="D995" s="20" t="inlineStr">
        <is>
          <t>United States</t>
        </is>
      </c>
      <c r="E995" s="21" t="n">
        <v>3</v>
      </c>
      <c r="F995" s="22" t="n">
        <v>28.15</v>
      </c>
      <c r="G995" s="22" t="n">
        <v>30.22222</v>
      </c>
      <c r="H995" s="23">
        <f>IF(AND(ISNUMBER(F995),ISNUMBER(G995),F995&gt;0),G995/F995-1,"")</f>
        <v/>
      </c>
      <c r="I995" s="22" t="n">
        <v>26</v>
      </c>
      <c r="J995" s="23">
        <f>IF(AND(ISNUMBER(F995),ISNUMBER(I995),F995&gt;0),I995/F995-1,"")</f>
        <v/>
      </c>
      <c r="K995" s="22" t="n">
        <v>35</v>
      </c>
      <c r="L995" s="23">
        <f>IF(AND(ISNUMBER(F995),ISNUMBER(K995),F995&gt;0),K995/F995-1,"")</f>
        <v/>
      </c>
      <c r="M995" s="24" t="n">
        <v>9</v>
      </c>
      <c r="N995" s="25" t="n">
        <v>1.8</v>
      </c>
      <c r="O995" s="26">
        <f>IF(AND(ISNUMBER(F995),ISNUMBER(N995),F995&gt;0),N995/F995,"")</f>
        <v/>
      </c>
      <c r="P995" s="27" t="n">
        <v>46294</v>
      </c>
      <c r="Q995" s="27" t="n">
        <v>46331</v>
      </c>
      <c r="R995" s="25" t="n">
        <v>-4.85</v>
      </c>
      <c r="S995" s="28">
        <f>IF(AND(ISNUMBER(F995),ISNUMBER(R995),R995&gt;0),F995/R995,"")</f>
        <v/>
      </c>
      <c r="T995" s="27" t="n">
        <v>46323</v>
      </c>
    </row>
    <row r="996">
      <c r="A996" s="11" t="inlineStr">
        <is>
          <t>GPOR</t>
        </is>
      </c>
      <c r="B996" s="11" t="inlineStr">
        <is>
          <t>Gulfport Energy Corporation</t>
        </is>
      </c>
      <c r="C996" s="11" t="inlineStr">
        <is>
          <t>Oil &amp; Gas E&amp;P</t>
        </is>
      </c>
      <c r="D996" s="11" t="inlineStr">
        <is>
          <t>United States</t>
        </is>
      </c>
      <c r="E996" s="12" t="n">
        <v>3</v>
      </c>
      <c r="F996" s="13" t="n">
        <v>169.51</v>
      </c>
      <c r="G996" s="13" t="n">
        <v>214.76923</v>
      </c>
      <c r="H996" s="14">
        <f>IF(AND(ISNUMBER(F996),ISNUMBER(G996),F996&gt;0),G996/F996-1,"")</f>
        <v/>
      </c>
      <c r="I996" s="13" t="n">
        <v>180</v>
      </c>
      <c r="J996" s="14">
        <f>IF(AND(ISNUMBER(F996),ISNUMBER(I996),F996&gt;0),I996/F996-1,"")</f>
        <v/>
      </c>
      <c r="K996" s="13" t="n">
        <v>245</v>
      </c>
      <c r="L996" s="14">
        <f>IF(AND(ISNUMBER(F996),ISNUMBER(K996),F996&gt;0),K996/F996-1,"")</f>
        <v/>
      </c>
      <c r="M996" s="15" t="n">
        <v>13</v>
      </c>
      <c r="N996" s="16" t="n"/>
      <c r="O996" s="17">
        <f>IF(AND(ISNUMBER(F996),ISNUMBER(N996),F996&gt;0),N996/F996,"")</f>
        <v/>
      </c>
      <c r="P996" s="18" t="n"/>
      <c r="Q996" s="18" t="n">
        <v>46330</v>
      </c>
      <c r="R996" s="16" t="n">
        <v>25.18</v>
      </c>
      <c r="S996" s="19">
        <f>IF(AND(ISNUMBER(F996),ISNUMBER(R996),R996&gt;0),F996/R996,"")</f>
        <v/>
      </c>
      <c r="T996" s="18" t="n">
        <v>46323</v>
      </c>
    </row>
    <row r="997">
      <c r="A997" s="20" t="inlineStr">
        <is>
          <t>FOUR</t>
        </is>
      </c>
      <c r="B997" s="20" t="inlineStr">
        <is>
          <t>Shift4 Payments, Inc.</t>
        </is>
      </c>
      <c r="C997" s="20" t="inlineStr">
        <is>
          <t>Software - Infrastructure</t>
        </is>
      </c>
      <c r="D997" s="20" t="inlineStr">
        <is>
          <t>United States</t>
        </is>
      </c>
      <c r="E997" s="21" t="n">
        <v>2.98</v>
      </c>
      <c r="F997" s="22" t="n">
        <v>37.72</v>
      </c>
      <c r="G997" s="22" t="n">
        <v>52.54545</v>
      </c>
      <c r="H997" s="23">
        <f>IF(AND(ISNUMBER(F997),ISNUMBER(G997),F997&gt;0),G997/F997-1,"")</f>
        <v/>
      </c>
      <c r="I997" s="22" t="n">
        <v>40</v>
      </c>
      <c r="J997" s="23">
        <f>IF(AND(ISNUMBER(F997),ISNUMBER(I997),F997&gt;0),I997/F997-1,"")</f>
        <v/>
      </c>
      <c r="K997" s="22" t="n">
        <v>94</v>
      </c>
      <c r="L997" s="23">
        <f>IF(AND(ISNUMBER(F997),ISNUMBER(K997),F997&gt;0),K997/F997-1,"")</f>
        <v/>
      </c>
      <c r="M997" s="24" t="n">
        <v>22</v>
      </c>
      <c r="N997" s="25" t="n"/>
      <c r="O997" s="26">
        <f>IF(AND(ISNUMBER(F997),ISNUMBER(N997),F997&gt;0),N997/F997,"")</f>
        <v/>
      </c>
      <c r="P997" s="27" t="n">
        <v>46310</v>
      </c>
      <c r="Q997" s="27" t="n">
        <v>46331</v>
      </c>
      <c r="R997" s="25" t="n">
        <v>0.63</v>
      </c>
      <c r="S997" s="28">
        <f>IF(AND(ISNUMBER(F997),ISNUMBER(R997),R997&gt;0),F997/R997,"")</f>
        <v/>
      </c>
      <c r="T997" s="27" t="n">
        <v>46323</v>
      </c>
    </row>
    <row r="998">
      <c r="A998" s="11" t="inlineStr">
        <is>
          <t>COTY</t>
        </is>
      </c>
      <c r="B998" s="11" t="inlineStr">
        <is>
          <t>Coty Inc.</t>
        </is>
      </c>
      <c r="C998" s="11" t="inlineStr">
        <is>
          <t>Household &amp; Personal Products</t>
        </is>
      </c>
      <c r="D998" s="11" t="inlineStr">
        <is>
          <t>United States</t>
        </is>
      </c>
      <c r="E998" s="12" t="n">
        <v>2.9</v>
      </c>
      <c r="F998" s="13" t="n">
        <v>3.29</v>
      </c>
      <c r="G998" s="13" t="n">
        <v>2.70008</v>
      </c>
      <c r="H998" s="14">
        <f>IF(AND(ISNUMBER(F998),ISNUMBER(G998),F998&gt;0),G998/F998-1,"")</f>
        <v/>
      </c>
      <c r="I998" s="13" t="n">
        <v>1.5</v>
      </c>
      <c r="J998" s="14">
        <f>IF(AND(ISNUMBER(F998),ISNUMBER(I998),F998&gt;0),I998/F998-1,"")</f>
        <v/>
      </c>
      <c r="K998" s="13" t="n">
        <v>4</v>
      </c>
      <c r="L998" s="14">
        <f>IF(AND(ISNUMBER(F998),ISNUMBER(K998),F998&gt;0),K998/F998-1,"")</f>
        <v/>
      </c>
      <c r="M998" s="15" t="n">
        <v>13</v>
      </c>
      <c r="N998" s="16" t="n"/>
      <c r="O998" s="17">
        <f>IF(AND(ISNUMBER(F998),ISNUMBER(N998),F998&gt;0),N998/F998,"")</f>
        <v/>
      </c>
      <c r="P998" s="18" t="n"/>
      <c r="Q998" s="18" t="n">
        <v>46330</v>
      </c>
      <c r="R998" s="16" t="n">
        <v>-0.7</v>
      </c>
      <c r="S998" s="19">
        <f>IF(AND(ISNUMBER(F998),ISNUMBER(R998),R998&gt;0),F998/R998,"")</f>
        <v/>
      </c>
      <c r="T998" s="18" t="n">
        <v>46323</v>
      </c>
    </row>
    <row r="999">
      <c r="A999" s="20" t="inlineStr">
        <is>
          <t>LFTO</t>
        </is>
      </c>
      <c r="B999" s="20" t="inlineStr">
        <is>
          <t>Liftoff Mobile, Inc.</t>
        </is>
      </c>
      <c r="C999" s="20" t="inlineStr">
        <is>
          <t>Advertising Agencies</t>
        </is>
      </c>
      <c r="D999" s="20" t="inlineStr">
        <is>
          <t>United States</t>
        </is>
      </c>
      <c r="E999" s="21" t="n">
        <v>2.9</v>
      </c>
      <c r="F999" s="22" t="n">
        <v>17.1</v>
      </c>
      <c r="G999" s="22" t="n">
        <v>30.73333</v>
      </c>
      <c r="H999" s="23">
        <f>IF(AND(ISNUMBER(F999),ISNUMBER(G999),F999&gt;0),G999/F999-1,"")</f>
        <v/>
      </c>
      <c r="I999" s="22" t="n">
        <v>18</v>
      </c>
      <c r="J999" s="23">
        <f>IF(AND(ISNUMBER(F999),ISNUMBER(I999),F999&gt;0),I999/F999-1,"")</f>
        <v/>
      </c>
      <c r="K999" s="22" t="n">
        <v>42</v>
      </c>
      <c r="L999" s="23">
        <f>IF(AND(ISNUMBER(F999),ISNUMBER(K999),F999&gt;0),K999/F999-1,"")</f>
        <v/>
      </c>
      <c r="M999" s="24" t="n">
        <v>15</v>
      </c>
      <c r="N999" s="25" t="n"/>
      <c r="O999" s="26">
        <f>IF(AND(ISNUMBER(F999),ISNUMBER(N999),F999&gt;0),N999/F999,"")</f>
        <v/>
      </c>
      <c r="P999" s="27" t="n"/>
      <c r="Q999" s="27" t="n">
        <v>46338</v>
      </c>
      <c r="R999" s="25" t="n">
        <v>0.25</v>
      </c>
      <c r="S999" s="28">
        <f>IF(AND(ISNUMBER(F999),ISNUMBER(R999),R999&gt;0),F999/R999,"")</f>
        <v/>
      </c>
      <c r="T999" s="27" t="n">
        <v>46323</v>
      </c>
    </row>
    <row r="1000">
      <c r="A1000" s="11" t="inlineStr">
        <is>
          <t>PTRN</t>
        </is>
      </c>
      <c r="B1000" s="11" t="inlineStr">
        <is>
          <t>Pattern Group Inc. - Series A</t>
        </is>
      </c>
      <c r="C1000" s="11" t="inlineStr">
        <is>
          <t>Internet Retail</t>
        </is>
      </c>
      <c r="D1000" s="11" t="inlineStr">
        <is>
          <t>United States</t>
        </is>
      </c>
      <c r="E1000" s="12" t="n">
        <v>2.89</v>
      </c>
      <c r="F1000" s="13" t="n">
        <v>16.27</v>
      </c>
      <c r="G1000" s="13" t="n">
        <v>27</v>
      </c>
      <c r="H1000" s="14">
        <f>IF(AND(ISNUMBER(F1000),ISNUMBER(G1000),F1000&gt;0),G1000/F1000-1,"")</f>
        <v/>
      </c>
      <c r="I1000" s="13" t="n">
        <v>20</v>
      </c>
      <c r="J1000" s="14">
        <f>IF(AND(ISNUMBER(F1000),ISNUMBER(I1000),F1000&gt;0),I1000/F1000-1,"")</f>
        <v/>
      </c>
      <c r="K1000" s="13" t="n">
        <v>30</v>
      </c>
      <c r="L1000" s="14">
        <f>IF(AND(ISNUMBER(F1000),ISNUMBER(K1000),F1000&gt;0),K1000/F1000-1,"")</f>
        <v/>
      </c>
      <c r="M1000" s="15" t="n">
        <v>8</v>
      </c>
      <c r="N1000" s="16" t="n"/>
      <c r="O1000" s="17">
        <f>IF(AND(ISNUMBER(F1000),ISNUMBER(N1000),F1000&gt;0),N1000/F1000,"")</f>
        <v/>
      </c>
      <c r="P1000" s="18" t="n"/>
      <c r="Q1000" s="18" t="n">
        <v>46330</v>
      </c>
      <c r="R1000" s="16" t="n">
        <v>-1.28</v>
      </c>
      <c r="S1000" s="19">
        <f>IF(AND(ISNUMBER(F1000),ISNUMBER(R1000),R1000&gt;0),F1000/R1000,"")</f>
        <v/>
      </c>
      <c r="T1000" s="18" t="n">
        <v>46323</v>
      </c>
    </row>
    <row r="1001">
      <c r="A1001" s="20" t="inlineStr">
        <is>
          <t>CWK</t>
        </is>
      </c>
      <c r="B1001" s="20" t="inlineStr">
        <is>
          <t>Cushman &amp; Wakefield Ltd.</t>
        </is>
      </c>
      <c r="C1001" s="20" t="inlineStr">
        <is>
          <t>Real Estate Services</t>
        </is>
      </c>
      <c r="D1001" s="20" t="inlineStr">
        <is>
          <t>United States</t>
        </is>
      </c>
      <c r="E1001" s="21" t="n">
        <v>2.83</v>
      </c>
      <c r="F1001" s="22" t="n">
        <v>12.07</v>
      </c>
      <c r="G1001" s="22" t="n">
        <v>16.36364</v>
      </c>
      <c r="H1001" s="23">
        <f>IF(AND(ISNUMBER(F1001),ISNUMBER(G1001),F1001&gt;0),G1001/F1001-1,"")</f>
        <v/>
      </c>
      <c r="I1001" s="22" t="n">
        <v>13</v>
      </c>
      <c r="J1001" s="23">
        <f>IF(AND(ISNUMBER(F1001),ISNUMBER(I1001),F1001&gt;0),I1001/F1001-1,"")</f>
        <v/>
      </c>
      <c r="K1001" s="22" t="n">
        <v>19</v>
      </c>
      <c r="L1001" s="23">
        <f>IF(AND(ISNUMBER(F1001),ISNUMBER(K1001),F1001&gt;0),K1001/F1001-1,"")</f>
        <v/>
      </c>
      <c r="M1001" s="24" t="n">
        <v>11</v>
      </c>
      <c r="N1001" s="25" t="n"/>
      <c r="O1001" s="26">
        <f>IF(AND(ISNUMBER(F1001),ISNUMBER(N1001),F1001&gt;0),N1001/F1001,"")</f>
        <v/>
      </c>
      <c r="P1001" s="27" t="n"/>
      <c r="Q1001" s="27" t="n">
        <v>46330</v>
      </c>
      <c r="R1001" s="25" t="n">
        <v>0.29</v>
      </c>
      <c r="S1001" s="28">
        <f>IF(AND(ISNUMBER(F1001),ISNUMBER(R1001),R1001&gt;0),F1001/R1001,"")</f>
        <v/>
      </c>
      <c r="T1001" s="27" t="n">
        <v>46323</v>
      </c>
    </row>
    <row r="1002">
      <c r="A1002" s="11" t="inlineStr">
        <is>
          <t>ACHC</t>
        </is>
      </c>
      <c r="B1002" s="11" t="inlineStr">
        <is>
          <t>Acadia Healthcare Company, Inc.</t>
        </is>
      </c>
      <c r="C1002" s="11" t="inlineStr">
        <is>
          <t>Medical Care Facilities</t>
        </is>
      </c>
      <c r="D1002" s="11" t="inlineStr">
        <is>
          <t>United States</t>
        </is>
      </c>
      <c r="E1002" s="12" t="n">
        <v>2.78</v>
      </c>
      <c r="F1002" s="13" t="n">
        <v>29.9</v>
      </c>
      <c r="G1002" s="13" t="n">
        <v>33.78571</v>
      </c>
      <c r="H1002" s="14">
        <f>IF(AND(ISNUMBER(F1002),ISNUMBER(G1002),F1002&gt;0),G1002/F1002-1,"")</f>
        <v/>
      </c>
      <c r="I1002" s="13" t="n">
        <v>17</v>
      </c>
      <c r="J1002" s="14">
        <f>IF(AND(ISNUMBER(F1002),ISNUMBER(I1002),F1002&gt;0),I1002/F1002-1,"")</f>
        <v/>
      </c>
      <c r="K1002" s="13" t="n">
        <v>41</v>
      </c>
      <c r="L1002" s="14">
        <f>IF(AND(ISNUMBER(F1002),ISNUMBER(K1002),F1002&gt;0),K1002/F1002-1,"")</f>
        <v/>
      </c>
      <c r="M1002" s="15" t="n">
        <v>14</v>
      </c>
      <c r="N1002" s="16" t="n"/>
      <c r="O1002" s="17">
        <f>IF(AND(ISNUMBER(F1002),ISNUMBER(N1002),F1002&gt;0),N1002/F1002,"")</f>
        <v/>
      </c>
      <c r="P1002" s="18" t="n"/>
      <c r="Q1002" s="18" t="n">
        <v>46330</v>
      </c>
      <c r="R1002" s="16" t="n">
        <v>-12.42</v>
      </c>
      <c r="S1002" s="19">
        <f>IF(AND(ISNUMBER(F1002),ISNUMBER(R1002),R1002&gt;0),F1002/R1002,"")</f>
        <v/>
      </c>
      <c r="T1002" s="18" t="n">
        <v>46323</v>
      </c>
    </row>
    <row r="1003">
      <c r="A1003" s="20" t="inlineStr">
        <is>
          <t>AAP</t>
        </is>
      </c>
      <c r="B1003" s="20" t="inlineStr">
        <is>
          <t>Advance Auto Parts Inc.</t>
        </is>
      </c>
      <c r="C1003" s="20" t="inlineStr">
        <is>
          <t>Auto Parts</t>
        </is>
      </c>
      <c r="D1003" s="20" t="inlineStr">
        <is>
          <t>United States</t>
        </is>
      </c>
      <c r="E1003" s="21" t="n">
        <v>2.77</v>
      </c>
      <c r="F1003" s="22" t="n">
        <v>45.83</v>
      </c>
      <c r="G1003" s="22" t="n">
        <v>48.75</v>
      </c>
      <c r="H1003" s="23">
        <f>IF(AND(ISNUMBER(F1003),ISNUMBER(G1003),F1003&gt;0),G1003/F1003-1,"")</f>
        <v/>
      </c>
      <c r="I1003" s="22" t="n">
        <v>32</v>
      </c>
      <c r="J1003" s="23">
        <f>IF(AND(ISNUMBER(F1003),ISNUMBER(I1003),F1003&gt;0),I1003/F1003-1,"")</f>
        <v/>
      </c>
      <c r="K1003" s="22" t="n">
        <v>70</v>
      </c>
      <c r="L1003" s="23">
        <f>IF(AND(ISNUMBER(F1003),ISNUMBER(K1003),F1003&gt;0),K1003/F1003-1,"")</f>
        <v/>
      </c>
      <c r="M1003" s="24" t="n">
        <v>20</v>
      </c>
      <c r="N1003" s="25" t="n">
        <v>1</v>
      </c>
      <c r="O1003" s="26">
        <f>IF(AND(ISNUMBER(F1003),ISNUMBER(N1003),F1003&gt;0),N1003/F1003,"")</f>
        <v/>
      </c>
      <c r="P1003" s="27" t="n">
        <v>46304</v>
      </c>
      <c r="Q1003" s="27" t="n">
        <v>46331</v>
      </c>
      <c r="R1003" s="25" t="n">
        <v>1.8</v>
      </c>
      <c r="S1003" s="28">
        <f>IF(AND(ISNUMBER(F1003),ISNUMBER(R1003),R1003&gt;0),F1003/R1003,"")</f>
        <v/>
      </c>
      <c r="T1003" s="27" t="n">
        <v>46323</v>
      </c>
    </row>
    <row r="1004">
      <c r="A1004" s="11" t="inlineStr">
        <is>
          <t>LIFE</t>
        </is>
      </c>
      <c r="B1004" s="11" t="inlineStr">
        <is>
          <t>Ethos Technologies Inc.</t>
        </is>
      </c>
      <c r="C1004" s="11" t="inlineStr">
        <is>
          <t>Insurance Brokers</t>
        </is>
      </c>
      <c r="D1004" s="11" t="inlineStr">
        <is>
          <t>United States</t>
        </is>
      </c>
      <c r="E1004" s="12" t="n">
        <v>2.76</v>
      </c>
      <c r="F1004" s="13" t="n">
        <v>42.53</v>
      </c>
      <c r="G1004" s="13" t="n">
        <v>37.5</v>
      </c>
      <c r="H1004" s="14">
        <f>IF(AND(ISNUMBER(F1004),ISNUMBER(G1004),F1004&gt;0),G1004/F1004-1,"")</f>
        <v/>
      </c>
      <c r="I1004" s="13" t="n">
        <v>32</v>
      </c>
      <c r="J1004" s="14">
        <f>IF(AND(ISNUMBER(F1004),ISNUMBER(I1004),F1004&gt;0),I1004/F1004-1,"")</f>
        <v/>
      </c>
      <c r="K1004" s="13" t="n">
        <v>43</v>
      </c>
      <c r="L1004" s="14">
        <f>IF(AND(ISNUMBER(F1004),ISNUMBER(K1004),F1004&gt;0),K1004/F1004-1,"")</f>
        <v/>
      </c>
      <c r="M1004" s="15" t="n">
        <v>8</v>
      </c>
      <c r="N1004" s="16" t="n"/>
      <c r="O1004" s="17">
        <f>IF(AND(ISNUMBER(F1004),ISNUMBER(N1004),F1004&gt;0),N1004/F1004,"")</f>
        <v/>
      </c>
      <c r="P1004" s="18" t="n"/>
      <c r="Q1004" s="18" t="n">
        <v>46328</v>
      </c>
      <c r="R1004" s="16" t="n">
        <v>-2.04</v>
      </c>
      <c r="S1004" s="19">
        <f>IF(AND(ISNUMBER(F1004),ISNUMBER(R1004),R1004&gt;0),F1004/R1004,"")</f>
        <v/>
      </c>
      <c r="T1004" s="18" t="n">
        <v>46323</v>
      </c>
    </row>
    <row r="1005">
      <c r="A1005" s="20" t="inlineStr">
        <is>
          <t>GRBK</t>
        </is>
      </c>
      <c r="B1005" s="20" t="inlineStr">
        <is>
          <t>Green Brick Partners, Inc.</t>
        </is>
      </c>
      <c r="C1005" s="20" t="inlineStr">
        <is>
          <t>Residential Construction</t>
        </is>
      </c>
      <c r="D1005" s="20" t="inlineStr">
        <is>
          <t>United States</t>
        </is>
      </c>
      <c r="E1005" s="21" t="n">
        <v>2.76</v>
      </c>
      <c r="F1005" s="22" t="n">
        <v>64.08</v>
      </c>
      <c r="G1005" s="22" t="n">
        <v>62</v>
      </c>
      <c r="H1005" s="23">
        <f>IF(AND(ISNUMBER(F1005),ISNUMBER(G1005),F1005&gt;0),G1005/F1005-1,"")</f>
        <v/>
      </c>
      <c r="I1005" s="22" t="n">
        <v>62</v>
      </c>
      <c r="J1005" s="23">
        <f>IF(AND(ISNUMBER(F1005),ISNUMBER(I1005),F1005&gt;0),I1005/F1005-1,"")</f>
        <v/>
      </c>
      <c r="K1005" s="22" t="n">
        <v>62</v>
      </c>
      <c r="L1005" s="23">
        <f>IF(AND(ISNUMBER(F1005),ISNUMBER(K1005),F1005&gt;0),K1005/F1005-1,"")</f>
        <v/>
      </c>
      <c r="M1005" s="24" t="n">
        <v>1</v>
      </c>
      <c r="N1005" s="25" t="n"/>
      <c r="O1005" s="26">
        <f>IF(AND(ISNUMBER(F1005),ISNUMBER(N1005),F1005&gt;0),N1005/F1005,"")</f>
        <v/>
      </c>
      <c r="P1005" s="27" t="n"/>
      <c r="Q1005" s="27" t="n">
        <v>46323</v>
      </c>
      <c r="R1005" s="25" t="n">
        <v>6.64</v>
      </c>
      <c r="S1005" s="28">
        <f>IF(AND(ISNUMBER(F1005),ISNUMBER(R1005),R1005&gt;0),F1005/R1005,"")</f>
        <v/>
      </c>
      <c r="T1005" s="27" t="n">
        <v>46323</v>
      </c>
    </row>
    <row r="1006">
      <c r="A1006" s="11" t="inlineStr">
        <is>
          <t>MARA</t>
        </is>
      </c>
      <c r="B1006" s="11" t="inlineStr">
        <is>
          <t>MARA Holdings, Inc.</t>
        </is>
      </c>
      <c r="C1006" s="11" t="inlineStr">
        <is>
          <t>Capital Markets</t>
        </is>
      </c>
      <c r="D1006" s="11" t="inlineStr">
        <is>
          <t>United States</t>
        </is>
      </c>
      <c r="E1006" s="12" t="n">
        <v>2.74</v>
      </c>
      <c r="F1006" s="13" t="n">
        <v>7.09</v>
      </c>
      <c r="G1006" s="13" t="n">
        <v>18.45538</v>
      </c>
      <c r="H1006" s="14">
        <f>IF(AND(ISNUMBER(F1006),ISNUMBER(G1006),F1006&gt;0),G1006/F1006-1,"")</f>
        <v/>
      </c>
      <c r="I1006" s="13" t="n">
        <v>10</v>
      </c>
      <c r="J1006" s="14">
        <f>IF(AND(ISNUMBER(F1006),ISNUMBER(I1006),F1006&gt;0),I1006/F1006-1,"")</f>
        <v/>
      </c>
      <c r="K1006" s="13" t="n">
        <v>30</v>
      </c>
      <c r="L1006" s="14">
        <f>IF(AND(ISNUMBER(F1006),ISNUMBER(K1006),F1006&gt;0),K1006/F1006-1,"")</f>
        <v/>
      </c>
      <c r="M1006" s="15" t="n">
        <v>13</v>
      </c>
      <c r="N1006" s="16" t="n"/>
      <c r="O1006" s="17">
        <f>IF(AND(ISNUMBER(F1006),ISNUMBER(N1006),F1006&gt;0),N1006/F1006,"")</f>
        <v/>
      </c>
      <c r="P1006" s="18" t="n"/>
      <c r="Q1006" s="18" t="n">
        <v>46330</v>
      </c>
      <c r="R1006" s="16" t="n">
        <v>-9.4</v>
      </c>
      <c r="S1006" s="19">
        <f>IF(AND(ISNUMBER(F1006),ISNUMBER(R1006),R1006&gt;0),F1006/R1006,"")</f>
        <v/>
      </c>
      <c r="T1006" s="18" t="n">
        <v>46323</v>
      </c>
    </row>
    <row r="1007">
      <c r="A1007" s="20" t="inlineStr">
        <is>
          <t>ASAN</t>
        </is>
      </c>
      <c r="B1007" s="20" t="inlineStr">
        <is>
          <t>Asana, Inc.</t>
        </is>
      </c>
      <c r="C1007" s="20" t="inlineStr">
        <is>
          <t>Software - Application</t>
        </is>
      </c>
      <c r="D1007" s="20" t="inlineStr">
        <is>
          <t>United States</t>
        </is>
      </c>
      <c r="E1007" s="21" t="n">
        <v>2.72</v>
      </c>
      <c r="F1007" s="22" t="n">
        <v>11.86</v>
      </c>
      <c r="G1007" s="22" t="n">
        <v>10.23077</v>
      </c>
      <c r="H1007" s="23">
        <f>IF(AND(ISNUMBER(F1007),ISNUMBER(G1007),F1007&gt;0),G1007/F1007-1,"")</f>
        <v/>
      </c>
      <c r="I1007" s="22" t="n">
        <v>6.25</v>
      </c>
      <c r="J1007" s="23">
        <f>IF(AND(ISNUMBER(F1007),ISNUMBER(I1007),F1007&gt;0),I1007/F1007-1,"")</f>
        <v/>
      </c>
      <c r="K1007" s="22" t="n">
        <v>15</v>
      </c>
      <c r="L1007" s="23">
        <f>IF(AND(ISNUMBER(F1007),ISNUMBER(K1007),F1007&gt;0),K1007/F1007-1,"")</f>
        <v/>
      </c>
      <c r="M1007" s="24" t="n">
        <v>13</v>
      </c>
      <c r="N1007" s="25" t="n"/>
      <c r="O1007" s="26">
        <f>IF(AND(ISNUMBER(F1007),ISNUMBER(N1007),F1007&gt;0),N1007/F1007,"")</f>
        <v/>
      </c>
      <c r="P1007" s="27" t="n"/>
      <c r="Q1007" s="27" t="n">
        <v>46358</v>
      </c>
      <c r="R1007" s="25" t="n">
        <v>-0.66</v>
      </c>
      <c r="S1007" s="28">
        <f>IF(AND(ISNUMBER(F1007),ISNUMBER(R1007),R1007&gt;0),F1007/R1007,"")</f>
        <v/>
      </c>
      <c r="T1007" s="27" t="n">
        <v>46323</v>
      </c>
    </row>
    <row r="1008">
      <c r="A1008" s="11" t="inlineStr">
        <is>
          <t>KSS</t>
        </is>
      </c>
      <c r="B1008" s="11" t="inlineStr">
        <is>
          <t>Kohl's Corporation</t>
        </is>
      </c>
      <c r="C1008" s="11" t="inlineStr">
        <is>
          <t>Department Stores</t>
        </is>
      </c>
      <c r="D1008" s="11" t="inlineStr">
        <is>
          <t>United States</t>
        </is>
      </c>
      <c r="E1008" s="12" t="n">
        <v>2.7</v>
      </c>
      <c r="F1008" s="13" t="n">
        <v>23.78</v>
      </c>
      <c r="G1008" s="13" t="n">
        <v>19.20833</v>
      </c>
      <c r="H1008" s="14">
        <f>IF(AND(ISNUMBER(F1008),ISNUMBER(G1008),F1008&gt;0),G1008/F1008-1,"")</f>
        <v/>
      </c>
      <c r="I1008" s="13" t="n">
        <v>9</v>
      </c>
      <c r="J1008" s="14">
        <f>IF(AND(ISNUMBER(F1008),ISNUMBER(I1008),F1008&gt;0),I1008/F1008-1,"")</f>
        <v/>
      </c>
      <c r="K1008" s="13" t="n">
        <v>41.5</v>
      </c>
      <c r="L1008" s="14">
        <f>IF(AND(ISNUMBER(F1008),ISNUMBER(K1008),F1008&gt;0),K1008/F1008-1,"")</f>
        <v/>
      </c>
      <c r="M1008" s="15" t="n">
        <v>12</v>
      </c>
      <c r="N1008" s="16" t="n">
        <v>0.5</v>
      </c>
      <c r="O1008" s="17">
        <f>IF(AND(ISNUMBER(F1008),ISNUMBER(N1008),F1008&gt;0),N1008/F1008,"")</f>
        <v/>
      </c>
      <c r="P1008" s="18" t="n">
        <v>46274</v>
      </c>
      <c r="Q1008" s="18" t="n">
        <v>46350</v>
      </c>
      <c r="R1008" s="16" t="n">
        <v>2.33</v>
      </c>
      <c r="S1008" s="19">
        <f>IF(AND(ISNUMBER(F1008),ISNUMBER(R1008),R1008&gt;0),F1008/R1008,"")</f>
        <v/>
      </c>
      <c r="T1008" s="18" t="n">
        <v>46323</v>
      </c>
    </row>
    <row r="1009">
      <c r="A1009" s="20" t="inlineStr">
        <is>
          <t>AMC</t>
        </is>
      </c>
      <c r="B1009" s="20" t="inlineStr">
        <is>
          <t>AMC Entertainment Holdings, Inc</t>
        </is>
      </c>
      <c r="C1009" s="20" t="inlineStr">
        <is>
          <t>Entertainment</t>
        </is>
      </c>
      <c r="D1009" s="20" t="inlineStr">
        <is>
          <t>United States</t>
        </is>
      </c>
      <c r="E1009" s="21" t="n">
        <v>2.67</v>
      </c>
      <c r="F1009" s="22" t="n">
        <v>2.99</v>
      </c>
      <c r="G1009" s="22" t="n">
        <v>3.36667</v>
      </c>
      <c r="H1009" s="23">
        <f>IF(AND(ISNUMBER(F1009),ISNUMBER(G1009),F1009&gt;0),G1009/F1009-1,"")</f>
        <v/>
      </c>
      <c r="I1009" s="22" t="n">
        <v>2.2</v>
      </c>
      <c r="J1009" s="23">
        <f>IF(AND(ISNUMBER(F1009),ISNUMBER(I1009),F1009&gt;0),I1009/F1009-1,"")</f>
        <v/>
      </c>
      <c r="K1009" s="22" t="n">
        <v>5</v>
      </c>
      <c r="L1009" s="23">
        <f>IF(AND(ISNUMBER(F1009),ISNUMBER(K1009),F1009&gt;0),K1009/F1009-1,"")</f>
        <v/>
      </c>
      <c r="M1009" s="24" t="n">
        <v>6</v>
      </c>
      <c r="N1009" s="25" t="n"/>
      <c r="O1009" s="26">
        <f>IF(AND(ISNUMBER(F1009),ISNUMBER(N1009),F1009&gt;0),N1009/F1009,"")</f>
        <v/>
      </c>
      <c r="P1009" s="27" t="n"/>
      <c r="Q1009" s="27" t="n">
        <v>46330</v>
      </c>
      <c r="R1009" s="25" t="n">
        <v>-1.02</v>
      </c>
      <c r="S1009" s="28">
        <f>IF(AND(ISNUMBER(F1009),ISNUMBER(R1009),R1009&gt;0),F1009/R1009,"")</f>
        <v/>
      </c>
      <c r="T1009" s="27" t="n">
        <v>46323</v>
      </c>
    </row>
    <row r="1010">
      <c r="A1010" s="11" t="inlineStr">
        <is>
          <t>LBTYA</t>
        </is>
      </c>
      <c r="B1010" s="11" t="inlineStr">
        <is>
          <t>Liberty Global Ltd.</t>
        </is>
      </c>
      <c r="C1010" s="11" t="inlineStr">
        <is>
          <t>Telecom Services</t>
        </is>
      </c>
      <c r="D1010" s="11" t="inlineStr">
        <is>
          <t>Bermuda</t>
        </is>
      </c>
      <c r="E1010" s="12" t="n">
        <v>2.67</v>
      </c>
      <c r="F1010" s="13" t="n">
        <v>7.82</v>
      </c>
      <c r="G1010" s="13" t="n">
        <v>14.46923</v>
      </c>
      <c r="H1010" s="14">
        <f>IF(AND(ISNUMBER(F1010),ISNUMBER(G1010),F1010&gt;0),G1010/F1010-1,"")</f>
        <v/>
      </c>
      <c r="I1010" s="13" t="n">
        <v>7</v>
      </c>
      <c r="J1010" s="14">
        <f>IF(AND(ISNUMBER(F1010),ISNUMBER(I1010),F1010&gt;0),I1010/F1010-1,"")</f>
        <v/>
      </c>
      <c r="K1010" s="13" t="n">
        <v>25</v>
      </c>
      <c r="L1010" s="14">
        <f>IF(AND(ISNUMBER(F1010),ISNUMBER(K1010),F1010&gt;0),K1010/F1010-1,"")</f>
        <v/>
      </c>
      <c r="M1010" s="15" t="n">
        <v>13</v>
      </c>
      <c r="N1010" s="16" t="n"/>
      <c r="O1010" s="17">
        <f>IF(AND(ISNUMBER(F1010),ISNUMBER(N1010),F1010&gt;0),N1010/F1010,"")</f>
        <v/>
      </c>
      <c r="P1010" s="18" t="n"/>
      <c r="Q1010" s="18" t="n">
        <v>46329</v>
      </c>
      <c r="R1010" s="16" t="n">
        <v>-8.949999999999999</v>
      </c>
      <c r="S1010" s="19">
        <f>IF(AND(ISNUMBER(F1010),ISNUMBER(R1010),R1010&gt;0),F1010/R1010,"")</f>
        <v/>
      </c>
      <c r="T1010" s="18" t="n">
        <v>46323</v>
      </c>
    </row>
    <row r="1011">
      <c r="A1011" s="20" t="inlineStr">
        <is>
          <t>RH</t>
        </is>
      </c>
      <c r="B1011" s="20" t="inlineStr">
        <is>
          <t>RH</t>
        </is>
      </c>
      <c r="C1011" s="20" t="inlineStr">
        <is>
          <t>Specialty Retail</t>
        </is>
      </c>
      <c r="D1011" s="20" t="inlineStr">
        <is>
          <t>United States</t>
        </is>
      </c>
      <c r="E1011" s="21" t="n">
        <v>2.67</v>
      </c>
      <c r="F1011" s="22" t="n">
        <v>140.76</v>
      </c>
      <c r="G1011" s="22" t="n">
        <v>164.41176</v>
      </c>
      <c r="H1011" s="23">
        <f>IF(AND(ISNUMBER(F1011),ISNUMBER(G1011),F1011&gt;0),G1011/F1011-1,"")</f>
        <v/>
      </c>
      <c r="I1011" s="22" t="n">
        <v>81</v>
      </c>
      <c r="J1011" s="23">
        <f>IF(AND(ISNUMBER(F1011),ISNUMBER(I1011),F1011&gt;0),I1011/F1011-1,"")</f>
        <v/>
      </c>
      <c r="K1011" s="22" t="n">
        <v>258</v>
      </c>
      <c r="L1011" s="23">
        <f>IF(AND(ISNUMBER(F1011),ISNUMBER(K1011),F1011&gt;0),K1011/F1011-1,"")</f>
        <v/>
      </c>
      <c r="M1011" s="24" t="n">
        <v>17</v>
      </c>
      <c r="N1011" s="25" t="n"/>
      <c r="O1011" s="26">
        <f>IF(AND(ISNUMBER(F1011),ISNUMBER(N1011),F1011&gt;0),N1011/F1011,"")</f>
        <v/>
      </c>
      <c r="P1011" s="27" t="n"/>
      <c r="Q1011" s="27" t="n">
        <v>46366</v>
      </c>
      <c r="R1011" s="25" t="n">
        <v>5.66</v>
      </c>
      <c r="S1011" s="28">
        <f>IF(AND(ISNUMBER(F1011),ISNUMBER(R1011),R1011&gt;0),F1011/R1011,"")</f>
        <v/>
      </c>
      <c r="T1011" s="27" t="n">
        <v>46323</v>
      </c>
    </row>
    <row r="1012">
      <c r="A1012" s="11" t="inlineStr">
        <is>
          <t>QS</t>
        </is>
      </c>
      <c r="B1012" s="11" t="inlineStr">
        <is>
          <t>QuantumScape Corporation</t>
        </is>
      </c>
      <c r="C1012" s="11" t="inlineStr">
        <is>
          <t>Auto Parts</t>
        </is>
      </c>
      <c r="D1012" s="11" t="inlineStr">
        <is>
          <t>United States</t>
        </is>
      </c>
      <c r="E1012" s="12" t="n">
        <v>2.59</v>
      </c>
      <c r="F1012" s="13" t="n">
        <v>4.18</v>
      </c>
      <c r="G1012" s="13" t="n">
        <v>5.4125</v>
      </c>
      <c r="H1012" s="14">
        <f>IF(AND(ISNUMBER(F1012),ISNUMBER(G1012),F1012&gt;0),G1012/F1012-1,"")</f>
        <v/>
      </c>
      <c r="I1012" s="13" t="n">
        <v>2.5</v>
      </c>
      <c r="J1012" s="14">
        <f>IF(AND(ISNUMBER(F1012),ISNUMBER(I1012),F1012&gt;0),I1012/F1012-1,"")</f>
        <v/>
      </c>
      <c r="K1012" s="13" t="n">
        <v>8.300000000000001</v>
      </c>
      <c r="L1012" s="14">
        <f>IF(AND(ISNUMBER(F1012),ISNUMBER(K1012),F1012&gt;0),K1012/F1012-1,"")</f>
        <v/>
      </c>
      <c r="M1012" s="15" t="n">
        <v>8</v>
      </c>
      <c r="N1012" s="16" t="n"/>
      <c r="O1012" s="17">
        <f>IF(AND(ISNUMBER(F1012),ISNUMBER(N1012),F1012&gt;0),N1012/F1012,"")</f>
        <v/>
      </c>
      <c r="P1012" s="18" t="n"/>
      <c r="Q1012" s="18" t="n">
        <v>46316</v>
      </c>
      <c r="R1012" s="16" t="n">
        <v>-0.63</v>
      </c>
      <c r="S1012" s="19">
        <f>IF(AND(ISNUMBER(F1012),ISNUMBER(R1012),R1012&gt;0),F1012/R1012,"")</f>
        <v/>
      </c>
      <c r="T1012" s="18" t="n">
        <v>46323</v>
      </c>
    </row>
    <row r="1013">
      <c r="A1013" s="20" t="inlineStr">
        <is>
          <t>GPK</t>
        </is>
      </c>
      <c r="B1013" s="20" t="inlineStr">
        <is>
          <t>Graphic Packaging Holding Compa</t>
        </is>
      </c>
      <c r="C1013" s="20" t="inlineStr">
        <is>
          <t>Packaging &amp; Containers</t>
        </is>
      </c>
      <c r="D1013" s="20" t="inlineStr">
        <is>
          <t>United States</t>
        </is>
      </c>
      <c r="E1013" s="21" t="n">
        <v>2.57</v>
      </c>
      <c r="F1013" s="22" t="n">
        <v>8.69</v>
      </c>
      <c r="G1013" s="22" t="n">
        <v>10.95</v>
      </c>
      <c r="H1013" s="23">
        <f>IF(AND(ISNUMBER(F1013),ISNUMBER(G1013),F1013&gt;0),G1013/F1013-1,"")</f>
        <v/>
      </c>
      <c r="I1013" s="22" t="n">
        <v>9</v>
      </c>
      <c r="J1013" s="23">
        <f>IF(AND(ISNUMBER(F1013),ISNUMBER(I1013),F1013&gt;0),I1013/F1013-1,"")</f>
        <v/>
      </c>
      <c r="K1013" s="22" t="n">
        <v>17</v>
      </c>
      <c r="L1013" s="23">
        <f>IF(AND(ISNUMBER(F1013),ISNUMBER(K1013),F1013&gt;0),K1013/F1013-1,"")</f>
        <v/>
      </c>
      <c r="M1013" s="24" t="n">
        <v>10</v>
      </c>
      <c r="N1013" s="25" t="n">
        <v>0.44</v>
      </c>
      <c r="O1013" s="26">
        <f>IF(AND(ISNUMBER(F1013),ISNUMBER(N1013),F1013&gt;0),N1013/F1013,"")</f>
        <v/>
      </c>
      <c r="P1013" s="27" t="n">
        <v>46280</v>
      </c>
      <c r="Q1013" s="27" t="n">
        <v>46329</v>
      </c>
      <c r="R1013" s="25" t="n">
        <v>0.66</v>
      </c>
      <c r="S1013" s="28">
        <f>IF(AND(ISNUMBER(F1013),ISNUMBER(R1013),R1013&gt;0),F1013/R1013,"")</f>
        <v/>
      </c>
      <c r="T1013" s="27" t="n">
        <v>46323</v>
      </c>
    </row>
    <row r="1014">
      <c r="A1014" s="11" t="inlineStr">
        <is>
          <t>BHF</t>
        </is>
      </c>
      <c r="B1014" s="11" t="inlineStr">
        <is>
          <t>Brighthouse Financial, Inc.</t>
        </is>
      </c>
      <c r="C1014" s="11" t="inlineStr">
        <is>
          <t>Insurance - Life</t>
        </is>
      </c>
      <c r="D1014" s="11" t="inlineStr">
        <is>
          <t>United States</t>
        </is>
      </c>
      <c r="E1014" s="12" t="n">
        <v>2.57</v>
      </c>
      <c r="F1014" s="13" t="n">
        <v>44.73</v>
      </c>
      <c r="G1014" s="13" t="n">
        <v>61.66667</v>
      </c>
      <c r="H1014" s="14">
        <f>IF(AND(ISNUMBER(F1014),ISNUMBER(G1014),F1014&gt;0),G1014/F1014-1,"")</f>
        <v/>
      </c>
      <c r="I1014" s="13" t="n">
        <v>55</v>
      </c>
      <c r="J1014" s="14">
        <f>IF(AND(ISNUMBER(F1014),ISNUMBER(I1014),F1014&gt;0),I1014/F1014-1,"")</f>
        <v/>
      </c>
      <c r="K1014" s="13" t="n">
        <v>70</v>
      </c>
      <c r="L1014" s="14">
        <f>IF(AND(ISNUMBER(F1014),ISNUMBER(K1014),F1014&gt;0),K1014/F1014-1,"")</f>
        <v/>
      </c>
      <c r="M1014" s="15" t="n">
        <v>6</v>
      </c>
      <c r="N1014" s="16" t="n"/>
      <c r="O1014" s="17">
        <f>IF(AND(ISNUMBER(F1014),ISNUMBER(N1014),F1014&gt;0),N1014/F1014,"")</f>
        <v/>
      </c>
      <c r="P1014" s="18" t="n"/>
      <c r="Q1014" s="18" t="n">
        <v>46331</v>
      </c>
      <c r="R1014" s="16" t="n">
        <v>12.66</v>
      </c>
      <c r="S1014" s="19">
        <f>IF(AND(ISNUMBER(F1014),ISNUMBER(R1014),R1014&gt;0),F1014/R1014,"")</f>
        <v/>
      </c>
      <c r="T1014" s="18" t="n">
        <v>46323</v>
      </c>
    </row>
    <row r="1015">
      <c r="A1015" s="20" t="inlineStr">
        <is>
          <t>TTAM</t>
        </is>
      </c>
      <c r="B1015" s="20" t="inlineStr">
        <is>
          <t>Titan America SA</t>
        </is>
      </c>
      <c r="C1015" s="20" t="inlineStr">
        <is>
          <t>Building Materials</t>
        </is>
      </c>
      <c r="D1015" s="20" t="inlineStr">
        <is>
          <t>Belgium</t>
        </is>
      </c>
      <c r="E1015" s="21" t="n">
        <v>2.52</v>
      </c>
      <c r="F1015" s="22" t="n">
        <v>13.66</v>
      </c>
      <c r="G1015" s="22" t="n">
        <v>17.57143</v>
      </c>
      <c r="H1015" s="23">
        <f>IF(AND(ISNUMBER(F1015),ISNUMBER(G1015),F1015&gt;0),G1015/F1015-1,"")</f>
        <v/>
      </c>
      <c r="I1015" s="22" t="n">
        <v>14</v>
      </c>
      <c r="J1015" s="23">
        <f>IF(AND(ISNUMBER(F1015),ISNUMBER(I1015),F1015&gt;0),I1015/F1015-1,"")</f>
        <v/>
      </c>
      <c r="K1015" s="22" t="n">
        <v>20</v>
      </c>
      <c r="L1015" s="23">
        <f>IF(AND(ISNUMBER(F1015),ISNUMBER(K1015),F1015&gt;0),K1015/F1015-1,"")</f>
        <v/>
      </c>
      <c r="M1015" s="24" t="n">
        <v>7</v>
      </c>
      <c r="N1015" s="25" t="n">
        <v>0.16</v>
      </c>
      <c r="O1015" s="26">
        <f>IF(AND(ISNUMBER(F1015),ISNUMBER(N1015),F1015&gt;0),N1015/F1015,"")</f>
        <v/>
      </c>
      <c r="P1015" s="27" t="n">
        <v>46296</v>
      </c>
      <c r="Q1015" s="27" t="n">
        <v>46330</v>
      </c>
      <c r="R1015" s="25" t="n">
        <v>0.95</v>
      </c>
      <c r="S1015" s="28">
        <f>IF(AND(ISNUMBER(F1015),ISNUMBER(R1015),R1015&gt;0),F1015/R1015,"")</f>
        <v/>
      </c>
      <c r="T1015" s="27" t="n">
        <v>46323</v>
      </c>
    </row>
    <row r="1016">
      <c r="A1016" s="11" t="inlineStr">
        <is>
          <t>CLOV</t>
        </is>
      </c>
      <c r="B1016" s="11" t="inlineStr">
        <is>
          <t>Clover Health Investments, Corp</t>
        </is>
      </c>
      <c r="C1016" s="11" t="inlineStr">
        <is>
          <t>Healthcare Plans</t>
        </is>
      </c>
      <c r="D1016" s="11" t="inlineStr">
        <is>
          <t>United States</t>
        </is>
      </c>
      <c r="E1016" s="12" t="n">
        <v>2.46</v>
      </c>
      <c r="F1016" s="13" t="n">
        <v>4.63</v>
      </c>
      <c r="G1016" s="13" t="n">
        <v>5.375</v>
      </c>
      <c r="H1016" s="14">
        <f>IF(AND(ISNUMBER(F1016),ISNUMBER(G1016),F1016&gt;0),G1016/F1016-1,"")</f>
        <v/>
      </c>
      <c r="I1016" s="13" t="n">
        <v>5</v>
      </c>
      <c r="J1016" s="14">
        <f>IF(AND(ISNUMBER(F1016),ISNUMBER(I1016),F1016&gt;0),I1016/F1016-1,"")</f>
        <v/>
      </c>
      <c r="K1016" s="13" t="n">
        <v>6</v>
      </c>
      <c r="L1016" s="14">
        <f>IF(AND(ISNUMBER(F1016),ISNUMBER(K1016),F1016&gt;0),K1016/F1016-1,"")</f>
        <v/>
      </c>
      <c r="M1016" s="15" t="n">
        <v>4</v>
      </c>
      <c r="N1016" s="16" t="n"/>
      <c r="O1016" s="17">
        <f>IF(AND(ISNUMBER(F1016),ISNUMBER(N1016),F1016&gt;0),N1016/F1016,"")</f>
        <v/>
      </c>
      <c r="P1016" s="18" t="n"/>
      <c r="Q1016" s="18" t="n">
        <v>46330</v>
      </c>
      <c r="R1016" s="16" t="n">
        <v>-0.05</v>
      </c>
      <c r="S1016" s="19">
        <f>IF(AND(ISNUMBER(F1016),ISNUMBER(R1016),R1016&gt;0),F1016/R1016,"")</f>
        <v/>
      </c>
      <c r="T1016" s="18" t="n">
        <v>46323</v>
      </c>
    </row>
    <row r="1017">
      <c r="A1017" s="20" t="inlineStr">
        <is>
          <t>NVTS</t>
        </is>
      </c>
      <c r="B1017" s="20" t="inlineStr">
        <is>
          <t>Navitas Semiconductor Corporati</t>
        </is>
      </c>
      <c r="C1017" s="20" t="inlineStr">
        <is>
          <t>Semiconductors</t>
        </is>
      </c>
      <c r="D1017" s="20" t="inlineStr">
        <is>
          <t>United States</t>
        </is>
      </c>
      <c r="E1017" s="21" t="n">
        <v>2.45</v>
      </c>
      <c r="F1017" s="22" t="n">
        <v>9.35</v>
      </c>
      <c r="G1017" s="22" t="n">
        <v>14.075</v>
      </c>
      <c r="H1017" s="23">
        <f>IF(AND(ISNUMBER(F1017),ISNUMBER(G1017),F1017&gt;0),G1017/F1017-1,"")</f>
        <v/>
      </c>
      <c r="I1017" s="22" t="n">
        <v>8</v>
      </c>
      <c r="J1017" s="23">
        <f>IF(AND(ISNUMBER(F1017),ISNUMBER(I1017),F1017&gt;0),I1017/F1017-1,"")</f>
        <v/>
      </c>
      <c r="K1017" s="22" t="n">
        <v>21</v>
      </c>
      <c r="L1017" s="23">
        <f>IF(AND(ISNUMBER(F1017),ISNUMBER(K1017),F1017&gt;0),K1017/F1017-1,"")</f>
        <v/>
      </c>
      <c r="M1017" s="24" t="n">
        <v>8</v>
      </c>
      <c r="N1017" s="25" t="n"/>
      <c r="O1017" s="26">
        <f>IF(AND(ISNUMBER(F1017),ISNUMBER(N1017),F1017&gt;0),N1017/F1017,"")</f>
        <v/>
      </c>
      <c r="P1017" s="27" t="n"/>
      <c r="Q1017" s="27" t="n">
        <v>46329</v>
      </c>
      <c r="R1017" s="25" t="n">
        <v>-1.34</v>
      </c>
      <c r="S1017" s="28">
        <f>IF(AND(ISNUMBER(F1017),ISNUMBER(R1017),R1017&gt;0),F1017/R1017,"")</f>
        <v/>
      </c>
      <c r="T1017" s="27" t="n">
        <v>46323</v>
      </c>
    </row>
    <row r="1018">
      <c r="A1018" s="11" t="inlineStr">
        <is>
          <t>RXRX</t>
        </is>
      </c>
      <c r="B1018" s="11" t="inlineStr">
        <is>
          <t>Recursion Pharmaceuticals, Inc.</t>
        </is>
      </c>
      <c r="C1018" s="11" t="inlineStr">
        <is>
          <t>Biotechnology</t>
        </is>
      </c>
      <c r="D1018" s="11" t="inlineStr">
        <is>
          <t>United States</t>
        </is>
      </c>
      <c r="E1018" s="12" t="n">
        <v>2.42</v>
      </c>
      <c r="F1018" s="13" t="n">
        <v>4.05</v>
      </c>
      <c r="G1018" s="13" t="n">
        <v>7.31667</v>
      </c>
      <c r="H1018" s="14">
        <f>IF(AND(ISNUMBER(F1018),ISNUMBER(G1018),F1018&gt;0),G1018/F1018-1,"")</f>
        <v/>
      </c>
      <c r="I1018" s="13" t="n">
        <v>4</v>
      </c>
      <c r="J1018" s="14">
        <f>IF(AND(ISNUMBER(F1018),ISNUMBER(I1018),F1018&gt;0),I1018/F1018-1,"")</f>
        <v/>
      </c>
      <c r="K1018" s="13" t="n">
        <v>10</v>
      </c>
      <c r="L1018" s="14">
        <f>IF(AND(ISNUMBER(F1018),ISNUMBER(K1018),F1018&gt;0),K1018/F1018-1,"")</f>
        <v/>
      </c>
      <c r="M1018" s="15" t="n">
        <v>6</v>
      </c>
      <c r="N1018" s="16" t="n"/>
      <c r="O1018" s="17">
        <f>IF(AND(ISNUMBER(F1018),ISNUMBER(N1018),F1018&gt;0),N1018/F1018,"")</f>
        <v/>
      </c>
      <c r="P1018" s="18" t="n"/>
      <c r="Q1018" s="18" t="n">
        <v>46328</v>
      </c>
      <c r="R1018" s="16" t="n">
        <v>-1</v>
      </c>
      <c r="S1018" s="19">
        <f>IF(AND(ISNUMBER(F1018),ISNUMBER(R1018),R1018&gt;0),F1018/R1018,"")</f>
        <v/>
      </c>
      <c r="T1018" s="18" t="n">
        <v>46323</v>
      </c>
    </row>
    <row r="1019">
      <c r="A1019" s="20" t="inlineStr">
        <is>
          <t>VERX</t>
        </is>
      </c>
      <c r="B1019" s="20" t="inlineStr">
        <is>
          <t>Vertex, Inc.</t>
        </is>
      </c>
      <c r="C1019" s="20" t="inlineStr">
        <is>
          <t>Software - Application</t>
        </is>
      </c>
      <c r="D1019" s="20" t="inlineStr">
        <is>
          <t>United States</t>
        </is>
      </c>
      <c r="E1019" s="21" t="n">
        <v>2.4</v>
      </c>
      <c r="F1019" s="22" t="n">
        <v>14.8</v>
      </c>
      <c r="G1019" s="22" t="n">
        <v>17.07692</v>
      </c>
      <c r="H1019" s="23">
        <f>IF(AND(ISNUMBER(F1019),ISNUMBER(G1019),F1019&gt;0),G1019/F1019-1,"")</f>
        <v/>
      </c>
      <c r="I1019" s="22" t="n">
        <v>12</v>
      </c>
      <c r="J1019" s="23">
        <f>IF(AND(ISNUMBER(F1019),ISNUMBER(I1019),F1019&gt;0),I1019/F1019-1,"")</f>
        <v/>
      </c>
      <c r="K1019" s="22" t="n">
        <v>25</v>
      </c>
      <c r="L1019" s="23">
        <f>IF(AND(ISNUMBER(F1019),ISNUMBER(K1019),F1019&gt;0),K1019/F1019-1,"")</f>
        <v/>
      </c>
      <c r="M1019" s="24" t="n">
        <v>13</v>
      </c>
      <c r="N1019" s="25" t="n"/>
      <c r="O1019" s="26">
        <f>IF(AND(ISNUMBER(F1019),ISNUMBER(N1019),F1019&gt;0),N1019/F1019,"")</f>
        <v/>
      </c>
      <c r="P1019" s="27" t="n"/>
      <c r="Q1019" s="27" t="n">
        <v>46330</v>
      </c>
      <c r="R1019" s="25" t="n">
        <v>0.01</v>
      </c>
      <c r="S1019" s="28">
        <f>IF(AND(ISNUMBER(F1019),ISNUMBER(R1019),R1019&gt;0),F1019/R1019,"")</f>
        <v/>
      </c>
      <c r="T1019" s="27" t="n">
        <v>46323</v>
      </c>
    </row>
    <row r="1020">
      <c r="A1020" s="11" t="inlineStr">
        <is>
          <t>SMR</t>
        </is>
      </c>
      <c r="B1020" s="11" t="inlineStr">
        <is>
          <t>NuScale Power Corporation</t>
        </is>
      </c>
      <c r="C1020" s="11" t="inlineStr">
        <is>
          <t>Specialty Industrial Machinery</t>
        </is>
      </c>
      <c r="D1020" s="11" t="inlineStr">
        <is>
          <t>United States</t>
        </is>
      </c>
      <c r="E1020" s="12" t="n">
        <v>2.34</v>
      </c>
      <c r="F1020" s="13" t="n">
        <v>5.7</v>
      </c>
      <c r="G1020" s="13" t="n">
        <v>11.06667</v>
      </c>
      <c r="H1020" s="14">
        <f>IF(AND(ISNUMBER(F1020),ISNUMBER(G1020),F1020&gt;0),G1020/F1020-1,"")</f>
        <v/>
      </c>
      <c r="I1020" s="13" t="n">
        <v>4</v>
      </c>
      <c r="J1020" s="14">
        <f>IF(AND(ISNUMBER(F1020),ISNUMBER(I1020),F1020&gt;0),I1020/F1020-1,"")</f>
        <v/>
      </c>
      <c r="K1020" s="13" t="n">
        <v>20</v>
      </c>
      <c r="L1020" s="14">
        <f>IF(AND(ISNUMBER(F1020),ISNUMBER(K1020),F1020&gt;0),K1020/F1020-1,"")</f>
        <v/>
      </c>
      <c r="M1020" s="15" t="n">
        <v>15</v>
      </c>
      <c r="N1020" s="16" t="n"/>
      <c r="O1020" s="17">
        <f>IF(AND(ISNUMBER(F1020),ISNUMBER(N1020),F1020&gt;0),N1020/F1020,"")</f>
        <v/>
      </c>
      <c r="P1020" s="18" t="n"/>
      <c r="Q1020" s="18" t="n">
        <v>46331</v>
      </c>
      <c r="R1020" s="16" t="n">
        <v>-2.92</v>
      </c>
      <c r="S1020" s="19">
        <f>IF(AND(ISNUMBER(F1020),ISNUMBER(R1020),R1020&gt;0),F1020/R1020,"")</f>
        <v/>
      </c>
      <c r="T1020" s="18" t="n">
        <v>46323</v>
      </c>
    </row>
    <row r="1021">
      <c r="A1021" s="20" t="inlineStr">
        <is>
          <t>PTON</t>
        </is>
      </c>
      <c r="B1021" s="20" t="inlineStr">
        <is>
          <t>Peloton Interactive, Inc.</t>
        </is>
      </c>
      <c r="C1021" s="20" t="inlineStr">
        <is>
          <t>Leisure</t>
        </is>
      </c>
      <c r="D1021" s="20" t="inlineStr">
        <is>
          <t>United States</t>
        </is>
      </c>
      <c r="E1021" s="21" t="n">
        <v>2.33</v>
      </c>
      <c r="F1021" s="22" t="n">
        <v>5.3</v>
      </c>
      <c r="G1021" s="22" t="n">
        <v>7.83333</v>
      </c>
      <c r="H1021" s="23">
        <f>IF(AND(ISNUMBER(F1021),ISNUMBER(G1021),F1021&gt;0),G1021/F1021-1,"")</f>
        <v/>
      </c>
      <c r="I1021" s="22" t="n">
        <v>4</v>
      </c>
      <c r="J1021" s="23">
        <f>IF(AND(ISNUMBER(F1021),ISNUMBER(I1021),F1021&gt;0),I1021/F1021-1,"")</f>
        <v/>
      </c>
      <c r="K1021" s="22" t="n">
        <v>20</v>
      </c>
      <c r="L1021" s="23">
        <f>IF(AND(ISNUMBER(F1021),ISNUMBER(K1021),F1021&gt;0),K1021/F1021-1,"")</f>
        <v/>
      </c>
      <c r="M1021" s="24" t="n">
        <v>15</v>
      </c>
      <c r="N1021" s="25" t="n"/>
      <c r="O1021" s="26">
        <f>IF(AND(ISNUMBER(F1021),ISNUMBER(N1021),F1021&gt;0),N1021/F1021,"")</f>
        <v/>
      </c>
      <c r="P1021" s="27" t="n"/>
      <c r="Q1021" s="27" t="n">
        <v>46331</v>
      </c>
      <c r="R1021" s="25" t="n">
        <v>0.14</v>
      </c>
      <c r="S1021" s="28">
        <f>IF(AND(ISNUMBER(F1021),ISNUMBER(R1021),R1021&gt;0),F1021/R1021,"")</f>
        <v/>
      </c>
      <c r="T1021" s="27" t="n">
        <v>46323</v>
      </c>
    </row>
    <row r="1022">
      <c r="A1022" s="11" t="inlineStr">
        <is>
          <t>UPST</t>
        </is>
      </c>
      <c r="B1022" s="11" t="inlineStr">
        <is>
          <t>Upstart Holdings, Inc.</t>
        </is>
      </c>
      <c r="C1022" s="11" t="inlineStr">
        <is>
          <t>Credit Services</t>
        </is>
      </c>
      <c r="D1022" s="11" t="inlineStr">
        <is>
          <t>United States</t>
        </is>
      </c>
      <c r="E1022" s="12" t="n">
        <v>2.31</v>
      </c>
      <c r="F1022" s="13" t="n">
        <v>23.71</v>
      </c>
      <c r="G1022" s="13" t="n">
        <v>38.375</v>
      </c>
      <c r="H1022" s="14">
        <f>IF(AND(ISNUMBER(F1022),ISNUMBER(G1022),F1022&gt;0),G1022/F1022-1,"")</f>
        <v/>
      </c>
      <c r="I1022" s="13" t="n">
        <v>18</v>
      </c>
      <c r="J1022" s="14">
        <f>IF(AND(ISNUMBER(F1022),ISNUMBER(I1022),F1022&gt;0),I1022/F1022-1,"")</f>
        <v/>
      </c>
      <c r="K1022" s="13" t="n">
        <v>61</v>
      </c>
      <c r="L1022" s="14">
        <f>IF(AND(ISNUMBER(F1022),ISNUMBER(K1022),F1022&gt;0),K1022/F1022-1,"")</f>
        <v/>
      </c>
      <c r="M1022" s="15" t="n">
        <v>16</v>
      </c>
      <c r="N1022" s="16" t="n"/>
      <c r="O1022" s="17">
        <f>IF(AND(ISNUMBER(F1022),ISNUMBER(N1022),F1022&gt;0),N1022/F1022,"")</f>
        <v/>
      </c>
      <c r="P1022" s="18" t="n"/>
      <c r="Q1022" s="18" t="n">
        <v>46329</v>
      </c>
      <c r="R1022" s="16" t="n">
        <v>0.5</v>
      </c>
      <c r="S1022" s="19">
        <f>IF(AND(ISNUMBER(F1022),ISNUMBER(R1022),R1022&gt;0),F1022/R1022,"")</f>
        <v/>
      </c>
      <c r="T1022" s="18" t="n">
        <v>46323</v>
      </c>
    </row>
    <row r="1023">
      <c r="A1023" s="20" t="inlineStr">
        <is>
          <t>TV</t>
        </is>
      </c>
      <c r="B1023" s="20" t="inlineStr">
        <is>
          <t>Grupo Televisa S.A.B.</t>
        </is>
      </c>
      <c r="C1023" s="20" t="inlineStr">
        <is>
          <t>Telecom Services</t>
        </is>
      </c>
      <c r="D1023" s="20" t="inlineStr">
        <is>
          <t>Mexico</t>
        </is>
      </c>
      <c r="E1023" s="21" t="n">
        <v>2.3</v>
      </c>
      <c r="F1023" s="22" t="n">
        <v>2.17</v>
      </c>
      <c r="G1023" s="22" t="n">
        <v>3.9089048</v>
      </c>
      <c r="H1023" s="23">
        <f>IF(AND(ISNUMBER(F1023),ISNUMBER(G1023),F1023&gt;0),G1023/F1023-1,"")</f>
        <v/>
      </c>
      <c r="I1023" s="22" t="n">
        <v>2.4457827</v>
      </c>
      <c r="J1023" s="23">
        <f>IF(AND(ISNUMBER(F1023),ISNUMBER(I1023),F1023&gt;0),I1023/F1023-1,"")</f>
        <v/>
      </c>
      <c r="K1023" s="22" t="n">
        <v>9.8326235</v>
      </c>
      <c r="L1023" s="23">
        <f>IF(AND(ISNUMBER(F1023),ISNUMBER(K1023),F1023&gt;0),K1023/F1023-1,"")</f>
        <v/>
      </c>
      <c r="M1023" s="24" t="n">
        <v>7</v>
      </c>
      <c r="N1023" s="25" t="n"/>
      <c r="O1023" s="26">
        <f>IF(AND(ISNUMBER(F1023),ISNUMBER(N1023),F1023&gt;0),N1023/F1023,"")</f>
        <v/>
      </c>
      <c r="P1023" s="27" t="n"/>
      <c r="Q1023" s="27" t="n">
        <v>46324</v>
      </c>
      <c r="R1023" s="25" t="n">
        <v>-93.05</v>
      </c>
      <c r="S1023" s="28">
        <f>IF(AND(ISNUMBER(F1023),ISNUMBER(R1023),R1023&gt;0),F1023/R1023,"")</f>
        <v/>
      </c>
      <c r="T1023" s="27" t="n">
        <v>46323</v>
      </c>
    </row>
    <row r="1024">
      <c r="A1024" s="11" t="inlineStr">
        <is>
          <t>GRND</t>
        </is>
      </c>
      <c r="B1024" s="11" t="inlineStr">
        <is>
          <t>Grindr Inc.</t>
        </is>
      </c>
      <c r="C1024" s="11" t="inlineStr">
        <is>
          <t>Software - Application</t>
        </is>
      </c>
      <c r="D1024" s="11" t="inlineStr">
        <is>
          <t>United States</t>
        </is>
      </c>
      <c r="E1024" s="12" t="n">
        <v>2.25</v>
      </c>
      <c r="F1024" s="13" t="n">
        <v>12.94</v>
      </c>
      <c r="G1024" s="13" t="n">
        <v>20.8</v>
      </c>
      <c r="H1024" s="14">
        <f>IF(AND(ISNUMBER(F1024),ISNUMBER(G1024),F1024&gt;0),G1024/F1024-1,"")</f>
        <v/>
      </c>
      <c r="I1024" s="13" t="n">
        <v>19</v>
      </c>
      <c r="J1024" s="14">
        <f>IF(AND(ISNUMBER(F1024),ISNUMBER(I1024),F1024&gt;0),I1024/F1024-1,"")</f>
        <v/>
      </c>
      <c r="K1024" s="13" t="n">
        <v>22</v>
      </c>
      <c r="L1024" s="14">
        <f>IF(AND(ISNUMBER(F1024),ISNUMBER(K1024),F1024&gt;0),K1024/F1024-1,"")</f>
        <v/>
      </c>
      <c r="M1024" s="15" t="n">
        <v>5</v>
      </c>
      <c r="N1024" s="16" t="n"/>
      <c r="O1024" s="17">
        <f>IF(AND(ISNUMBER(F1024),ISNUMBER(N1024),F1024&gt;0),N1024/F1024,"")</f>
        <v/>
      </c>
      <c r="P1024" s="18" t="n"/>
      <c r="Q1024" s="18" t="n">
        <v>46331</v>
      </c>
      <c r="R1024" s="16" t="n">
        <v>0.47</v>
      </c>
      <c r="S1024" s="19">
        <f>IF(AND(ISNUMBER(F1024),ISNUMBER(R1024),R1024&gt;0),F1024/R1024,"")</f>
        <v/>
      </c>
      <c r="T1024" s="18" t="n">
        <v>46323</v>
      </c>
    </row>
    <row r="1025">
      <c r="A1025" s="20" t="inlineStr">
        <is>
          <t>LEU</t>
        </is>
      </c>
      <c r="B1025" s="20" t="inlineStr">
        <is>
          <t>Centrus Energy Corp.</t>
        </is>
      </c>
      <c r="C1025" s="20" t="inlineStr">
        <is>
          <t>Uranium</t>
        </is>
      </c>
      <c r="D1025" s="20" t="inlineStr">
        <is>
          <t>United States</t>
        </is>
      </c>
      <c r="E1025" s="21" t="n">
        <v>2.24</v>
      </c>
      <c r="F1025" s="22" t="n">
        <v>109.42</v>
      </c>
      <c r="G1025" s="22" t="n">
        <v>213.04053</v>
      </c>
      <c r="H1025" s="23">
        <f>IF(AND(ISNUMBER(F1025),ISNUMBER(G1025),F1025&gt;0),G1025/F1025-1,"")</f>
        <v/>
      </c>
      <c r="I1025" s="22" t="n">
        <v>115</v>
      </c>
      <c r="J1025" s="23">
        <f>IF(AND(ISNUMBER(F1025),ISNUMBER(I1025),F1025&gt;0),I1025/F1025-1,"")</f>
        <v/>
      </c>
      <c r="K1025" s="22" t="n">
        <v>337</v>
      </c>
      <c r="L1025" s="23">
        <f>IF(AND(ISNUMBER(F1025),ISNUMBER(K1025),F1025&gt;0),K1025/F1025-1,"")</f>
        <v/>
      </c>
      <c r="M1025" s="24" t="n">
        <v>19</v>
      </c>
      <c r="N1025" s="25" t="n"/>
      <c r="O1025" s="26">
        <f>IF(AND(ISNUMBER(F1025),ISNUMBER(N1025),F1025&gt;0),N1025/F1025,"")</f>
        <v/>
      </c>
      <c r="P1025" s="27" t="n"/>
      <c r="Q1025" s="27" t="n">
        <v>46330</v>
      </c>
      <c r="R1025" s="25" t="n">
        <v>2.14</v>
      </c>
      <c r="S1025" s="28">
        <f>IF(AND(ISNUMBER(F1025),ISNUMBER(R1025),R1025&gt;0),F1025/R1025,"")</f>
        <v/>
      </c>
      <c r="T1025" s="27" t="n">
        <v>46323</v>
      </c>
    </row>
    <row r="1026">
      <c r="A1026" s="11" t="inlineStr">
        <is>
          <t>UUUU</t>
        </is>
      </c>
      <c r="B1026" s="11" t="inlineStr">
        <is>
          <t>Energy Fuels Inc</t>
        </is>
      </c>
      <c r="C1026" s="11" t="inlineStr">
        <is>
          <t>Uranium</t>
        </is>
      </c>
      <c r="D1026" s="11" t="inlineStr">
        <is>
          <t>United States</t>
        </is>
      </c>
      <c r="E1026" s="12" t="n">
        <v>2.18</v>
      </c>
      <c r="F1026" s="13" t="n">
        <v>8.23</v>
      </c>
      <c r="G1026" s="13" t="n">
        <v>23.35</v>
      </c>
      <c r="H1026" s="14">
        <f>IF(AND(ISNUMBER(F1026),ISNUMBER(G1026),F1026&gt;0),G1026/F1026-1,"")</f>
        <v/>
      </c>
      <c r="I1026" s="13" t="n">
        <v>14</v>
      </c>
      <c r="J1026" s="14">
        <f>IF(AND(ISNUMBER(F1026),ISNUMBER(I1026),F1026&gt;0),I1026/F1026-1,"")</f>
        <v/>
      </c>
      <c r="K1026" s="13" t="n">
        <v>32.5</v>
      </c>
      <c r="L1026" s="14">
        <f>IF(AND(ISNUMBER(F1026),ISNUMBER(K1026),F1026&gt;0),K1026/F1026-1,"")</f>
        <v/>
      </c>
      <c r="M1026" s="15" t="n">
        <v>5</v>
      </c>
      <c r="N1026" s="16" t="n"/>
      <c r="O1026" s="17">
        <f>IF(AND(ISNUMBER(F1026),ISNUMBER(N1026),F1026&gt;0),N1026/F1026,"")</f>
        <v/>
      </c>
      <c r="P1026" s="18" t="n"/>
      <c r="Q1026" s="18" t="n">
        <v>46328</v>
      </c>
      <c r="R1026" s="16" t="n">
        <v>-0.34</v>
      </c>
      <c r="S1026" s="19">
        <f>IF(AND(ISNUMBER(F1026),ISNUMBER(R1026),R1026&gt;0),F1026/R1026,"")</f>
        <v/>
      </c>
      <c r="T1026" s="18" t="n">
        <v>46323</v>
      </c>
    </row>
    <row r="1027">
      <c r="A1027" s="20" t="inlineStr">
        <is>
          <t>PGNY</t>
        </is>
      </c>
      <c r="B1027" s="20" t="inlineStr">
        <is>
          <t>Progyny, Inc.</t>
        </is>
      </c>
      <c r="C1027" s="20" t="inlineStr">
        <is>
          <t>Healthcare Plans</t>
        </is>
      </c>
      <c r="D1027" s="20" t="inlineStr">
        <is>
          <t>United States</t>
        </is>
      </c>
      <c r="E1027" s="21" t="n">
        <v>2.13</v>
      </c>
      <c r="F1027" s="22" t="n">
        <v>27.72</v>
      </c>
      <c r="G1027" s="22" t="n">
        <v>34.41667</v>
      </c>
      <c r="H1027" s="23">
        <f>IF(AND(ISNUMBER(F1027),ISNUMBER(G1027),F1027&gt;0),G1027/F1027-1,"")</f>
        <v/>
      </c>
      <c r="I1027" s="22" t="n">
        <v>30</v>
      </c>
      <c r="J1027" s="23">
        <f>IF(AND(ISNUMBER(F1027),ISNUMBER(I1027),F1027&gt;0),I1027/F1027-1,"")</f>
        <v/>
      </c>
      <c r="K1027" s="22" t="n">
        <v>40</v>
      </c>
      <c r="L1027" s="23">
        <f>IF(AND(ISNUMBER(F1027),ISNUMBER(K1027),F1027&gt;0),K1027/F1027-1,"")</f>
        <v/>
      </c>
      <c r="M1027" s="24" t="n">
        <v>12</v>
      </c>
      <c r="N1027" s="25" t="n"/>
      <c r="O1027" s="26">
        <f>IF(AND(ISNUMBER(F1027),ISNUMBER(N1027),F1027&gt;0),N1027/F1027,"")</f>
        <v/>
      </c>
      <c r="P1027" s="27" t="n"/>
      <c r="Q1027" s="27" t="n">
        <v>46330</v>
      </c>
      <c r="R1027" s="25" t="n">
        <v>0.92</v>
      </c>
      <c r="S1027" s="28">
        <f>IF(AND(ISNUMBER(F1027),ISNUMBER(R1027),R1027&gt;0),F1027/R1027,"")</f>
        <v/>
      </c>
      <c r="T1027" s="27" t="n">
        <v>46323</v>
      </c>
    </row>
    <row r="1028">
      <c r="A1028" s="11" t="inlineStr">
        <is>
          <t>STUB</t>
        </is>
      </c>
      <c r="B1028" s="11" t="inlineStr">
        <is>
          <t>StubHub Holdings, Inc.</t>
        </is>
      </c>
      <c r="C1028" s="11" t="inlineStr">
        <is>
          <t>Internet Content &amp; Information</t>
        </is>
      </c>
      <c r="D1028" s="11" t="inlineStr">
        <is>
          <t>United States</t>
        </is>
      </c>
      <c r="E1028" s="12" t="n">
        <v>2.12</v>
      </c>
      <c r="F1028" s="13" t="n">
        <v>5.55</v>
      </c>
      <c r="G1028" s="13" t="n">
        <v>10.54167</v>
      </c>
      <c r="H1028" s="14">
        <f>IF(AND(ISNUMBER(F1028),ISNUMBER(G1028),F1028&gt;0),G1028/F1028-1,"")</f>
        <v/>
      </c>
      <c r="I1028" s="13" t="n">
        <v>7</v>
      </c>
      <c r="J1028" s="14">
        <f>IF(AND(ISNUMBER(F1028),ISNUMBER(I1028),F1028&gt;0),I1028/F1028-1,"")</f>
        <v/>
      </c>
      <c r="K1028" s="13" t="n">
        <v>15</v>
      </c>
      <c r="L1028" s="14">
        <f>IF(AND(ISNUMBER(F1028),ISNUMBER(K1028),F1028&gt;0),K1028/F1028-1,"")</f>
        <v/>
      </c>
      <c r="M1028" s="15" t="n">
        <v>12</v>
      </c>
      <c r="N1028" s="16" t="n"/>
      <c r="O1028" s="17">
        <f>IF(AND(ISNUMBER(F1028),ISNUMBER(N1028),F1028&gt;0),N1028/F1028,"")</f>
        <v/>
      </c>
      <c r="P1028" s="18" t="n"/>
      <c r="Q1028" s="18" t="n">
        <v>46336</v>
      </c>
      <c r="R1028" s="16" t="n">
        <v>-5.77</v>
      </c>
      <c r="S1028" s="19">
        <f>IF(AND(ISNUMBER(F1028),ISNUMBER(R1028),R1028&gt;0),F1028/R1028,"")</f>
        <v/>
      </c>
      <c r="T1028" s="18" t="n">
        <v>46323</v>
      </c>
    </row>
    <row r="1029">
      <c r="A1029" s="20" t="inlineStr">
        <is>
          <t>CLSK</t>
        </is>
      </c>
      <c r="B1029" s="20" t="inlineStr">
        <is>
          <t>CleanSpark, Inc.</t>
        </is>
      </c>
      <c r="C1029" s="20" t="inlineStr">
        <is>
          <t>Capital Markets</t>
        </is>
      </c>
      <c r="D1029" s="20" t="inlineStr">
        <is>
          <t>United States</t>
        </is>
      </c>
      <c r="E1029" s="21" t="n">
        <v>2.1</v>
      </c>
      <c r="F1029" s="22" t="n">
        <v>8.19</v>
      </c>
      <c r="G1029" s="22" t="n">
        <v>23.16667</v>
      </c>
      <c r="H1029" s="23">
        <f>IF(AND(ISNUMBER(F1029),ISNUMBER(G1029),F1029&gt;0),G1029/F1029-1,"")</f>
        <v/>
      </c>
      <c r="I1029" s="22" t="n">
        <v>19</v>
      </c>
      <c r="J1029" s="23">
        <f>IF(AND(ISNUMBER(F1029),ISNUMBER(I1029),F1029&gt;0),I1029/F1029-1,"")</f>
        <v/>
      </c>
      <c r="K1029" s="22" t="n">
        <v>27</v>
      </c>
      <c r="L1029" s="23">
        <f>IF(AND(ISNUMBER(F1029),ISNUMBER(K1029),F1029&gt;0),K1029/F1029-1,"")</f>
        <v/>
      </c>
      <c r="M1029" s="24" t="n">
        <v>15</v>
      </c>
      <c r="N1029" s="25" t="n"/>
      <c r="O1029" s="26">
        <f>IF(AND(ISNUMBER(F1029),ISNUMBER(N1029),F1029&gt;0),N1029/F1029,"")</f>
        <v/>
      </c>
      <c r="P1029" s="27" t="n"/>
      <c r="Q1029" s="27" t="n">
        <v>46350</v>
      </c>
      <c r="R1029" s="25" t="n">
        <v>-3.78</v>
      </c>
      <c r="S1029" s="28">
        <f>IF(AND(ISNUMBER(F1029),ISNUMBER(R1029),R1029&gt;0),F1029/R1029,"")</f>
        <v/>
      </c>
      <c r="T1029" s="27" t="n">
        <v>46323</v>
      </c>
    </row>
    <row r="1030">
      <c r="A1030" s="11" t="inlineStr">
        <is>
          <t>STDN</t>
        </is>
      </c>
      <c r="B1030" s="11" t="inlineStr">
        <is>
          <t>Standard Nuclear, Inc.</t>
        </is>
      </c>
      <c r="C1030" s="11" t="inlineStr">
        <is>
          <t>Specialty Chemicals</t>
        </is>
      </c>
      <c r="D1030" s="11" t="inlineStr">
        <is>
          <t>United States</t>
        </is>
      </c>
      <c r="E1030" s="12" t="n">
        <v>2.08</v>
      </c>
      <c r="F1030" s="13" t="n">
        <v>12.95</v>
      </c>
      <c r="G1030" s="13" t="n">
        <v>17.25</v>
      </c>
      <c r="H1030" s="14">
        <f>IF(AND(ISNUMBER(F1030),ISNUMBER(G1030),F1030&gt;0),G1030/F1030-1,"")</f>
        <v/>
      </c>
      <c r="I1030" s="13" t="n">
        <v>13</v>
      </c>
      <c r="J1030" s="14">
        <f>IF(AND(ISNUMBER(F1030),ISNUMBER(I1030),F1030&gt;0),I1030/F1030-1,"")</f>
        <v/>
      </c>
      <c r="K1030" s="13" t="n">
        <v>20</v>
      </c>
      <c r="L1030" s="14">
        <f>IF(AND(ISNUMBER(F1030),ISNUMBER(K1030),F1030&gt;0),K1030/F1030-1,"")</f>
        <v/>
      </c>
      <c r="M1030" s="15" t="n">
        <v>8</v>
      </c>
      <c r="N1030" s="16" t="n"/>
      <c r="O1030" s="17">
        <f>IF(AND(ISNUMBER(F1030),ISNUMBER(N1030),F1030&gt;0),N1030/F1030,"")</f>
        <v/>
      </c>
      <c r="P1030" s="18" t="n"/>
      <c r="Q1030" s="18" t="n">
        <v>46342</v>
      </c>
      <c r="R1030" s="16" t="n">
        <v>-0.1</v>
      </c>
      <c r="S1030" s="19">
        <f>IF(AND(ISNUMBER(F1030),ISNUMBER(R1030),R1030&gt;0),F1030/R1030,"")</f>
        <v/>
      </c>
      <c r="T1030" s="18" t="n">
        <v>46323</v>
      </c>
    </row>
    <row r="1031">
      <c r="A1031" s="20" t="inlineStr">
        <is>
          <t>BTDR</t>
        </is>
      </c>
      <c r="B1031" s="20" t="inlineStr">
        <is>
          <t>Bitdeer Technologies Group</t>
        </is>
      </c>
      <c r="C1031" s="20" t="inlineStr">
        <is>
          <t>Software - Application</t>
        </is>
      </c>
      <c r="D1031" s="20" t="inlineStr">
        <is>
          <t>Singapore</t>
        </is>
      </c>
      <c r="E1031" s="21" t="n">
        <v>2.05</v>
      </c>
      <c r="F1031" s="22" t="n">
        <v>7.54</v>
      </c>
      <c r="G1031" s="22" t="n">
        <v>22.14286</v>
      </c>
      <c r="H1031" s="23">
        <f>IF(AND(ISNUMBER(F1031),ISNUMBER(G1031),F1031&gt;0),G1031/F1031-1,"")</f>
        <v/>
      </c>
      <c r="I1031" s="22" t="n">
        <v>10</v>
      </c>
      <c r="J1031" s="23">
        <f>IF(AND(ISNUMBER(F1031),ISNUMBER(I1031),F1031&gt;0),I1031/F1031-1,"")</f>
        <v/>
      </c>
      <c r="K1031" s="22" t="n">
        <v>35</v>
      </c>
      <c r="L1031" s="23">
        <f>IF(AND(ISNUMBER(F1031),ISNUMBER(K1031),F1031&gt;0),K1031/F1031-1,"")</f>
        <v/>
      </c>
      <c r="M1031" s="24" t="n">
        <v>14</v>
      </c>
      <c r="N1031" s="25" t="n"/>
      <c r="O1031" s="26">
        <f>IF(AND(ISNUMBER(F1031),ISNUMBER(N1031),F1031&gt;0),N1031/F1031,"")</f>
        <v/>
      </c>
      <c r="P1031" s="27" t="n"/>
      <c r="Q1031" s="27" t="n">
        <v>46336</v>
      </c>
      <c r="R1031" s="25" t="n">
        <v>-2.64</v>
      </c>
      <c r="S1031" s="28">
        <f>IF(AND(ISNUMBER(F1031),ISNUMBER(R1031),R1031&gt;0),F1031/R1031,"")</f>
        <v/>
      </c>
      <c r="T1031" s="27" t="n">
        <v>46323</v>
      </c>
    </row>
    <row r="1032">
      <c r="A1032" s="11" t="inlineStr">
        <is>
          <t>SAM</t>
        </is>
      </c>
      <c r="B1032" s="11" t="inlineStr">
        <is>
          <t>Boston Beer Company, Inc. (The)</t>
        </is>
      </c>
      <c r="C1032" s="11" t="inlineStr">
        <is>
          <t>Beverages - Brewers</t>
        </is>
      </c>
      <c r="D1032" s="11" t="inlineStr">
        <is>
          <t>United States</t>
        </is>
      </c>
      <c r="E1032" s="12" t="n">
        <v>2.03</v>
      </c>
      <c r="F1032" s="13" t="n">
        <v>200.3</v>
      </c>
      <c r="G1032" s="13" t="n">
        <v>198.84615</v>
      </c>
      <c r="H1032" s="14">
        <f>IF(AND(ISNUMBER(F1032),ISNUMBER(G1032),F1032&gt;0),G1032/F1032-1,"")</f>
        <v/>
      </c>
      <c r="I1032" s="13" t="n">
        <v>153</v>
      </c>
      <c r="J1032" s="14">
        <f>IF(AND(ISNUMBER(F1032),ISNUMBER(I1032),F1032&gt;0),I1032/F1032-1,"")</f>
        <v/>
      </c>
      <c r="K1032" s="13" t="n">
        <v>295</v>
      </c>
      <c r="L1032" s="14">
        <f>IF(AND(ISNUMBER(F1032),ISNUMBER(K1032),F1032&gt;0),K1032/F1032-1,"")</f>
        <v/>
      </c>
      <c r="M1032" s="15" t="n">
        <v>13</v>
      </c>
      <c r="N1032" s="16" t="n"/>
      <c r="O1032" s="17">
        <f>IF(AND(ISNUMBER(F1032),ISNUMBER(N1032),F1032&gt;0),N1032/F1032,"")</f>
        <v/>
      </c>
      <c r="P1032" s="18" t="n"/>
      <c r="Q1032" s="18" t="n">
        <v>46317</v>
      </c>
      <c r="R1032" s="16" t="n">
        <v>-6.8</v>
      </c>
      <c r="S1032" s="19">
        <f>IF(AND(ISNUMBER(F1032),ISNUMBER(R1032),R1032&gt;0),F1032/R1032,"")</f>
        <v/>
      </c>
      <c r="T1032" s="18" t="n">
        <v>46323</v>
      </c>
    </row>
    <row r="1033">
      <c r="A1033" s="20" t="inlineStr">
        <is>
          <t>ALGT</t>
        </is>
      </c>
      <c r="B1033" s="20" t="inlineStr">
        <is>
          <t>Allegiant Travel Company</t>
        </is>
      </c>
      <c r="C1033" s="20" t="inlineStr">
        <is>
          <t>Airlines</t>
        </is>
      </c>
      <c r="D1033" s="20" t="inlineStr">
        <is>
          <t>United States</t>
        </is>
      </c>
      <c r="E1033" s="21" t="n">
        <v>2.01</v>
      </c>
      <c r="F1033" s="22" t="n">
        <v>73.59</v>
      </c>
      <c r="G1033" s="22" t="n">
        <v>117.42857</v>
      </c>
      <c r="H1033" s="23">
        <f>IF(AND(ISNUMBER(F1033),ISNUMBER(G1033),F1033&gt;0),G1033/F1033-1,"")</f>
        <v/>
      </c>
      <c r="I1033" s="22" t="n">
        <v>85</v>
      </c>
      <c r="J1033" s="23">
        <f>IF(AND(ISNUMBER(F1033),ISNUMBER(I1033),F1033&gt;0),I1033/F1033-1,"")</f>
        <v/>
      </c>
      <c r="K1033" s="22" t="n">
        <v>165</v>
      </c>
      <c r="L1033" s="23">
        <f>IF(AND(ISNUMBER(F1033),ISNUMBER(K1033),F1033&gt;0),K1033/F1033-1,"")</f>
        <v/>
      </c>
      <c r="M1033" s="24" t="n">
        <v>14</v>
      </c>
      <c r="N1033" s="25" t="n"/>
      <c r="O1033" s="26">
        <f>IF(AND(ISNUMBER(F1033),ISNUMBER(N1033),F1033&gt;0),N1033/F1033,"")</f>
        <v/>
      </c>
      <c r="P1033" s="27" t="n"/>
      <c r="Q1033" s="27" t="n">
        <v>46330</v>
      </c>
      <c r="R1033" s="25" t="n">
        <v>1.17</v>
      </c>
      <c r="S1033" s="28">
        <f>IF(AND(ISNUMBER(F1033),ISNUMBER(R1033),R1033&gt;0),F1033/R1033,"")</f>
        <v/>
      </c>
      <c r="T1033" s="27" t="n">
        <v>46323</v>
      </c>
    </row>
    <row r="1034">
      <c r="A1034" s="11" t="inlineStr">
        <is>
          <t>CC</t>
        </is>
      </c>
      <c r="B1034" s="11" t="inlineStr">
        <is>
          <t>Chemours Company (The)</t>
        </is>
      </c>
      <c r="C1034" s="11" t="inlineStr">
        <is>
          <t>Specialty Chemicals</t>
        </is>
      </c>
      <c r="D1034" s="11" t="inlineStr">
        <is>
          <t>United States</t>
        </is>
      </c>
      <c r="E1034" s="12" t="n">
        <v>2.01</v>
      </c>
      <c r="F1034" s="13" t="n">
        <v>13.34</v>
      </c>
      <c r="G1034" s="13" t="n">
        <v>16.5</v>
      </c>
      <c r="H1034" s="14">
        <f>IF(AND(ISNUMBER(F1034),ISNUMBER(G1034),F1034&gt;0),G1034/F1034-1,"")</f>
        <v/>
      </c>
      <c r="I1034" s="13" t="n">
        <v>14</v>
      </c>
      <c r="J1034" s="14">
        <f>IF(AND(ISNUMBER(F1034),ISNUMBER(I1034),F1034&gt;0),I1034/F1034-1,"")</f>
        <v/>
      </c>
      <c r="K1034" s="13" t="n">
        <v>20</v>
      </c>
      <c r="L1034" s="14">
        <f>IF(AND(ISNUMBER(F1034),ISNUMBER(K1034),F1034&gt;0),K1034/F1034-1,"")</f>
        <v/>
      </c>
      <c r="M1034" s="15" t="n">
        <v>10</v>
      </c>
      <c r="N1034" s="16" t="n">
        <v>0.35</v>
      </c>
      <c r="O1034" s="17">
        <f>IF(AND(ISNUMBER(F1034),ISNUMBER(N1034),F1034&gt;0),N1034/F1034,"")</f>
        <v/>
      </c>
      <c r="P1034" s="18" t="n">
        <v>46248</v>
      </c>
      <c r="Q1034" s="18" t="n">
        <v>46328</v>
      </c>
      <c r="R1034" s="16" t="n">
        <v>-2.02</v>
      </c>
      <c r="S1034" s="19">
        <f>IF(AND(ISNUMBER(F1034),ISNUMBER(R1034),R1034&gt;0),F1034/R1034,"")</f>
        <v/>
      </c>
      <c r="T1034" s="18" t="n">
        <v>46323</v>
      </c>
    </row>
    <row r="1035">
      <c r="A1035" s="20" t="inlineStr">
        <is>
          <t>UAA</t>
        </is>
      </c>
      <c r="B1035" s="20" t="inlineStr">
        <is>
          <t>Under Armour, Inc.</t>
        </is>
      </c>
      <c r="C1035" s="20" t="inlineStr">
        <is>
          <t>Apparel Manufacturing</t>
        </is>
      </c>
      <c r="D1035" s="20" t="inlineStr">
        <is>
          <t>United States</t>
        </is>
      </c>
      <c r="E1035" s="21" t="n">
        <v>2.01</v>
      </c>
      <c r="F1035" s="22" t="n">
        <v>4.67</v>
      </c>
      <c r="G1035" s="22" t="n">
        <v>6.35556</v>
      </c>
      <c r="H1035" s="23">
        <f>IF(AND(ISNUMBER(F1035),ISNUMBER(G1035),F1035&gt;0),G1035/F1035-1,"")</f>
        <v/>
      </c>
      <c r="I1035" s="22" t="n">
        <v>4</v>
      </c>
      <c r="J1035" s="23">
        <f>IF(AND(ISNUMBER(F1035),ISNUMBER(I1035),F1035&gt;0),I1035/F1035-1,"")</f>
        <v/>
      </c>
      <c r="K1035" s="22" t="n">
        <v>12</v>
      </c>
      <c r="L1035" s="23">
        <f>IF(AND(ISNUMBER(F1035),ISNUMBER(K1035),F1035&gt;0),K1035/F1035-1,"")</f>
        <v/>
      </c>
      <c r="M1035" s="24" t="n">
        <v>18</v>
      </c>
      <c r="N1035" s="25" t="n"/>
      <c r="O1035" s="26">
        <f>IF(AND(ISNUMBER(F1035),ISNUMBER(N1035),F1035&gt;0),N1035/F1035,"")</f>
        <v/>
      </c>
      <c r="P1035" s="27" t="n"/>
      <c r="Q1035" s="27" t="n">
        <v>46332</v>
      </c>
      <c r="R1035" s="25" t="n">
        <v>-1.15</v>
      </c>
      <c r="S1035" s="28">
        <f>IF(AND(ISNUMBER(F1035),ISNUMBER(R1035),R1035&gt;0),F1035/R1035,"")</f>
        <v/>
      </c>
      <c r="T1035" s="27" t="n">
        <v>46323</v>
      </c>
    </row>
    <row r="1036">
      <c r="A1036" s="11" t="inlineStr">
        <is>
          <t>SRPT</t>
        </is>
      </c>
      <c r="B1036" s="11" t="inlineStr">
        <is>
          <t>Sarepta Therapeutics, Inc.</t>
        </is>
      </c>
      <c r="C1036" s="11" t="inlineStr">
        <is>
          <t>Biotechnology</t>
        </is>
      </c>
      <c r="D1036" s="11" t="inlineStr">
        <is>
          <t>United States</t>
        </is>
      </c>
      <c r="E1036" s="12" t="n">
        <v>2</v>
      </c>
      <c r="F1036" s="13" t="n">
        <v>18.89</v>
      </c>
      <c r="G1036" s="13" t="n">
        <v>21.63636</v>
      </c>
      <c r="H1036" s="14">
        <f>IF(AND(ISNUMBER(F1036),ISNUMBER(G1036),F1036&gt;0),G1036/F1036-1,"")</f>
        <v/>
      </c>
      <c r="I1036" s="13" t="n">
        <v>5</v>
      </c>
      <c r="J1036" s="14">
        <f>IF(AND(ISNUMBER(F1036),ISNUMBER(I1036),F1036&gt;0),I1036/F1036-1,"")</f>
        <v/>
      </c>
      <c r="K1036" s="13" t="n">
        <v>38</v>
      </c>
      <c r="L1036" s="14">
        <f>IF(AND(ISNUMBER(F1036),ISNUMBER(K1036),F1036&gt;0),K1036/F1036-1,"")</f>
        <v/>
      </c>
      <c r="M1036" s="15" t="n">
        <v>22</v>
      </c>
      <c r="N1036" s="16" t="n"/>
      <c r="O1036" s="17">
        <f>IF(AND(ISNUMBER(F1036),ISNUMBER(N1036),F1036&gt;0),N1036/F1036,"")</f>
        <v/>
      </c>
      <c r="P1036" s="18" t="n"/>
      <c r="Q1036" s="18" t="n">
        <v>46331</v>
      </c>
      <c r="R1036" s="16" t="n">
        <v>-1.57</v>
      </c>
      <c r="S1036" s="19">
        <f>IF(AND(ISNUMBER(F1036),ISNUMBER(R1036),R1036&gt;0),F1036/R1036,"")</f>
        <v/>
      </c>
      <c r="T1036" s="18" t="n">
        <v>46323</v>
      </c>
    </row>
    <row r="1037">
      <c r="A1037" s="20" t="inlineStr">
        <is>
          <t>PENN</t>
        </is>
      </c>
      <c r="B1037" s="20" t="inlineStr">
        <is>
          <t>PENN Entertainment, Inc.</t>
        </is>
      </c>
      <c r="C1037" s="20" t="inlineStr">
        <is>
          <t>Resorts &amp; Casinos</t>
        </is>
      </c>
      <c r="D1037" s="20" t="inlineStr">
        <is>
          <t>United States</t>
        </is>
      </c>
      <c r="E1037" s="21" t="n">
        <v>1.99</v>
      </c>
      <c r="F1037" s="22" t="n">
        <v>14.83</v>
      </c>
      <c r="G1037" s="22" t="n">
        <v>23.47368</v>
      </c>
      <c r="H1037" s="23">
        <f>IF(AND(ISNUMBER(F1037),ISNUMBER(G1037),F1037&gt;0),G1037/F1037-1,"")</f>
        <v/>
      </c>
      <c r="I1037" s="22" t="n">
        <v>17</v>
      </c>
      <c r="J1037" s="23">
        <f>IF(AND(ISNUMBER(F1037),ISNUMBER(I1037),F1037&gt;0),I1037/F1037-1,"")</f>
        <v/>
      </c>
      <c r="K1037" s="22" t="n">
        <v>28</v>
      </c>
      <c r="L1037" s="23">
        <f>IF(AND(ISNUMBER(F1037),ISNUMBER(K1037),F1037&gt;0),K1037/F1037-1,"")</f>
        <v/>
      </c>
      <c r="M1037" s="24" t="n">
        <v>19</v>
      </c>
      <c r="N1037" s="25" t="n"/>
      <c r="O1037" s="26">
        <f>IF(AND(ISNUMBER(F1037),ISNUMBER(N1037),F1037&gt;0),N1037/F1037,"")</f>
        <v/>
      </c>
      <c r="P1037" s="27" t="n"/>
      <c r="Q1037" s="27" t="n">
        <v>46331</v>
      </c>
      <c r="R1037" s="25" t="n">
        <v>-6.43</v>
      </c>
      <c r="S1037" s="28">
        <f>IF(AND(ISNUMBER(F1037),ISNUMBER(R1037),R1037&gt;0),F1037/R1037,"")</f>
        <v/>
      </c>
      <c r="T1037" s="27" t="n">
        <v>46323</v>
      </c>
    </row>
    <row r="1038">
      <c r="A1038" s="11" t="inlineStr">
        <is>
          <t>SEDG</t>
        </is>
      </c>
      <c r="B1038" s="11" t="inlineStr">
        <is>
          <t>SolarEdge Technologies, Inc.</t>
        </is>
      </c>
      <c r="C1038" s="11" t="inlineStr">
        <is>
          <t>Solar</t>
        </is>
      </c>
      <c r="D1038" s="11" t="inlineStr">
        <is>
          <t>Israel</t>
        </is>
      </c>
      <c r="E1038" s="12" t="n">
        <v>1.98</v>
      </c>
      <c r="F1038" s="13" t="n">
        <v>32.16</v>
      </c>
      <c r="G1038" s="13" t="n">
        <v>37.36842</v>
      </c>
      <c r="H1038" s="14">
        <f>IF(AND(ISNUMBER(F1038),ISNUMBER(G1038),F1038&gt;0),G1038/F1038-1,"")</f>
        <v/>
      </c>
      <c r="I1038" s="13" t="n">
        <v>26</v>
      </c>
      <c r="J1038" s="14">
        <f>IF(AND(ISNUMBER(F1038),ISNUMBER(I1038),F1038&gt;0),I1038/F1038-1,"")</f>
        <v/>
      </c>
      <c r="K1038" s="13" t="n">
        <v>100</v>
      </c>
      <c r="L1038" s="14">
        <f>IF(AND(ISNUMBER(F1038),ISNUMBER(K1038),F1038&gt;0),K1038/F1038-1,"")</f>
        <v/>
      </c>
      <c r="M1038" s="15" t="n">
        <v>19</v>
      </c>
      <c r="N1038" s="16" t="n"/>
      <c r="O1038" s="17">
        <f>IF(AND(ISNUMBER(F1038),ISNUMBER(N1038),F1038&gt;0),N1038/F1038,"")</f>
        <v/>
      </c>
      <c r="P1038" s="18" t="n"/>
      <c r="Q1038" s="18" t="n">
        <v>46330</v>
      </c>
      <c r="R1038" s="16" t="n">
        <v>-4.27</v>
      </c>
      <c r="S1038" s="19">
        <f>IF(AND(ISNUMBER(F1038),ISNUMBER(R1038),R1038&gt;0),F1038/R1038,"")</f>
        <v/>
      </c>
      <c r="T1038" s="18" t="n">
        <v>46323</v>
      </c>
    </row>
    <row r="1039">
      <c r="A1039" s="20" t="inlineStr">
        <is>
          <t>PLUG</t>
        </is>
      </c>
      <c r="B1039" s="20" t="inlineStr">
        <is>
          <t>Plug Power, Inc.</t>
        </is>
      </c>
      <c r="C1039" s="20" t="inlineStr">
        <is>
          <t>Electrical Equipment &amp; Parts</t>
        </is>
      </c>
      <c r="D1039" s="20" t="inlineStr">
        <is>
          <t>United States</t>
        </is>
      </c>
      <c r="E1039" s="21" t="n">
        <v>1.96</v>
      </c>
      <c r="F1039" s="22" t="n">
        <v>1.4</v>
      </c>
      <c r="G1039" s="22" t="n">
        <v>3.38667</v>
      </c>
      <c r="H1039" s="23">
        <f>IF(AND(ISNUMBER(F1039),ISNUMBER(G1039),F1039&gt;0),G1039/F1039-1,"")</f>
        <v/>
      </c>
      <c r="I1039" s="22" t="n">
        <v>0.75</v>
      </c>
      <c r="J1039" s="23">
        <f>IF(AND(ISNUMBER(F1039),ISNUMBER(I1039),F1039&gt;0),I1039/F1039-1,"")</f>
        <v/>
      </c>
      <c r="K1039" s="22" t="n">
        <v>7</v>
      </c>
      <c r="L1039" s="23">
        <f>IF(AND(ISNUMBER(F1039),ISNUMBER(K1039),F1039&gt;0),K1039/F1039-1,"")</f>
        <v/>
      </c>
      <c r="M1039" s="24" t="n">
        <v>15</v>
      </c>
      <c r="N1039" s="25" t="n"/>
      <c r="O1039" s="26">
        <f>IF(AND(ISNUMBER(F1039),ISNUMBER(N1039),F1039&gt;0),N1039/F1039,"")</f>
        <v/>
      </c>
      <c r="P1039" s="27" t="n"/>
      <c r="Q1039" s="27" t="n">
        <v>46335</v>
      </c>
      <c r="R1039" s="25" t="n">
        <v>-1.31</v>
      </c>
      <c r="S1039" s="28">
        <f>IF(AND(ISNUMBER(F1039),ISNUMBER(R1039),R1039&gt;0),F1039/R1039,"")</f>
        <v/>
      </c>
      <c r="T1039" s="27" t="n">
        <v>46323</v>
      </c>
    </row>
    <row r="1040">
      <c r="A1040" s="11" t="inlineStr">
        <is>
          <t>SOUN</t>
        </is>
      </c>
      <c r="B1040" s="11" t="inlineStr">
        <is>
          <t>SoundHound AI, Inc.</t>
        </is>
      </c>
      <c r="C1040" s="11" t="inlineStr">
        <is>
          <t>Software - Application</t>
        </is>
      </c>
      <c r="D1040" s="11" t="inlineStr">
        <is>
          <t>United States</t>
        </is>
      </c>
      <c r="E1040" s="12" t="n">
        <v>1.94</v>
      </c>
      <c r="F1040" s="13" t="n">
        <v>4.37</v>
      </c>
      <c r="G1040" s="13" t="n">
        <v>12.57143</v>
      </c>
      <c r="H1040" s="14">
        <f>IF(AND(ISNUMBER(F1040),ISNUMBER(G1040),F1040&gt;0),G1040/F1040-1,"")</f>
        <v/>
      </c>
      <c r="I1040" s="13" t="n">
        <v>6</v>
      </c>
      <c r="J1040" s="14">
        <f>IF(AND(ISNUMBER(F1040),ISNUMBER(I1040),F1040&gt;0),I1040/F1040-1,"")</f>
        <v/>
      </c>
      <c r="K1040" s="13" t="n">
        <v>17</v>
      </c>
      <c r="L1040" s="14">
        <f>IF(AND(ISNUMBER(F1040),ISNUMBER(K1040),F1040&gt;0),K1040/F1040-1,"")</f>
        <v/>
      </c>
      <c r="M1040" s="15" t="n">
        <v>7</v>
      </c>
      <c r="N1040" s="16" t="n"/>
      <c r="O1040" s="17">
        <f>IF(AND(ISNUMBER(F1040),ISNUMBER(N1040),F1040&gt;0),N1040/F1040,"")</f>
        <v/>
      </c>
      <c r="P1040" s="18" t="n"/>
      <c r="Q1040" s="18" t="n">
        <v>46331</v>
      </c>
      <c r="R1040" s="16" t="n">
        <v>-0.59</v>
      </c>
      <c r="S1040" s="19">
        <f>IF(AND(ISNUMBER(F1040),ISNUMBER(R1040),R1040&gt;0),F1040/R1040,"")</f>
        <v/>
      </c>
      <c r="T1040" s="18" t="n">
        <v>46323</v>
      </c>
    </row>
    <row r="1041">
      <c r="A1041" s="20" t="inlineStr">
        <is>
          <t>STNE</t>
        </is>
      </c>
      <c r="B1041" s="20" t="inlineStr">
        <is>
          <t>StoneCo Ltd.</t>
        </is>
      </c>
      <c r="C1041" s="20" t="inlineStr">
        <is>
          <t>Software - Infrastructure</t>
        </is>
      </c>
      <c r="D1041" s="20" t="inlineStr">
        <is>
          <t>Cayman Islands</t>
        </is>
      </c>
      <c r="E1041" s="21" t="n">
        <v>1.88</v>
      </c>
      <c r="F1041" s="22" t="n">
        <v>8.15</v>
      </c>
      <c r="G1041" s="22" t="n">
        <v>13.966085</v>
      </c>
      <c r="H1041" s="23">
        <f>IF(AND(ISNUMBER(F1041),ISNUMBER(G1041),F1041&gt;0),G1041/F1041-1,"")</f>
        <v/>
      </c>
      <c r="I1041" s="22" t="n">
        <v>7.722049</v>
      </c>
      <c r="J1041" s="23">
        <f>IF(AND(ISNUMBER(F1041),ISNUMBER(I1041),F1041&gt;0),I1041/F1041-1,"")</f>
        <v/>
      </c>
      <c r="K1041" s="22" t="n">
        <v>22.606844</v>
      </c>
      <c r="L1041" s="23">
        <f>IF(AND(ISNUMBER(F1041),ISNUMBER(K1041),F1041&gt;0),K1041/F1041-1,"")</f>
        <v/>
      </c>
      <c r="M1041" s="24" t="n">
        <v>17</v>
      </c>
      <c r="N1041" s="25" t="n"/>
      <c r="O1041" s="26">
        <f>IF(AND(ISNUMBER(F1041),ISNUMBER(N1041),F1041&gt;0),N1041/F1041,"")</f>
        <v/>
      </c>
      <c r="P1041" s="27" t="n">
        <v>46136</v>
      </c>
      <c r="Q1041" s="27" t="n">
        <v>46338</v>
      </c>
      <c r="R1041" s="25" t="n">
        <v>2.58</v>
      </c>
      <c r="S1041" s="28">
        <f>IF(AND(ISNUMBER(F1041),ISNUMBER(R1041),R1041&gt;0),F1041/R1041,"")</f>
        <v/>
      </c>
      <c r="T1041" s="27" t="n">
        <v>46323</v>
      </c>
    </row>
    <row r="1042">
      <c r="A1042" s="11" t="inlineStr">
        <is>
          <t>LUNR</t>
        </is>
      </c>
      <c r="B1042" s="11" t="inlineStr">
        <is>
          <t>Intuitive Machines, Inc.</t>
        </is>
      </c>
      <c r="C1042" s="11" t="inlineStr">
        <is>
          <t>Aerospace &amp; Defense</t>
        </is>
      </c>
      <c r="D1042" s="11" t="inlineStr">
        <is>
          <t>United States</t>
        </is>
      </c>
      <c r="E1042" s="12" t="n">
        <v>1.87</v>
      </c>
      <c r="F1042" s="13" t="n">
        <v>11.56</v>
      </c>
      <c r="G1042" s="13" t="n">
        <v>29</v>
      </c>
      <c r="H1042" s="14">
        <f>IF(AND(ISNUMBER(F1042),ISNUMBER(G1042),F1042&gt;0),G1042/F1042-1,"")</f>
        <v/>
      </c>
      <c r="I1042" s="13" t="n">
        <v>13</v>
      </c>
      <c r="J1042" s="14">
        <f>IF(AND(ISNUMBER(F1042),ISNUMBER(I1042),F1042&gt;0),I1042/F1042-1,"")</f>
        <v/>
      </c>
      <c r="K1042" s="13" t="n">
        <v>43</v>
      </c>
      <c r="L1042" s="14">
        <f>IF(AND(ISNUMBER(F1042),ISNUMBER(K1042),F1042&gt;0),K1042/F1042-1,"")</f>
        <v/>
      </c>
      <c r="M1042" s="15" t="n">
        <v>9</v>
      </c>
      <c r="N1042" s="16" t="n"/>
      <c r="O1042" s="17">
        <f>IF(AND(ISNUMBER(F1042),ISNUMBER(N1042),F1042&gt;0),N1042/F1042,"")</f>
        <v/>
      </c>
      <c r="P1042" s="18" t="n"/>
      <c r="Q1042" s="18" t="n">
        <v>46336</v>
      </c>
      <c r="R1042" s="16" t="n">
        <v>-0.95</v>
      </c>
      <c r="S1042" s="19">
        <f>IF(AND(ISNUMBER(F1042),ISNUMBER(R1042),R1042&gt;0),F1042/R1042,"")</f>
        <v/>
      </c>
      <c r="T1042" s="18" t="n">
        <v>46323</v>
      </c>
    </row>
    <row r="1043">
      <c r="A1043" s="20" t="inlineStr">
        <is>
          <t>GLOB</t>
        </is>
      </c>
      <c r="B1043" s="20" t="inlineStr">
        <is>
          <t>Globant S.A.</t>
        </is>
      </c>
      <c r="C1043" s="20" t="inlineStr">
        <is>
          <t>Information Technology Services</t>
        </is>
      </c>
      <c r="D1043" s="20" t="inlineStr">
        <is>
          <t>Luxembourg</t>
        </is>
      </c>
      <c r="E1043" s="21" t="n">
        <v>1.86</v>
      </c>
      <c r="F1043" s="22" t="n">
        <v>42.97</v>
      </c>
      <c r="G1043" s="22" t="n">
        <v>52</v>
      </c>
      <c r="H1043" s="23">
        <f>IF(AND(ISNUMBER(F1043),ISNUMBER(G1043),F1043&gt;0),G1043/F1043-1,"")</f>
        <v/>
      </c>
      <c r="I1043" s="22" t="n">
        <v>35</v>
      </c>
      <c r="J1043" s="23">
        <f>IF(AND(ISNUMBER(F1043),ISNUMBER(I1043),F1043&gt;0),I1043/F1043-1,"")</f>
        <v/>
      </c>
      <c r="K1043" s="22" t="n">
        <v>100</v>
      </c>
      <c r="L1043" s="23">
        <f>IF(AND(ISNUMBER(F1043),ISNUMBER(K1043),F1043&gt;0),K1043/F1043-1,"")</f>
        <v/>
      </c>
      <c r="M1043" s="24" t="n">
        <v>22</v>
      </c>
      <c r="N1043" s="25" t="n"/>
      <c r="O1043" s="26">
        <f>IF(AND(ISNUMBER(F1043),ISNUMBER(N1043),F1043&gt;0),N1043/F1043,"")</f>
        <v/>
      </c>
      <c r="P1043" s="27" t="n"/>
      <c r="Q1043" s="27" t="n">
        <v>46345</v>
      </c>
      <c r="R1043" s="25" t="n">
        <v>2.56</v>
      </c>
      <c r="S1043" s="28">
        <f>IF(AND(ISNUMBER(F1043),ISNUMBER(R1043),R1043&gt;0),F1043/R1043,"")</f>
        <v/>
      </c>
      <c r="T1043" s="27" t="n">
        <v>46323</v>
      </c>
    </row>
    <row r="1044">
      <c r="A1044" s="11" t="inlineStr">
        <is>
          <t>RUN</t>
        </is>
      </c>
      <c r="B1044" s="11" t="inlineStr">
        <is>
          <t>Sunrun Inc.</t>
        </is>
      </c>
      <c r="C1044" s="11" t="inlineStr">
        <is>
          <t>Solar</t>
        </is>
      </c>
      <c r="D1044" s="11" t="inlineStr">
        <is>
          <t>United States</t>
        </is>
      </c>
      <c r="E1044" s="12" t="n">
        <v>1.8</v>
      </c>
      <c r="F1044" s="13" t="n">
        <v>7.53</v>
      </c>
      <c r="G1044" s="13" t="n">
        <v>14.375</v>
      </c>
      <c r="H1044" s="14">
        <f>IF(AND(ISNUMBER(F1044),ISNUMBER(G1044),F1044&gt;0),G1044/F1044-1,"")</f>
        <v/>
      </c>
      <c r="I1044" s="13" t="n">
        <v>7</v>
      </c>
      <c r="J1044" s="14">
        <f>IF(AND(ISNUMBER(F1044),ISNUMBER(I1044),F1044&gt;0),I1044/F1044-1,"")</f>
        <v/>
      </c>
      <c r="K1044" s="13" t="n">
        <v>30</v>
      </c>
      <c r="L1044" s="14">
        <f>IF(AND(ISNUMBER(F1044),ISNUMBER(K1044),F1044&gt;0),K1044/F1044-1,"")</f>
        <v/>
      </c>
      <c r="M1044" s="15" t="n">
        <v>18</v>
      </c>
      <c r="N1044" s="16" t="n"/>
      <c r="O1044" s="17">
        <f>IF(AND(ISNUMBER(F1044),ISNUMBER(N1044),F1044&gt;0),N1044/F1044,"")</f>
        <v/>
      </c>
      <c r="P1044" s="18" t="n"/>
      <c r="Q1044" s="18" t="n">
        <v>46330</v>
      </c>
      <c r="R1044" s="16" t="n">
        <v>1.48</v>
      </c>
      <c r="S1044" s="19">
        <f>IF(AND(ISNUMBER(F1044),ISNUMBER(R1044),R1044&gt;0),F1044/R1044,"")</f>
        <v/>
      </c>
      <c r="T1044" s="18" t="n">
        <v>46323</v>
      </c>
    </row>
    <row r="1045">
      <c r="A1045" s="20" t="inlineStr">
        <is>
          <t>CPRI</t>
        </is>
      </c>
      <c r="B1045" s="20" t="inlineStr">
        <is>
          <t>Capri Holdings Limited</t>
        </is>
      </c>
      <c r="C1045" s="20" t="inlineStr">
        <is>
          <t>Luxury Goods</t>
        </is>
      </c>
      <c r="D1045" s="20" t="inlineStr">
        <is>
          <t>United Kingdom</t>
        </is>
      </c>
      <c r="E1045" s="21" t="n">
        <v>1.77</v>
      </c>
      <c r="F1045" s="22" t="n">
        <v>15.42</v>
      </c>
      <c r="G1045" s="22" t="n">
        <v>21.63333</v>
      </c>
      <c r="H1045" s="23">
        <f>IF(AND(ISNUMBER(F1045),ISNUMBER(G1045),F1045&gt;0),G1045/F1045-1,"")</f>
        <v/>
      </c>
      <c r="I1045" s="22" t="n">
        <v>16</v>
      </c>
      <c r="J1045" s="23">
        <f>IF(AND(ISNUMBER(F1045),ISNUMBER(I1045),F1045&gt;0),I1045/F1045-1,"")</f>
        <v/>
      </c>
      <c r="K1045" s="22" t="n">
        <v>45.5</v>
      </c>
      <c r="L1045" s="23">
        <f>IF(AND(ISNUMBER(F1045),ISNUMBER(K1045),F1045&gt;0),K1045/F1045-1,"")</f>
        <v/>
      </c>
      <c r="M1045" s="24" t="n">
        <v>15</v>
      </c>
      <c r="N1045" s="25" t="n"/>
      <c r="O1045" s="26">
        <f>IF(AND(ISNUMBER(F1045),ISNUMBER(N1045),F1045&gt;0),N1045/F1045,"")</f>
        <v/>
      </c>
      <c r="P1045" s="27" t="n"/>
      <c r="Q1045" s="27" t="n">
        <v>46325</v>
      </c>
      <c r="R1045" s="25" t="n">
        <v>0.78</v>
      </c>
      <c r="S1045" s="28">
        <f>IF(AND(ISNUMBER(F1045),ISNUMBER(R1045),R1045&gt;0),F1045/R1045,"")</f>
        <v/>
      </c>
      <c r="T1045" s="27" t="n">
        <v>46323</v>
      </c>
    </row>
    <row r="1046">
      <c r="A1046" s="11" t="inlineStr">
        <is>
          <t>GENI</t>
        </is>
      </c>
      <c r="B1046" s="11" t="inlineStr">
        <is>
          <t>Genius Sports Limited</t>
        </is>
      </c>
      <c r="C1046" s="11" t="inlineStr">
        <is>
          <t>Internet Content &amp; Information</t>
        </is>
      </c>
      <c r="D1046" s="11" t="inlineStr">
        <is>
          <t>United Kingdom</t>
        </is>
      </c>
      <c r="E1046" s="12" t="n">
        <v>1.69</v>
      </c>
      <c r="F1046" s="13" t="n">
        <v>6.32</v>
      </c>
      <c r="G1046" s="13" t="n">
        <v>10.7619</v>
      </c>
      <c r="H1046" s="14">
        <f>IF(AND(ISNUMBER(F1046),ISNUMBER(G1046),F1046&gt;0),G1046/F1046-1,"")</f>
        <v/>
      </c>
      <c r="I1046" s="13" t="n">
        <v>6</v>
      </c>
      <c r="J1046" s="14">
        <f>IF(AND(ISNUMBER(F1046),ISNUMBER(I1046),F1046&gt;0),I1046/F1046-1,"")</f>
        <v/>
      </c>
      <c r="K1046" s="13" t="n">
        <v>20</v>
      </c>
      <c r="L1046" s="14">
        <f>IF(AND(ISNUMBER(F1046),ISNUMBER(K1046),F1046&gt;0),K1046/F1046-1,"")</f>
        <v/>
      </c>
      <c r="M1046" s="15" t="n">
        <v>21</v>
      </c>
      <c r="N1046" s="16" t="n"/>
      <c r="O1046" s="17">
        <f>IF(AND(ISNUMBER(F1046),ISNUMBER(N1046),F1046&gt;0),N1046/F1046,"")</f>
        <v/>
      </c>
      <c r="P1046" s="18" t="n"/>
      <c r="Q1046" s="18" t="n">
        <v>46331</v>
      </c>
      <c r="R1046" s="16" t="n">
        <v>-0.67</v>
      </c>
      <c r="S1046" s="19">
        <f>IF(AND(ISNUMBER(F1046),ISNUMBER(R1046),R1046&gt;0),F1046/R1046,"")</f>
        <v/>
      </c>
      <c r="T1046" s="18" t="n">
        <v>46323</v>
      </c>
    </row>
    <row r="1047">
      <c r="A1047" s="20" t="inlineStr">
        <is>
          <t>FRMI</t>
        </is>
      </c>
      <c r="B1047" s="20" t="inlineStr">
        <is>
          <t>Fermi Inc.</t>
        </is>
      </c>
      <c r="C1047" s="20" t="inlineStr">
        <is>
          <t>Reit - Specialty</t>
        </is>
      </c>
      <c r="D1047" s="20" t="inlineStr">
        <is>
          <t>United States</t>
        </is>
      </c>
      <c r="E1047" s="21" t="n">
        <v>1.68</v>
      </c>
      <c r="F1047" s="22" t="n">
        <v>2.62</v>
      </c>
      <c r="G1047" s="22" t="n">
        <v>16.625</v>
      </c>
      <c r="H1047" s="23">
        <f>IF(AND(ISNUMBER(F1047),ISNUMBER(G1047),F1047&gt;0),G1047/F1047-1,"")</f>
        <v/>
      </c>
      <c r="I1047" s="22" t="n">
        <v>6</v>
      </c>
      <c r="J1047" s="23">
        <f>IF(AND(ISNUMBER(F1047),ISNUMBER(I1047),F1047&gt;0),I1047/F1047-1,"")</f>
        <v/>
      </c>
      <c r="K1047" s="22" t="n">
        <v>35</v>
      </c>
      <c r="L1047" s="23">
        <f>IF(AND(ISNUMBER(F1047),ISNUMBER(K1047),F1047&gt;0),K1047/F1047-1,"")</f>
        <v/>
      </c>
      <c r="M1047" s="24" t="n">
        <v>8</v>
      </c>
      <c r="N1047" s="25" t="n"/>
      <c r="O1047" s="26">
        <f>IF(AND(ISNUMBER(F1047),ISNUMBER(N1047),F1047&gt;0),N1047/F1047,"")</f>
        <v/>
      </c>
      <c r="P1047" s="27" t="n"/>
      <c r="Q1047" s="27" t="n">
        <v>46338</v>
      </c>
      <c r="R1047" s="25" t="n">
        <v>-1.27</v>
      </c>
      <c r="S1047" s="28">
        <f>IF(AND(ISNUMBER(F1047),ISNUMBER(R1047),R1047&gt;0),F1047/R1047,"")</f>
        <v/>
      </c>
      <c r="T1047" s="27" t="n">
        <v>46323</v>
      </c>
    </row>
    <row r="1048">
      <c r="A1048" s="11" t="inlineStr">
        <is>
          <t>NVAX</t>
        </is>
      </c>
      <c r="B1048" s="11" t="inlineStr">
        <is>
          <t>Novavax, Inc.</t>
        </is>
      </c>
      <c r="C1048" s="11" t="inlineStr">
        <is>
          <t>Biotechnology</t>
        </is>
      </c>
      <c r="D1048" s="11" t="inlineStr">
        <is>
          <t>United States</t>
        </is>
      </c>
      <c r="E1048" s="12" t="n">
        <v>1.65</v>
      </c>
      <c r="F1048" s="13" t="n">
        <v>10.02</v>
      </c>
      <c r="G1048" s="13" t="n">
        <v>14.22222</v>
      </c>
      <c r="H1048" s="14">
        <f>IF(AND(ISNUMBER(F1048),ISNUMBER(G1048),F1048&gt;0),G1048/F1048-1,"")</f>
        <v/>
      </c>
      <c r="I1048" s="13" t="n">
        <v>7</v>
      </c>
      <c r="J1048" s="14">
        <f>IF(AND(ISNUMBER(F1048),ISNUMBER(I1048),F1048&gt;0),I1048/F1048-1,"")</f>
        <v/>
      </c>
      <c r="K1048" s="13" t="n">
        <v>25</v>
      </c>
      <c r="L1048" s="14">
        <f>IF(AND(ISNUMBER(F1048),ISNUMBER(K1048),F1048&gt;0),K1048/F1048-1,"")</f>
        <v/>
      </c>
      <c r="M1048" s="15" t="n">
        <v>9</v>
      </c>
      <c r="N1048" s="16" t="n"/>
      <c r="O1048" s="17">
        <f>IF(AND(ISNUMBER(F1048),ISNUMBER(N1048),F1048&gt;0),N1048/F1048,"")</f>
        <v/>
      </c>
      <c r="P1048" s="18" t="n"/>
      <c r="Q1048" s="18" t="n">
        <v>46331</v>
      </c>
      <c r="R1048" s="16" t="n">
        <v>-1.58</v>
      </c>
      <c r="S1048" s="19">
        <f>IF(AND(ISNUMBER(F1048),ISNUMBER(R1048),R1048&gt;0),F1048/R1048,"")</f>
        <v/>
      </c>
      <c r="T1048" s="18" t="n">
        <v>46323</v>
      </c>
    </row>
    <row r="1049">
      <c r="A1049" s="20" t="inlineStr">
        <is>
          <t>GSHD</t>
        </is>
      </c>
      <c r="B1049" s="20" t="inlineStr">
        <is>
          <t>Goosehead Insurance, Inc.</t>
        </is>
      </c>
      <c r="C1049" s="20" t="inlineStr">
        <is>
          <t>Insurance Brokers</t>
        </is>
      </c>
      <c r="D1049" s="20" t="inlineStr">
        <is>
          <t>United States</t>
        </is>
      </c>
      <c r="E1049" s="21" t="n">
        <v>1.65</v>
      </c>
      <c r="F1049" s="22" t="n">
        <v>46.15</v>
      </c>
      <c r="G1049" s="22" t="n">
        <v>62.08333</v>
      </c>
      <c r="H1049" s="23">
        <f>IF(AND(ISNUMBER(F1049),ISNUMBER(G1049),F1049&gt;0),G1049/F1049-1,"")</f>
        <v/>
      </c>
      <c r="I1049" s="22" t="n">
        <v>42</v>
      </c>
      <c r="J1049" s="23">
        <f>IF(AND(ISNUMBER(F1049),ISNUMBER(I1049),F1049&gt;0),I1049/F1049-1,"")</f>
        <v/>
      </c>
      <c r="K1049" s="22" t="n">
        <v>80</v>
      </c>
      <c r="L1049" s="23">
        <f>IF(AND(ISNUMBER(F1049),ISNUMBER(K1049),F1049&gt;0),K1049/F1049-1,"")</f>
        <v/>
      </c>
      <c r="M1049" s="24" t="n">
        <v>12</v>
      </c>
      <c r="N1049" s="25" t="n"/>
      <c r="O1049" s="26">
        <f>IF(AND(ISNUMBER(F1049),ISNUMBER(N1049),F1049&gt;0),N1049/F1049,"")</f>
        <v/>
      </c>
      <c r="P1049" s="27" t="n"/>
      <c r="Q1049" s="27" t="n">
        <v>46335</v>
      </c>
      <c r="R1049" s="25" t="n">
        <v>1.35</v>
      </c>
      <c r="S1049" s="28">
        <f>IF(AND(ISNUMBER(F1049),ISNUMBER(R1049),R1049&gt;0),F1049/R1049,"")</f>
        <v/>
      </c>
      <c r="T1049" s="27" t="n">
        <v>46323</v>
      </c>
    </row>
    <row r="1050">
      <c r="A1050" s="11" t="inlineStr">
        <is>
          <t>WWW</t>
        </is>
      </c>
      <c r="B1050" s="11" t="inlineStr">
        <is>
          <t>Wolverine World Wide, Inc.</t>
        </is>
      </c>
      <c r="C1050" s="11" t="inlineStr">
        <is>
          <t>Footwear &amp; Accessories</t>
        </is>
      </c>
      <c r="D1050" s="11" t="inlineStr">
        <is>
          <t>United States</t>
        </is>
      </c>
      <c r="E1050" s="12" t="n">
        <v>1.62</v>
      </c>
      <c r="F1050" s="13" t="n">
        <v>19.7</v>
      </c>
      <c r="G1050" s="13" t="n">
        <v>24.3</v>
      </c>
      <c r="H1050" s="14">
        <f>IF(AND(ISNUMBER(F1050),ISNUMBER(G1050),F1050&gt;0),G1050/F1050-1,"")</f>
        <v/>
      </c>
      <c r="I1050" s="13" t="n">
        <v>19</v>
      </c>
      <c r="J1050" s="14">
        <f>IF(AND(ISNUMBER(F1050),ISNUMBER(I1050),F1050&gt;0),I1050/F1050-1,"")</f>
        <v/>
      </c>
      <c r="K1050" s="13" t="n">
        <v>31</v>
      </c>
      <c r="L1050" s="14">
        <f>IF(AND(ISNUMBER(F1050),ISNUMBER(K1050),F1050&gt;0),K1050/F1050-1,"")</f>
        <v/>
      </c>
      <c r="M1050" s="15" t="n">
        <v>10</v>
      </c>
      <c r="N1050" s="16" t="n">
        <v>0.4</v>
      </c>
      <c r="O1050" s="17">
        <f>IF(AND(ISNUMBER(F1050),ISNUMBER(N1050),F1050&gt;0),N1050/F1050,"")</f>
        <v/>
      </c>
      <c r="P1050" s="18" t="n">
        <v>46296</v>
      </c>
      <c r="Q1050" s="18" t="n">
        <v>46338</v>
      </c>
      <c r="R1050" s="16" t="n">
        <v>1.29</v>
      </c>
      <c r="S1050" s="19">
        <f>IF(AND(ISNUMBER(F1050),ISNUMBER(R1050),R1050&gt;0),F1050/R1050,"")</f>
        <v/>
      </c>
      <c r="T1050" s="18" t="n">
        <v>46323</v>
      </c>
    </row>
    <row r="1051">
      <c r="A1051" s="20" t="inlineStr">
        <is>
          <t>ENR</t>
        </is>
      </c>
      <c r="B1051" s="20" t="inlineStr">
        <is>
          <t>Energizer Holdings, Inc.</t>
        </is>
      </c>
      <c r="C1051" s="20" t="inlineStr">
        <is>
          <t>Electrical Equipment &amp; Parts</t>
        </is>
      </c>
      <c r="D1051" s="20" t="inlineStr">
        <is>
          <t>United States</t>
        </is>
      </c>
      <c r="E1051" s="21" t="n">
        <v>1.56</v>
      </c>
      <c r="F1051" s="22" t="n">
        <v>22.72</v>
      </c>
      <c r="G1051" s="22" t="n">
        <v>22</v>
      </c>
      <c r="H1051" s="23">
        <f>IF(AND(ISNUMBER(F1051),ISNUMBER(G1051),F1051&gt;0),G1051/F1051-1,"")</f>
        <v/>
      </c>
      <c r="I1051" s="22" t="n">
        <v>17</v>
      </c>
      <c r="J1051" s="23">
        <f>IF(AND(ISNUMBER(F1051),ISNUMBER(I1051),F1051&gt;0),I1051/F1051-1,"")</f>
        <v/>
      </c>
      <c r="K1051" s="22" t="n">
        <v>28</v>
      </c>
      <c r="L1051" s="23">
        <f>IF(AND(ISNUMBER(F1051),ISNUMBER(K1051),F1051&gt;0),K1051/F1051-1,"")</f>
        <v/>
      </c>
      <c r="M1051" s="24" t="n">
        <v>6</v>
      </c>
      <c r="N1051" s="25" t="n">
        <v>1.2</v>
      </c>
      <c r="O1051" s="26">
        <f>IF(AND(ISNUMBER(F1051),ISNUMBER(N1051),F1051&gt;0),N1051/F1051,"")</f>
        <v/>
      </c>
      <c r="P1051" s="27" t="n">
        <v>46253</v>
      </c>
      <c r="Q1051" s="27" t="n">
        <v>46343</v>
      </c>
      <c r="R1051" s="25" t="n">
        <v>1.19</v>
      </c>
      <c r="S1051" s="28">
        <f>IF(AND(ISNUMBER(F1051),ISNUMBER(R1051),R1051&gt;0),F1051/R1051,"")</f>
        <v/>
      </c>
      <c r="T1051" s="27" t="n">
        <v>46323</v>
      </c>
    </row>
    <row r="1052">
      <c r="A1052" s="11" t="inlineStr">
        <is>
          <t>QUBT</t>
        </is>
      </c>
      <c r="B1052" s="11" t="inlineStr">
        <is>
          <t>Quantum Computing Inc.</t>
        </is>
      </c>
      <c r="C1052" s="11" t="inlineStr">
        <is>
          <t>Computer Hardware</t>
        </is>
      </c>
      <c r="D1052" s="11" t="inlineStr">
        <is>
          <t>United States</t>
        </is>
      </c>
      <c r="E1052" s="12" t="n">
        <v>1.56</v>
      </c>
      <c r="F1052" s="13" t="n">
        <v>6.87</v>
      </c>
      <c r="G1052" s="13" t="n">
        <v>18.66667</v>
      </c>
      <c r="H1052" s="14">
        <f>IF(AND(ISNUMBER(F1052),ISNUMBER(G1052),F1052&gt;0),G1052/F1052-1,"")</f>
        <v/>
      </c>
      <c r="I1052" s="13" t="n">
        <v>10</v>
      </c>
      <c r="J1052" s="14">
        <f>IF(AND(ISNUMBER(F1052),ISNUMBER(I1052),F1052&gt;0),I1052/F1052-1,"")</f>
        <v/>
      </c>
      <c r="K1052" s="13" t="n">
        <v>32</v>
      </c>
      <c r="L1052" s="14">
        <f>IF(AND(ISNUMBER(F1052),ISNUMBER(K1052),F1052&gt;0),K1052/F1052-1,"")</f>
        <v/>
      </c>
      <c r="M1052" s="15" t="n">
        <v>6</v>
      </c>
      <c r="N1052" s="16" t="n"/>
      <c r="O1052" s="17">
        <f>IF(AND(ISNUMBER(F1052),ISNUMBER(N1052),F1052&gt;0),N1052/F1052,"")</f>
        <v/>
      </c>
      <c r="P1052" s="18" t="n"/>
      <c r="Q1052" s="18" t="n">
        <v>46335</v>
      </c>
      <c r="R1052" s="16" t="n">
        <v>-0.05</v>
      </c>
      <c r="S1052" s="19">
        <f>IF(AND(ISNUMBER(F1052),ISNUMBER(R1052),R1052&gt;0),F1052/R1052,"")</f>
        <v/>
      </c>
      <c r="T1052" s="18" t="n">
        <v>46323</v>
      </c>
    </row>
    <row r="1053">
      <c r="A1053" s="20" t="inlineStr">
        <is>
          <t>LIME</t>
        </is>
      </c>
      <c r="B1053" s="20" t="inlineStr">
        <is>
          <t>Neutron Holdings, Inc.</t>
        </is>
      </c>
      <c r="C1053" s="20" t="inlineStr">
        <is>
          <t>Rental &amp; Leasing Services</t>
        </is>
      </c>
      <c r="D1053" s="20" t="inlineStr">
        <is>
          <t>United States</t>
        </is>
      </c>
      <c r="E1053" s="21" t="n">
        <v>1.54</v>
      </c>
      <c r="F1053" s="22" t="n">
        <v>24.03</v>
      </c>
      <c r="G1053" s="22" t="n">
        <v>37.71429</v>
      </c>
      <c r="H1053" s="23">
        <f>IF(AND(ISNUMBER(F1053),ISNUMBER(G1053),F1053&gt;0),G1053/F1053-1,"")</f>
        <v/>
      </c>
      <c r="I1053" s="22" t="n">
        <v>33</v>
      </c>
      <c r="J1053" s="23">
        <f>IF(AND(ISNUMBER(F1053),ISNUMBER(I1053),F1053&gt;0),I1053/F1053-1,"")</f>
        <v/>
      </c>
      <c r="K1053" s="22" t="n">
        <v>40</v>
      </c>
      <c r="L1053" s="23">
        <f>IF(AND(ISNUMBER(F1053),ISNUMBER(K1053),F1053&gt;0),K1053/F1053-1,"")</f>
        <v/>
      </c>
      <c r="M1053" s="24" t="n">
        <v>7</v>
      </c>
      <c r="N1053" s="25" t="n"/>
      <c r="O1053" s="26">
        <f>IF(AND(ISNUMBER(F1053),ISNUMBER(N1053),F1053&gt;0),N1053/F1053,"")</f>
        <v/>
      </c>
      <c r="P1053" s="27" t="n"/>
      <c r="Q1053" s="27" t="n">
        <v>46329</v>
      </c>
      <c r="R1053" s="25" t="n">
        <v>5.1</v>
      </c>
      <c r="S1053" s="28">
        <f>IF(AND(ISNUMBER(F1053),ISNUMBER(R1053),R1053&gt;0),F1053/R1053,"")</f>
        <v/>
      </c>
      <c r="T1053" s="27" t="n">
        <v>46323</v>
      </c>
    </row>
    <row r="1054">
      <c r="A1054" s="11" t="inlineStr">
        <is>
          <t>ADNT</t>
        </is>
      </c>
      <c r="B1054" s="11" t="inlineStr">
        <is>
          <t>Adient plc</t>
        </is>
      </c>
      <c r="C1054" s="11" t="inlineStr">
        <is>
          <t>Auto Parts</t>
        </is>
      </c>
      <c r="D1054" s="11" t="inlineStr">
        <is>
          <t>Ireland</t>
        </is>
      </c>
      <c r="E1054" s="12" t="n">
        <v>1.32</v>
      </c>
      <c r="F1054" s="13" t="n">
        <v>16.86</v>
      </c>
      <c r="G1054" s="13" t="n">
        <v>27.63636</v>
      </c>
      <c r="H1054" s="14">
        <f>IF(AND(ISNUMBER(F1054),ISNUMBER(G1054),F1054&gt;0),G1054/F1054-1,"")</f>
        <v/>
      </c>
      <c r="I1054" s="13" t="n">
        <v>18</v>
      </c>
      <c r="J1054" s="14">
        <f>IF(AND(ISNUMBER(F1054),ISNUMBER(I1054),F1054&gt;0),I1054/F1054-1,"")</f>
        <v/>
      </c>
      <c r="K1054" s="13" t="n">
        <v>64</v>
      </c>
      <c r="L1054" s="14">
        <f>IF(AND(ISNUMBER(F1054),ISNUMBER(K1054),F1054&gt;0),K1054/F1054-1,"")</f>
        <v/>
      </c>
      <c r="M1054" s="15" t="n">
        <v>11</v>
      </c>
      <c r="N1054" s="16" t="n"/>
      <c r="O1054" s="17">
        <f>IF(AND(ISNUMBER(F1054),ISNUMBER(N1054),F1054&gt;0),N1054/F1054,"")</f>
        <v/>
      </c>
      <c r="P1054" s="18" t="n"/>
      <c r="Q1054" s="18" t="n">
        <v>46330</v>
      </c>
      <c r="R1054" s="16" t="n">
        <v>0.55</v>
      </c>
      <c r="S1054" s="19">
        <f>IF(AND(ISNUMBER(F1054),ISNUMBER(R1054),R1054&gt;0),F1054/R1054,"")</f>
        <v/>
      </c>
      <c r="T1054" s="18" t="n">
        <v>46323</v>
      </c>
    </row>
    <row r="1055">
      <c r="A1055" s="20" t="inlineStr">
        <is>
          <t>LCID</t>
        </is>
      </c>
      <c r="B1055" s="20" t="inlineStr">
        <is>
          <t>Lucid Group, Inc.</t>
        </is>
      </c>
      <c r="C1055" s="20" t="inlineStr">
        <is>
          <t>Auto Manufacturers</t>
        </is>
      </c>
      <c r="D1055" s="20" t="inlineStr">
        <is>
          <t>United States</t>
        </is>
      </c>
      <c r="E1055" s="21" t="n">
        <v>1.3</v>
      </c>
      <c r="F1055" s="22" t="n">
        <v>3.31</v>
      </c>
      <c r="G1055" s="22" t="n">
        <v>7.38889</v>
      </c>
      <c r="H1055" s="23">
        <f>IF(AND(ISNUMBER(F1055),ISNUMBER(G1055),F1055&gt;0),G1055/F1055-1,"")</f>
        <v/>
      </c>
      <c r="I1055" s="22" t="n">
        <v>3</v>
      </c>
      <c r="J1055" s="23">
        <f>IF(AND(ISNUMBER(F1055),ISNUMBER(I1055),F1055&gt;0),I1055/F1055-1,"")</f>
        <v/>
      </c>
      <c r="K1055" s="22" t="n">
        <v>17</v>
      </c>
      <c r="L1055" s="23">
        <f>IF(AND(ISNUMBER(F1055),ISNUMBER(K1055),F1055&gt;0),K1055/F1055-1,"")</f>
        <v/>
      </c>
      <c r="M1055" s="24" t="n">
        <v>9</v>
      </c>
      <c r="N1055" s="25" t="n"/>
      <c r="O1055" s="26">
        <f>IF(AND(ISNUMBER(F1055),ISNUMBER(N1055),F1055&gt;0),N1055/F1055,"")</f>
        <v/>
      </c>
      <c r="P1055" s="27" t="n"/>
      <c r="Q1055" s="27" t="n">
        <v>46335</v>
      </c>
      <c r="R1055" s="25" t="n">
        <v>-13.71</v>
      </c>
      <c r="S1055" s="28">
        <f>IF(AND(ISNUMBER(F1055),ISNUMBER(R1055),R1055&gt;0),F1055/R1055,"")</f>
        <v/>
      </c>
      <c r="T1055" s="27" t="n">
        <v>46323</v>
      </c>
    </row>
    <row r="1056">
      <c r="A1056" s="11" t="inlineStr">
        <is>
          <t>ULCC</t>
        </is>
      </c>
      <c r="B1056" s="11" t="inlineStr">
        <is>
          <t>Frontier Group Holdings, Inc.</t>
        </is>
      </c>
      <c r="C1056" s="11" t="inlineStr">
        <is>
          <t>Airlines</t>
        </is>
      </c>
      <c r="D1056" s="11" t="inlineStr">
        <is>
          <t>United States</t>
        </is>
      </c>
      <c r="E1056" s="12" t="n">
        <v>1.27</v>
      </c>
      <c r="F1056" s="13" t="n">
        <v>5.53</v>
      </c>
      <c r="G1056" s="13" t="n">
        <v>6.33333</v>
      </c>
      <c r="H1056" s="14">
        <f>IF(AND(ISNUMBER(F1056),ISNUMBER(G1056),F1056&gt;0),G1056/F1056-1,"")</f>
        <v/>
      </c>
      <c r="I1056" s="13" t="n">
        <v>4</v>
      </c>
      <c r="J1056" s="14">
        <f>IF(AND(ISNUMBER(F1056),ISNUMBER(I1056),F1056&gt;0),I1056/F1056-1,"")</f>
        <v/>
      </c>
      <c r="K1056" s="13" t="n">
        <v>9</v>
      </c>
      <c r="L1056" s="14">
        <f>IF(AND(ISNUMBER(F1056),ISNUMBER(K1056),F1056&gt;0),K1056/F1056-1,"")</f>
        <v/>
      </c>
      <c r="M1056" s="15" t="n">
        <v>9</v>
      </c>
      <c r="N1056" s="16" t="n"/>
      <c r="O1056" s="17">
        <f>IF(AND(ISNUMBER(F1056),ISNUMBER(N1056),F1056&gt;0),N1056/F1056,"")</f>
        <v/>
      </c>
      <c r="P1056" s="18" t="n"/>
      <c r="Q1056" s="18" t="n">
        <v>46323</v>
      </c>
      <c r="R1056" s="16" t="n">
        <v>-1.68</v>
      </c>
      <c r="S1056" s="19">
        <f>IF(AND(ISNUMBER(F1056),ISNUMBER(R1056),R1056&gt;0),F1056/R1056,"")</f>
        <v/>
      </c>
      <c r="T1056" s="18" t="n">
        <v>46323</v>
      </c>
    </row>
    <row r="1057">
      <c r="A1057" s="20" t="inlineStr">
        <is>
          <t>GT</t>
        </is>
      </c>
      <c r="B1057" s="20" t="inlineStr">
        <is>
          <t>The Goodyear Tire &amp; Rubber Comp</t>
        </is>
      </c>
      <c r="C1057" s="20" t="inlineStr">
        <is>
          <t>Auto Parts</t>
        </is>
      </c>
      <c r="D1057" s="20" t="inlineStr">
        <is>
          <t>United States</t>
        </is>
      </c>
      <c r="E1057" s="21" t="n">
        <v>1.26</v>
      </c>
      <c r="F1057" s="22" t="n">
        <v>4.39</v>
      </c>
      <c r="G1057" s="22" t="n">
        <v>6.71429</v>
      </c>
      <c r="H1057" s="23">
        <f>IF(AND(ISNUMBER(F1057),ISNUMBER(G1057),F1057&gt;0),G1057/F1057-1,"")</f>
        <v/>
      </c>
      <c r="I1057" s="22" t="n">
        <v>4.4</v>
      </c>
      <c r="J1057" s="23">
        <f>IF(AND(ISNUMBER(F1057),ISNUMBER(I1057),F1057&gt;0),I1057/F1057-1,"")</f>
        <v/>
      </c>
      <c r="K1057" s="22" t="n">
        <v>9</v>
      </c>
      <c r="L1057" s="23">
        <f>IF(AND(ISNUMBER(F1057),ISNUMBER(K1057),F1057&gt;0),K1057/F1057-1,"")</f>
        <v/>
      </c>
      <c r="M1057" s="24" t="n">
        <v>7</v>
      </c>
      <c r="N1057" s="25" t="n"/>
      <c r="O1057" s="26">
        <f>IF(AND(ISNUMBER(F1057),ISNUMBER(N1057),F1057&gt;0),N1057/F1057,"")</f>
        <v/>
      </c>
      <c r="P1057" s="27" t="n"/>
      <c r="Q1057" s="27" t="n">
        <v>46330</v>
      </c>
      <c r="R1057" s="25" t="n">
        <v>-8.83</v>
      </c>
      <c r="S1057" s="28">
        <f>IF(AND(ISNUMBER(F1057),ISNUMBER(R1057),R1057&gt;0),F1057/R1057,"")</f>
        <v/>
      </c>
      <c r="T1057" s="27" t="n">
        <v>46323</v>
      </c>
    </row>
    <row r="1058">
      <c r="A1058" s="11" t="inlineStr">
        <is>
          <t>NBR</t>
        </is>
      </c>
      <c r="B1058" s="11" t="inlineStr">
        <is>
          <t>Nabors Industries Ltd.</t>
        </is>
      </c>
      <c r="C1058" s="11" t="inlineStr">
        <is>
          <t>Oil &amp; Gas Drilling</t>
        </is>
      </c>
      <c r="D1058" s="11" t="inlineStr">
        <is>
          <t>Bermuda</t>
        </is>
      </c>
      <c r="E1058" s="12" t="n">
        <v>1.24</v>
      </c>
      <c r="F1058" s="13" t="n">
        <v>81.31999999999999</v>
      </c>
      <c r="G1058" s="13" t="n">
        <v>107.375</v>
      </c>
      <c r="H1058" s="14">
        <f>IF(AND(ISNUMBER(F1058),ISNUMBER(G1058),F1058&gt;0),G1058/F1058-1,"")</f>
        <v/>
      </c>
      <c r="I1058" s="13" t="n">
        <v>80</v>
      </c>
      <c r="J1058" s="14">
        <f>IF(AND(ISNUMBER(F1058),ISNUMBER(I1058),F1058&gt;0),I1058/F1058-1,"")</f>
        <v/>
      </c>
      <c r="K1058" s="13" t="n">
        <v>130</v>
      </c>
      <c r="L1058" s="14">
        <f>IF(AND(ISNUMBER(F1058),ISNUMBER(K1058),F1058&gt;0),K1058/F1058-1,"")</f>
        <v/>
      </c>
      <c r="M1058" s="15" t="n">
        <v>8</v>
      </c>
      <c r="N1058" s="16" t="n"/>
      <c r="O1058" s="17">
        <f>IF(AND(ISNUMBER(F1058),ISNUMBER(N1058),F1058&gt;0),N1058/F1058,"")</f>
        <v/>
      </c>
      <c r="P1058" s="18" t="n"/>
      <c r="Q1058" s="18" t="n">
        <v>46322</v>
      </c>
      <c r="R1058" s="16" t="n">
        <v>13.12</v>
      </c>
      <c r="S1058" s="19">
        <f>IF(AND(ISNUMBER(F1058),ISNUMBER(R1058),R1058&gt;0),F1058/R1058,"")</f>
        <v/>
      </c>
      <c r="T1058" s="18" t="n">
        <v>46323</v>
      </c>
    </row>
    <row r="1059">
      <c r="A1059" s="20" t="inlineStr">
        <is>
          <t>SG</t>
        </is>
      </c>
      <c r="B1059" s="20" t="inlineStr">
        <is>
          <t>Sweetgreen, Inc.</t>
        </is>
      </c>
      <c r="C1059" s="20" t="inlineStr">
        <is>
          <t>Restaurants</t>
        </is>
      </c>
      <c r="D1059" s="20" t="inlineStr">
        <is>
          <t>United States</t>
        </is>
      </c>
      <c r="E1059" s="21" t="n">
        <v>1.23</v>
      </c>
      <c r="F1059" s="22" t="n">
        <v>10.31</v>
      </c>
      <c r="G1059" s="22" t="n">
        <v>9.074999999999999</v>
      </c>
      <c r="H1059" s="23">
        <f>IF(AND(ISNUMBER(F1059),ISNUMBER(G1059),F1059&gt;0),G1059/F1059-1,"")</f>
        <v/>
      </c>
      <c r="I1059" s="22" t="n">
        <v>4.4</v>
      </c>
      <c r="J1059" s="23">
        <f>IF(AND(ISNUMBER(F1059),ISNUMBER(I1059),F1059&gt;0),I1059/F1059-1,"")</f>
        <v/>
      </c>
      <c r="K1059" s="22" t="n">
        <v>13</v>
      </c>
      <c r="L1059" s="23">
        <f>IF(AND(ISNUMBER(F1059),ISNUMBER(K1059),F1059&gt;0),K1059/F1059-1,"")</f>
        <v/>
      </c>
      <c r="M1059" s="24" t="n">
        <v>12</v>
      </c>
      <c r="N1059" s="25" t="n"/>
      <c r="O1059" s="26">
        <f>IF(AND(ISNUMBER(F1059),ISNUMBER(N1059),F1059&gt;0),N1059/F1059,"")</f>
        <v/>
      </c>
      <c r="P1059" s="27" t="n"/>
      <c r="Q1059" s="27" t="n">
        <v>46331</v>
      </c>
      <c r="R1059" s="25" t="n">
        <v>0.09</v>
      </c>
      <c r="S1059" s="28">
        <f>IF(AND(ISNUMBER(F1059),ISNUMBER(R1059),R1059&gt;0),F1059/R1059,"")</f>
        <v/>
      </c>
      <c r="T1059" s="27" t="n">
        <v>46323</v>
      </c>
    </row>
    <row r="1060">
      <c r="A1060" s="11" t="inlineStr">
        <is>
          <t>TMC</t>
        </is>
      </c>
      <c r="B1060" s="11" t="inlineStr">
        <is>
          <t>TMC the metals company Inc.</t>
        </is>
      </c>
      <c r="C1060" s="11" t="inlineStr">
        <is>
          <t>Other Industrial Metals &amp; Mining</t>
        </is>
      </c>
      <c r="D1060" s="11" t="inlineStr">
        <is>
          <t>Canada</t>
        </is>
      </c>
      <c r="E1060" s="12" t="n">
        <v>1.21</v>
      </c>
      <c r="F1060" s="13" t="n">
        <v>2.75</v>
      </c>
      <c r="G1060" s="13" t="n">
        <v>10.9</v>
      </c>
      <c r="H1060" s="14">
        <f>IF(AND(ISNUMBER(F1060),ISNUMBER(G1060),F1060&gt;0),G1060/F1060-1,"")</f>
        <v/>
      </c>
      <c r="I1060" s="13" t="n">
        <v>10</v>
      </c>
      <c r="J1060" s="14">
        <f>IF(AND(ISNUMBER(F1060),ISNUMBER(I1060),F1060&gt;0),I1060/F1060-1,"")</f>
        <v/>
      </c>
      <c r="K1060" s="13" t="n">
        <v>12.3</v>
      </c>
      <c r="L1060" s="14">
        <f>IF(AND(ISNUMBER(F1060),ISNUMBER(K1060),F1060&gt;0),K1060/F1060-1,"")</f>
        <v/>
      </c>
      <c r="M1060" s="15" t="n">
        <v>7</v>
      </c>
      <c r="N1060" s="16" t="n"/>
      <c r="O1060" s="17">
        <f>IF(AND(ISNUMBER(F1060),ISNUMBER(N1060),F1060&gt;0),N1060/F1060,"")</f>
        <v/>
      </c>
      <c r="P1060" s="18" t="n"/>
      <c r="Q1060" s="18" t="n">
        <v>46338</v>
      </c>
      <c r="R1060" s="16" t="n">
        <v>-0.73</v>
      </c>
      <c r="S1060" s="19">
        <f>IF(AND(ISNUMBER(F1060),ISNUMBER(R1060),R1060&gt;0),F1060/R1060,"")</f>
        <v/>
      </c>
      <c r="T1060" s="18" t="n">
        <v>46323</v>
      </c>
    </row>
    <row r="1061">
      <c r="A1061" s="20" t="inlineStr">
        <is>
          <t>RPD</t>
        </is>
      </c>
      <c r="B1061" s="20" t="inlineStr">
        <is>
          <t>Rapid7, Inc.</t>
        </is>
      </c>
      <c r="C1061" s="20" t="inlineStr">
        <is>
          <t>Software - Infrastructure</t>
        </is>
      </c>
      <c r="D1061" s="20" t="inlineStr">
        <is>
          <t>United States</t>
        </is>
      </c>
      <c r="E1061" s="21" t="n">
        <v>1.19</v>
      </c>
      <c r="F1061" s="22" t="n">
        <v>17.6</v>
      </c>
      <c r="G1061" s="22" t="n">
        <v>12.17095</v>
      </c>
      <c r="H1061" s="23">
        <f>IF(AND(ISNUMBER(F1061),ISNUMBER(G1061),F1061&gt;0),G1061/F1061-1,"")</f>
        <v/>
      </c>
      <c r="I1061" s="22" t="n">
        <v>9</v>
      </c>
      <c r="J1061" s="23">
        <f>IF(AND(ISNUMBER(F1061),ISNUMBER(I1061),F1061&gt;0),I1061/F1061-1,"")</f>
        <v/>
      </c>
      <c r="K1061" s="22" t="n">
        <v>16</v>
      </c>
      <c r="L1061" s="23">
        <f>IF(AND(ISNUMBER(F1061),ISNUMBER(K1061),F1061&gt;0),K1061/F1061-1,"")</f>
        <v/>
      </c>
      <c r="M1061" s="24" t="n">
        <v>21</v>
      </c>
      <c r="N1061" s="25" t="n"/>
      <c r="O1061" s="26">
        <f>IF(AND(ISNUMBER(F1061),ISNUMBER(N1061),F1061&gt;0),N1061/F1061,"")</f>
        <v/>
      </c>
      <c r="P1061" s="27" t="n"/>
      <c r="Q1061" s="27" t="n">
        <v>46330</v>
      </c>
      <c r="R1061" s="25" t="n">
        <v>0.31</v>
      </c>
      <c r="S1061" s="28">
        <f>IF(AND(ISNUMBER(F1061),ISNUMBER(R1061),R1061&gt;0),F1061/R1061,"")</f>
        <v/>
      </c>
      <c r="T1061" s="27" t="n">
        <v>46323</v>
      </c>
    </row>
    <row r="1062">
      <c r="A1062" s="11" t="inlineStr">
        <is>
          <t>WEN</t>
        </is>
      </c>
      <c r="B1062" s="11" t="inlineStr">
        <is>
          <t>Wendy's Company (The)</t>
        </is>
      </c>
      <c r="C1062" s="11" t="inlineStr">
        <is>
          <t>Restaurants</t>
        </is>
      </c>
      <c r="D1062" s="11" t="inlineStr">
        <is>
          <t>United States</t>
        </is>
      </c>
      <c r="E1062" s="12" t="n">
        <v>1.17</v>
      </c>
      <c r="F1062" s="13" t="n">
        <v>6.14</v>
      </c>
      <c r="G1062" s="13" t="n">
        <v>7.18056</v>
      </c>
      <c r="H1062" s="14">
        <f>IF(AND(ISNUMBER(F1062),ISNUMBER(G1062),F1062&gt;0),G1062/F1062-1,"")</f>
        <v/>
      </c>
      <c r="I1062" s="13" t="n">
        <v>5</v>
      </c>
      <c r="J1062" s="14">
        <f>IF(AND(ISNUMBER(F1062),ISNUMBER(I1062),F1062&gt;0),I1062/F1062-1,"")</f>
        <v/>
      </c>
      <c r="K1062" s="13" t="n">
        <v>11</v>
      </c>
      <c r="L1062" s="14">
        <f>IF(AND(ISNUMBER(F1062),ISNUMBER(K1062),F1062&gt;0),K1062/F1062-1,"")</f>
        <v/>
      </c>
      <c r="M1062" s="15" t="n">
        <v>18</v>
      </c>
      <c r="N1062" s="16" t="n">
        <v>0.28</v>
      </c>
      <c r="O1062" s="17">
        <f>IF(AND(ISNUMBER(F1062),ISNUMBER(N1062),F1062&gt;0),N1062/F1062,"")</f>
        <v/>
      </c>
      <c r="P1062" s="18" t="n">
        <v>46266</v>
      </c>
      <c r="Q1062" s="18" t="n">
        <v>46331</v>
      </c>
      <c r="R1062" s="16" t="n">
        <v>0.66</v>
      </c>
      <c r="S1062" s="19">
        <f>IF(AND(ISNUMBER(F1062),ISNUMBER(R1062),R1062&gt;0),F1062/R1062,"")</f>
        <v/>
      </c>
      <c r="T1062" s="18" t="n">
        <v>46323</v>
      </c>
    </row>
    <row r="1063">
      <c r="A1063" s="20" t="inlineStr">
        <is>
          <t>FLNC</t>
        </is>
      </c>
      <c r="B1063" s="20" t="inlineStr">
        <is>
          <t>Fluence Energy, Inc.</t>
        </is>
      </c>
      <c r="C1063" s="20" t="inlineStr">
        <is>
          <t>Utilities - Renewable</t>
        </is>
      </c>
      <c r="D1063" s="20" t="inlineStr">
        <is>
          <t>United States</t>
        </is>
      </c>
      <c r="E1063" s="21" t="n">
        <v>1.17</v>
      </c>
      <c r="F1063" s="22" t="n">
        <v>6.01</v>
      </c>
      <c r="G1063" s="22" t="n">
        <v>8.050000000000001</v>
      </c>
      <c r="H1063" s="23">
        <f>IF(AND(ISNUMBER(F1063),ISNUMBER(G1063),F1063&gt;0),G1063/F1063-1,"")</f>
        <v/>
      </c>
      <c r="I1063" s="22" t="n">
        <v>3</v>
      </c>
      <c r="J1063" s="23">
        <f>IF(AND(ISNUMBER(F1063),ISNUMBER(I1063),F1063&gt;0),I1063/F1063-1,"")</f>
        <v/>
      </c>
      <c r="K1063" s="22" t="n">
        <v>15</v>
      </c>
      <c r="L1063" s="23">
        <f>IF(AND(ISNUMBER(F1063),ISNUMBER(K1063),F1063&gt;0),K1063/F1063-1,"")</f>
        <v/>
      </c>
      <c r="M1063" s="24" t="n">
        <v>20</v>
      </c>
      <c r="N1063" s="25" t="n"/>
      <c r="O1063" s="26">
        <f>IF(AND(ISNUMBER(F1063),ISNUMBER(N1063),F1063&gt;0),N1063/F1063,"")</f>
        <v/>
      </c>
      <c r="P1063" s="27" t="n"/>
      <c r="Q1063" s="27" t="n">
        <v>46349</v>
      </c>
      <c r="R1063" s="25" t="n">
        <v>-0.6</v>
      </c>
      <c r="S1063" s="28">
        <f>IF(AND(ISNUMBER(F1063),ISNUMBER(R1063),R1063&gt;0),F1063/R1063,"")</f>
        <v/>
      </c>
      <c r="T1063" s="27" t="n">
        <v>46323</v>
      </c>
    </row>
    <row r="1064">
      <c r="A1064" s="11" t="inlineStr">
        <is>
          <t>AESI</t>
        </is>
      </c>
      <c r="B1064" s="11" t="inlineStr">
        <is>
          <t>Atlas Energy Solutions Inc.</t>
        </is>
      </c>
      <c r="C1064" s="11" t="inlineStr">
        <is>
          <t>Oil &amp; Gas Equipment &amp; Services</t>
        </is>
      </c>
      <c r="D1064" s="11" t="inlineStr">
        <is>
          <t>United States</t>
        </is>
      </c>
      <c r="E1064" s="12" t="n">
        <v>1.13</v>
      </c>
      <c r="F1064" s="13" t="n">
        <v>9.08</v>
      </c>
      <c r="G1064" s="13" t="n">
        <v>17.53846</v>
      </c>
      <c r="H1064" s="14">
        <f>IF(AND(ISNUMBER(F1064),ISNUMBER(G1064),F1064&gt;0),G1064/F1064-1,"")</f>
        <v/>
      </c>
      <c r="I1064" s="13" t="n">
        <v>11</v>
      </c>
      <c r="J1064" s="14">
        <f>IF(AND(ISNUMBER(F1064),ISNUMBER(I1064),F1064&gt;0),I1064/F1064-1,"")</f>
        <v/>
      </c>
      <c r="K1064" s="13" t="n">
        <v>25</v>
      </c>
      <c r="L1064" s="14">
        <f>IF(AND(ISNUMBER(F1064),ISNUMBER(K1064),F1064&gt;0),K1064/F1064-1,"")</f>
        <v/>
      </c>
      <c r="M1064" s="15" t="n">
        <v>13</v>
      </c>
      <c r="N1064" s="16" t="n"/>
      <c r="O1064" s="17">
        <f>IF(AND(ISNUMBER(F1064),ISNUMBER(N1064),F1064&gt;0),N1064/F1064,"")</f>
        <v/>
      </c>
      <c r="P1064" s="18" t="n"/>
      <c r="Q1064" s="18" t="n">
        <v>46328</v>
      </c>
      <c r="R1064" s="16" t="n">
        <v>-0.95</v>
      </c>
      <c r="S1064" s="19">
        <f>IF(AND(ISNUMBER(F1064),ISNUMBER(R1064),R1064&gt;0),F1064/R1064,"")</f>
        <v/>
      </c>
      <c r="T1064" s="18" t="n">
        <v>46323</v>
      </c>
    </row>
    <row r="1065">
      <c r="A1065" s="20" t="inlineStr">
        <is>
          <t>UPWK</t>
        </is>
      </c>
      <c r="B1065" s="20" t="inlineStr">
        <is>
          <t>Upwork Inc.</t>
        </is>
      </c>
      <c r="C1065" s="20" t="inlineStr">
        <is>
          <t>Internet Content &amp; Information</t>
        </is>
      </c>
      <c r="D1065" s="20" t="inlineStr">
        <is>
          <t>United States</t>
        </is>
      </c>
      <c r="E1065" s="21" t="n">
        <v>1.13</v>
      </c>
      <c r="F1065" s="22" t="n">
        <v>9.07</v>
      </c>
      <c r="G1065" s="22" t="n">
        <v>9.875</v>
      </c>
      <c r="H1065" s="23">
        <f>IF(AND(ISNUMBER(F1065),ISNUMBER(G1065),F1065&gt;0),G1065/F1065-1,"")</f>
        <v/>
      </c>
      <c r="I1065" s="22" t="n">
        <v>8</v>
      </c>
      <c r="J1065" s="23">
        <f>IF(AND(ISNUMBER(F1065),ISNUMBER(I1065),F1065&gt;0),I1065/F1065-1,"")</f>
        <v/>
      </c>
      <c r="K1065" s="22" t="n">
        <v>14</v>
      </c>
      <c r="L1065" s="23">
        <f>IF(AND(ISNUMBER(F1065),ISNUMBER(K1065),F1065&gt;0),K1065/F1065-1,"")</f>
        <v/>
      </c>
      <c r="M1065" s="24" t="n">
        <v>8</v>
      </c>
      <c r="N1065" s="25" t="n"/>
      <c r="O1065" s="26">
        <f>IF(AND(ISNUMBER(F1065),ISNUMBER(N1065),F1065&gt;0),N1065/F1065,"")</f>
        <v/>
      </c>
      <c r="P1065" s="27" t="n"/>
      <c r="Q1065" s="27" t="n">
        <v>46328</v>
      </c>
      <c r="R1065" s="25" t="n">
        <v>0.77</v>
      </c>
      <c r="S1065" s="28">
        <f>IF(AND(ISNUMBER(F1065),ISNUMBER(R1065),R1065&gt;0),F1065/R1065,"")</f>
        <v/>
      </c>
      <c r="T1065" s="27" t="n">
        <v>46323</v>
      </c>
    </row>
    <row r="1066">
      <c r="A1066" s="11" t="inlineStr">
        <is>
          <t>BBAI</t>
        </is>
      </c>
      <c r="B1066" s="11" t="inlineStr">
        <is>
          <t>BigBear.ai, Inc.</t>
        </is>
      </c>
      <c r="C1066" s="11" t="inlineStr">
        <is>
          <t>Information Technology Services</t>
        </is>
      </c>
      <c r="D1066" s="11" t="inlineStr">
        <is>
          <t>United States</t>
        </is>
      </c>
      <c r="E1066" s="12" t="n">
        <v>1.13</v>
      </c>
      <c r="F1066" s="13" t="n">
        <v>2.35</v>
      </c>
      <c r="G1066" s="13" t="n">
        <v>4</v>
      </c>
      <c r="H1066" s="14">
        <f>IF(AND(ISNUMBER(F1066),ISNUMBER(G1066),F1066&gt;0),G1066/F1066-1,"")</f>
        <v/>
      </c>
      <c r="I1066" s="13" t="n">
        <v>4</v>
      </c>
      <c r="J1066" s="14">
        <f>IF(AND(ISNUMBER(F1066),ISNUMBER(I1066),F1066&gt;0),I1066/F1066-1,"")</f>
        <v/>
      </c>
      <c r="K1066" s="13" t="n">
        <v>4</v>
      </c>
      <c r="L1066" s="14">
        <f>IF(AND(ISNUMBER(F1066),ISNUMBER(K1066),F1066&gt;0),K1066/F1066-1,"")</f>
        <v/>
      </c>
      <c r="M1066" s="15" t="n">
        <v>2</v>
      </c>
      <c r="N1066" s="16" t="n"/>
      <c r="O1066" s="17">
        <f>IF(AND(ISNUMBER(F1066),ISNUMBER(N1066),F1066&gt;0),N1066/F1066,"")</f>
        <v/>
      </c>
      <c r="P1066" s="18" t="n"/>
      <c r="Q1066" s="18" t="n">
        <v>46322</v>
      </c>
      <c r="R1066" s="16" t="n">
        <v>-0.15</v>
      </c>
      <c r="S1066" s="19">
        <f>IF(AND(ISNUMBER(F1066),ISNUMBER(R1066),R1066&gt;0),F1066/R1066,"")</f>
        <v/>
      </c>
      <c r="T1066" s="18" t="n">
        <v>46323</v>
      </c>
    </row>
    <row r="1067">
      <c r="A1067" s="20" t="inlineStr">
        <is>
          <t>ASIC</t>
        </is>
      </c>
      <c r="B1067" s="20" t="inlineStr">
        <is>
          <t>Ategrity Specialty Insurance Co</t>
        </is>
      </c>
      <c r="C1067" s="20" t="inlineStr">
        <is>
          <t>Insurance - Property &amp; Casualty</t>
        </is>
      </c>
      <c r="D1067" s="20" t="inlineStr">
        <is>
          <t>United States</t>
        </is>
      </c>
      <c r="E1067" s="21" t="n">
        <v>1.13</v>
      </c>
      <c r="F1067" s="22" t="n">
        <v>23.48</v>
      </c>
      <c r="G1067" s="22" t="n">
        <v>28.4</v>
      </c>
      <c r="H1067" s="23">
        <f>IF(AND(ISNUMBER(F1067),ISNUMBER(G1067),F1067&gt;0),G1067/F1067-1,"")</f>
        <v/>
      </c>
      <c r="I1067" s="22" t="n">
        <v>27</v>
      </c>
      <c r="J1067" s="23">
        <f>IF(AND(ISNUMBER(F1067),ISNUMBER(I1067),F1067&gt;0),I1067/F1067-1,"")</f>
        <v/>
      </c>
      <c r="K1067" s="22" t="n">
        <v>30</v>
      </c>
      <c r="L1067" s="23">
        <f>IF(AND(ISNUMBER(F1067),ISNUMBER(K1067),F1067&gt;0),K1067/F1067-1,"")</f>
        <v/>
      </c>
      <c r="M1067" s="24" t="n">
        <v>5</v>
      </c>
      <c r="N1067" s="25" t="n"/>
      <c r="O1067" s="26">
        <f>IF(AND(ISNUMBER(F1067),ISNUMBER(N1067),F1067&gt;0),N1067/F1067,"")</f>
        <v/>
      </c>
      <c r="P1067" s="27" t="n"/>
      <c r="Q1067" s="27" t="n">
        <v>46316</v>
      </c>
      <c r="R1067" s="25" t="n">
        <v>1.97</v>
      </c>
      <c r="S1067" s="28">
        <f>IF(AND(ISNUMBER(F1067),ISNUMBER(R1067),R1067&gt;0),F1067/R1067,"")</f>
        <v/>
      </c>
      <c r="T1067" s="27" t="n">
        <v>46323</v>
      </c>
    </row>
    <row r="1068">
      <c r="A1068" s="11" t="inlineStr">
        <is>
          <t>JBLU</t>
        </is>
      </c>
      <c r="B1068" s="11" t="inlineStr">
        <is>
          <t>JetBlue Airways Corporation</t>
        </is>
      </c>
      <c r="C1068" s="11" t="inlineStr">
        <is>
          <t>Airlines</t>
        </is>
      </c>
      <c r="D1068" s="11" t="inlineStr">
        <is>
          <t>United States</t>
        </is>
      </c>
      <c r="E1068" s="12" t="n">
        <v>1.06</v>
      </c>
      <c r="F1068" s="13" t="n">
        <v>2.82</v>
      </c>
      <c r="G1068" s="13" t="n">
        <v>4.48333</v>
      </c>
      <c r="H1068" s="14">
        <f>IF(AND(ISNUMBER(F1068),ISNUMBER(G1068),F1068&gt;0),G1068/F1068-1,"")</f>
        <v/>
      </c>
      <c r="I1068" s="13" t="n">
        <v>3</v>
      </c>
      <c r="J1068" s="14">
        <f>IF(AND(ISNUMBER(F1068),ISNUMBER(I1068),F1068&gt;0),I1068/F1068-1,"")</f>
        <v/>
      </c>
      <c r="K1068" s="13" t="n">
        <v>8</v>
      </c>
      <c r="L1068" s="14">
        <f>IF(AND(ISNUMBER(F1068),ISNUMBER(K1068),F1068&gt;0),K1068/F1068-1,"")</f>
        <v/>
      </c>
      <c r="M1068" s="15" t="n">
        <v>15</v>
      </c>
      <c r="N1068" s="16" t="n"/>
      <c r="O1068" s="17">
        <f>IF(AND(ISNUMBER(F1068),ISNUMBER(N1068),F1068&gt;0),N1068/F1068,"")</f>
        <v/>
      </c>
      <c r="P1068" s="18" t="n"/>
      <c r="Q1068" s="18" t="n">
        <v>46413</v>
      </c>
      <c r="R1068" s="16" t="n">
        <v>-2.16</v>
      </c>
      <c r="S1068" s="19">
        <f>IF(AND(ISNUMBER(F1068),ISNUMBER(R1068),R1068&gt;0),F1068/R1068,"")</f>
        <v/>
      </c>
      <c r="T1068" s="18" t="n">
        <v>46323</v>
      </c>
    </row>
    <row r="1069">
      <c r="A1069" s="20" t="inlineStr">
        <is>
          <t>SGML</t>
        </is>
      </c>
      <c r="B1069" s="20" t="inlineStr">
        <is>
          <t>Sigma Lithium Corporation</t>
        </is>
      </c>
      <c r="C1069" s="20" t="inlineStr">
        <is>
          <t>Other Industrial Metals &amp; Mining</t>
        </is>
      </c>
      <c r="D1069" s="20" t="inlineStr">
        <is>
          <t>Canada</t>
        </is>
      </c>
      <c r="E1069" s="21" t="n">
        <v>0.95</v>
      </c>
      <c r="F1069" s="22" t="n">
        <v>8.449999999999999</v>
      </c>
      <c r="G1069" s="22" t="n">
        <v>11.33333</v>
      </c>
      <c r="H1069" s="23">
        <f>IF(AND(ISNUMBER(F1069),ISNUMBER(G1069),F1069&gt;0),G1069/F1069-1,"")</f>
        <v/>
      </c>
      <c r="I1069" s="22" t="n">
        <v>10</v>
      </c>
      <c r="J1069" s="23">
        <f>IF(AND(ISNUMBER(F1069),ISNUMBER(I1069),F1069&gt;0),I1069/F1069-1,"")</f>
        <v/>
      </c>
      <c r="K1069" s="22" t="n">
        <v>13</v>
      </c>
      <c r="L1069" s="23">
        <f>IF(AND(ISNUMBER(F1069),ISNUMBER(K1069),F1069&gt;0),K1069/F1069-1,"")</f>
        <v/>
      </c>
      <c r="M1069" s="24" t="n">
        <v>3</v>
      </c>
      <c r="N1069" s="25" t="n"/>
      <c r="O1069" s="26">
        <f>IF(AND(ISNUMBER(F1069),ISNUMBER(N1069),F1069&gt;0),N1069/F1069,"")</f>
        <v/>
      </c>
      <c r="P1069" s="27" t="n"/>
      <c r="Q1069" s="27" t="n">
        <v>46339</v>
      </c>
      <c r="R1069" s="25" t="n">
        <v>-0.24</v>
      </c>
      <c r="S1069" s="28">
        <f>IF(AND(ISNUMBER(F1069),ISNUMBER(R1069),R1069&gt;0),F1069/R1069,"")</f>
        <v/>
      </c>
      <c r="T1069" s="27" t="n">
        <v>46323</v>
      </c>
    </row>
    <row r="1070">
      <c r="A1070" s="11" t="inlineStr">
        <is>
          <t>BMBL</t>
        </is>
      </c>
      <c r="B1070" s="11" t="inlineStr">
        <is>
          <t>Bumble Inc.</t>
        </is>
      </c>
      <c r="C1070" s="11" t="inlineStr">
        <is>
          <t>Internet Content &amp; Information</t>
        </is>
      </c>
      <c r="D1070" s="11" t="inlineStr">
        <is>
          <t>United States</t>
        </is>
      </c>
      <c r="E1070" s="12" t="n">
        <v>0.92</v>
      </c>
      <c r="F1070" s="13" t="n">
        <v>5.98</v>
      </c>
      <c r="G1070" s="13" t="n">
        <v>4.32143</v>
      </c>
      <c r="H1070" s="14">
        <f>IF(AND(ISNUMBER(F1070),ISNUMBER(G1070),F1070&gt;0),G1070/F1070-1,"")</f>
        <v/>
      </c>
      <c r="I1070" s="13" t="n">
        <v>3</v>
      </c>
      <c r="J1070" s="14">
        <f>IF(AND(ISNUMBER(F1070),ISNUMBER(I1070),F1070&gt;0),I1070/F1070-1,"")</f>
        <v/>
      </c>
      <c r="K1070" s="13" t="n">
        <v>6.05</v>
      </c>
      <c r="L1070" s="14">
        <f>IF(AND(ISNUMBER(F1070),ISNUMBER(K1070),F1070&gt;0),K1070/F1070-1,"")</f>
        <v/>
      </c>
      <c r="M1070" s="15" t="n">
        <v>7</v>
      </c>
      <c r="N1070" s="16" t="n"/>
      <c r="O1070" s="17">
        <f>IF(AND(ISNUMBER(F1070),ISNUMBER(N1070),F1070&gt;0),N1070/F1070,"")</f>
        <v/>
      </c>
      <c r="P1070" s="18" t="n"/>
      <c r="Q1070" s="18" t="n">
        <v>46330</v>
      </c>
      <c r="R1070" s="16" t="n">
        <v>-4.15</v>
      </c>
      <c r="S1070" s="19">
        <f>IF(AND(ISNUMBER(F1070),ISNUMBER(R1070),R1070&gt;0),F1070/R1070,"")</f>
        <v/>
      </c>
      <c r="T1070" s="18" t="n">
        <v>46323</v>
      </c>
    </row>
    <row r="1071">
      <c r="A1071" s="20" t="inlineStr">
        <is>
          <t>PXED</t>
        </is>
      </c>
      <c r="B1071" s="20" t="inlineStr">
        <is>
          <t>Phoenix Education Partners, Inc</t>
        </is>
      </c>
      <c r="C1071" s="20" t="inlineStr">
        <is>
          <t>Education &amp; Training Services</t>
        </is>
      </c>
      <c r="D1071" s="20" t="inlineStr">
        <is>
          <t>United States</t>
        </is>
      </c>
      <c r="E1071" s="21" t="n">
        <v>0.88</v>
      </c>
      <c r="F1071" s="22" t="n">
        <v>24.48</v>
      </c>
      <c r="G1071" s="22" t="n">
        <v>40.75</v>
      </c>
      <c r="H1071" s="23">
        <f>IF(AND(ISNUMBER(F1071),ISNUMBER(G1071),F1071&gt;0),G1071/F1071-1,"")</f>
        <v/>
      </c>
      <c r="I1071" s="22" t="n">
        <v>33</v>
      </c>
      <c r="J1071" s="23">
        <f>IF(AND(ISNUMBER(F1071),ISNUMBER(I1071),F1071&gt;0),I1071/F1071-1,"")</f>
        <v/>
      </c>
      <c r="K1071" s="22" t="n">
        <v>51</v>
      </c>
      <c r="L1071" s="23">
        <f>IF(AND(ISNUMBER(F1071),ISNUMBER(K1071),F1071&gt;0),K1071/F1071-1,"")</f>
        <v/>
      </c>
      <c r="M1071" s="24" t="n">
        <v>8</v>
      </c>
      <c r="N1071" s="25" t="n">
        <v>0.84</v>
      </c>
      <c r="O1071" s="26">
        <f>IF(AND(ISNUMBER(F1071),ISNUMBER(N1071),F1071&gt;0),N1071/F1071,"")</f>
        <v/>
      </c>
      <c r="P1071" s="27" t="n">
        <v>46232</v>
      </c>
      <c r="Q1071" s="27" t="n">
        <v>46329</v>
      </c>
      <c r="R1071" s="25" t="n">
        <v>2.32</v>
      </c>
      <c r="S1071" s="28">
        <f>IF(AND(ISNUMBER(F1071),ISNUMBER(R1071),R1071&gt;0),F1071/R1071,"")</f>
        <v/>
      </c>
      <c r="T1071" s="27" t="n">
        <v>46323</v>
      </c>
    </row>
    <row r="1072">
      <c r="A1072" s="11" t="inlineStr">
        <is>
          <t>GOOS</t>
        </is>
      </c>
      <c r="B1072" s="11" t="inlineStr">
        <is>
          <t>Canada Goose Holdings Inc. Subo</t>
        </is>
      </c>
      <c r="C1072" s="11" t="inlineStr">
        <is>
          <t>Apparel Manufacturing</t>
        </is>
      </c>
      <c r="D1072" s="11" t="inlineStr">
        <is>
          <t>Canada</t>
        </is>
      </c>
      <c r="E1072" s="12" t="n">
        <v>0.79</v>
      </c>
      <c r="F1072" s="13" t="n">
        <v>8.08</v>
      </c>
      <c r="G1072" s="13" t="n">
        <v>9.491669999999999</v>
      </c>
      <c r="H1072" s="14">
        <f>IF(AND(ISNUMBER(F1072),ISNUMBER(G1072),F1072&gt;0),G1072/F1072-1,"")</f>
        <v/>
      </c>
      <c r="I1072" s="13" t="n">
        <v>7</v>
      </c>
      <c r="J1072" s="14">
        <f>IF(AND(ISNUMBER(F1072),ISNUMBER(I1072),F1072&gt;0),I1072/F1072-1,"")</f>
        <v/>
      </c>
      <c r="K1072" s="13" t="n">
        <v>12</v>
      </c>
      <c r="L1072" s="14">
        <f>IF(AND(ISNUMBER(F1072),ISNUMBER(K1072),F1072&gt;0),K1072/F1072-1,"")</f>
        <v/>
      </c>
      <c r="M1072" s="15" t="n">
        <v>6</v>
      </c>
      <c r="N1072" s="16" t="n"/>
      <c r="O1072" s="17">
        <f>IF(AND(ISNUMBER(F1072),ISNUMBER(N1072),F1072&gt;0),N1072/F1072,"")</f>
        <v/>
      </c>
      <c r="P1072" s="18" t="n"/>
      <c r="Q1072" s="18" t="n">
        <v>46331</v>
      </c>
      <c r="R1072" s="16" t="n">
        <v>0.41</v>
      </c>
      <c r="S1072" s="19">
        <f>IF(AND(ISNUMBER(F1072),ISNUMBER(R1072),R1072&gt;0),F1072/R1072,"")</f>
        <v/>
      </c>
      <c r="T1072" s="18" t="n">
        <v>46323</v>
      </c>
    </row>
    <row r="1073">
      <c r="A1073" s="20" t="inlineStr">
        <is>
          <t>LAC</t>
        </is>
      </c>
      <c r="B1073" s="20" t="inlineStr">
        <is>
          <t>Lithium Americas Corp.</t>
        </is>
      </c>
      <c r="C1073" s="20" t="inlineStr">
        <is>
          <t>Other Industrial Metals &amp; Mining</t>
        </is>
      </c>
      <c r="D1073" s="20" t="inlineStr">
        <is>
          <t>Canada</t>
        </is>
      </c>
      <c r="E1073" s="21" t="n">
        <v>0.78</v>
      </c>
      <c r="F1073" s="22" t="n">
        <v>2.16</v>
      </c>
      <c r="G1073" s="22" t="n">
        <v>5.17778</v>
      </c>
      <c r="H1073" s="23">
        <f>IF(AND(ISNUMBER(F1073),ISNUMBER(G1073),F1073&gt;0),G1073/F1073-1,"")</f>
        <v/>
      </c>
      <c r="I1073" s="22" t="n">
        <v>2.5</v>
      </c>
      <c r="J1073" s="23">
        <f>IF(AND(ISNUMBER(F1073),ISNUMBER(I1073),F1073&gt;0),I1073/F1073-1,"")</f>
        <v/>
      </c>
      <c r="K1073" s="22" t="n">
        <v>10</v>
      </c>
      <c r="L1073" s="23">
        <f>IF(AND(ISNUMBER(F1073),ISNUMBER(K1073),F1073&gt;0),K1073/F1073-1,"")</f>
        <v/>
      </c>
      <c r="M1073" s="24" t="n">
        <v>9</v>
      </c>
      <c r="N1073" s="25" t="n"/>
      <c r="O1073" s="26">
        <f>IF(AND(ISNUMBER(F1073),ISNUMBER(N1073),F1073&gt;0),N1073/F1073,"")</f>
        <v/>
      </c>
      <c r="P1073" s="27" t="n"/>
      <c r="Q1073" s="27" t="n">
        <v>46339</v>
      </c>
      <c r="R1073" s="25" t="n">
        <v>-0.41</v>
      </c>
      <c r="S1073" s="28">
        <f>IF(AND(ISNUMBER(F1073),ISNUMBER(R1073),R1073&gt;0),F1073/R1073,"")</f>
        <v/>
      </c>
      <c r="T1073" s="27" t="n">
        <v>46323</v>
      </c>
    </row>
    <row r="1074">
      <c r="A1074" s="11" t="inlineStr">
        <is>
          <t>BKSY</t>
        </is>
      </c>
      <c r="B1074" s="11" t="inlineStr">
        <is>
          <t>BlackSky Technology Inc.</t>
        </is>
      </c>
      <c r="C1074" s="11" t="inlineStr">
        <is>
          <t>Specialty Business Services</t>
        </is>
      </c>
      <c r="D1074" s="11" t="inlineStr">
        <is>
          <t>United States</t>
        </is>
      </c>
      <c r="E1074" s="12" t="n">
        <v>0.78</v>
      </c>
      <c r="F1074" s="13" t="n">
        <v>19.15</v>
      </c>
      <c r="G1074" s="13" t="n">
        <v>38.42375</v>
      </c>
      <c r="H1074" s="14">
        <f>IF(AND(ISNUMBER(F1074),ISNUMBER(G1074),F1074&gt;0),G1074/F1074-1,"")</f>
        <v/>
      </c>
      <c r="I1074" s="13" t="n">
        <v>33</v>
      </c>
      <c r="J1074" s="14">
        <f>IF(AND(ISNUMBER(F1074),ISNUMBER(I1074),F1074&gt;0),I1074/F1074-1,"")</f>
        <v/>
      </c>
      <c r="K1074" s="13" t="n">
        <v>50</v>
      </c>
      <c r="L1074" s="14">
        <f>IF(AND(ISNUMBER(F1074),ISNUMBER(K1074),F1074&gt;0),K1074/F1074-1,"")</f>
        <v/>
      </c>
      <c r="M1074" s="15" t="n">
        <v>8</v>
      </c>
      <c r="N1074" s="16" t="n"/>
      <c r="O1074" s="17">
        <f>IF(AND(ISNUMBER(F1074),ISNUMBER(N1074),F1074&gt;0),N1074/F1074,"")</f>
        <v/>
      </c>
      <c r="P1074" s="18" t="n"/>
      <c r="Q1074" s="18" t="n">
        <v>46331</v>
      </c>
      <c r="R1074" s="16" t="n">
        <v>-1.77</v>
      </c>
      <c r="S1074" s="19">
        <f>IF(AND(ISNUMBER(F1074),ISNUMBER(R1074),R1074&gt;0),F1074/R1074,"")</f>
        <v/>
      </c>
      <c r="T1074" s="18" t="n">
        <v>46323</v>
      </c>
    </row>
    <row r="1075">
      <c r="A1075" s="20" t="inlineStr">
        <is>
          <t>LAR</t>
        </is>
      </c>
      <c r="B1075" s="20" t="inlineStr">
        <is>
          <t>Lithium Argentina AG</t>
        </is>
      </c>
      <c r="C1075" s="20" t="inlineStr">
        <is>
          <t>Other Industrial Metals &amp; Mining</t>
        </is>
      </c>
      <c r="D1075" s="20" t="inlineStr">
        <is>
          <t>Switzerland</t>
        </is>
      </c>
      <c r="E1075" s="21" t="n">
        <v>0.75</v>
      </c>
      <c r="F1075" s="22" t="n">
        <v>4.58</v>
      </c>
      <c r="G1075" s="22" t="n">
        <v>10.8375</v>
      </c>
      <c r="H1075" s="23">
        <f>IF(AND(ISNUMBER(F1075),ISNUMBER(G1075),F1075&gt;0),G1075/F1075-1,"")</f>
        <v/>
      </c>
      <c r="I1075" s="22" t="n">
        <v>6.9</v>
      </c>
      <c r="J1075" s="23">
        <f>IF(AND(ISNUMBER(F1075),ISNUMBER(I1075),F1075&gt;0),I1075/F1075-1,"")</f>
        <v/>
      </c>
      <c r="K1075" s="22" t="n">
        <v>19.8</v>
      </c>
      <c r="L1075" s="23">
        <f>IF(AND(ISNUMBER(F1075),ISNUMBER(K1075),F1075&gt;0),K1075/F1075-1,"")</f>
        <v/>
      </c>
      <c r="M1075" s="24" t="n">
        <v>8</v>
      </c>
      <c r="N1075" s="25" t="n"/>
      <c r="O1075" s="26">
        <f>IF(AND(ISNUMBER(F1075),ISNUMBER(N1075),F1075&gt;0),N1075/F1075,"")</f>
        <v/>
      </c>
      <c r="P1075" s="27" t="n"/>
      <c r="Q1075" s="27" t="n">
        <v>46336</v>
      </c>
      <c r="R1075" s="25" t="n">
        <v>-0.34</v>
      </c>
      <c r="S1075" s="28">
        <f>IF(AND(ISNUMBER(F1075),ISNUMBER(R1075),R1075&gt;0),F1075/R1075,"")</f>
        <v/>
      </c>
      <c r="T1075" s="27" t="n">
        <v>46323</v>
      </c>
    </row>
    <row r="1076">
      <c r="A1076" s="11" t="inlineStr">
        <is>
          <t>RCAT</t>
        </is>
      </c>
      <c r="B1076" s="11" t="inlineStr">
        <is>
          <t>Red Cat Holdings, Inc.</t>
        </is>
      </c>
      <c r="C1076" s="11" t="inlineStr">
        <is>
          <t>Aerospace &amp; Defense</t>
        </is>
      </c>
      <c r="D1076" s="11" t="inlineStr">
        <is>
          <t>United States</t>
        </is>
      </c>
      <c r="E1076" s="12" t="n">
        <v>0.74</v>
      </c>
      <c r="F1076" s="13" t="n">
        <v>4.87</v>
      </c>
      <c r="G1076" s="13" t="n">
        <v>15.57143</v>
      </c>
      <c r="H1076" s="14">
        <f>IF(AND(ISNUMBER(F1076),ISNUMBER(G1076),F1076&gt;0),G1076/F1076-1,"")</f>
        <v/>
      </c>
      <c r="I1076" s="13" t="n">
        <v>6</v>
      </c>
      <c r="J1076" s="14">
        <f>IF(AND(ISNUMBER(F1076),ISNUMBER(I1076),F1076&gt;0),I1076/F1076-1,"")</f>
        <v/>
      </c>
      <c r="K1076" s="13" t="n">
        <v>25</v>
      </c>
      <c r="L1076" s="14">
        <f>IF(AND(ISNUMBER(F1076),ISNUMBER(K1076),F1076&gt;0),K1076/F1076-1,"")</f>
        <v/>
      </c>
      <c r="M1076" s="15" t="n">
        <v>7</v>
      </c>
      <c r="N1076" s="16" t="n"/>
      <c r="O1076" s="17">
        <f>IF(AND(ISNUMBER(F1076),ISNUMBER(N1076),F1076&gt;0),N1076/F1076,"")</f>
        <v/>
      </c>
      <c r="P1076" s="18" t="n"/>
      <c r="Q1076" s="18" t="n">
        <v>46342</v>
      </c>
      <c r="R1076" s="16" t="n">
        <v>-0.8</v>
      </c>
      <c r="S1076" s="19">
        <f>IF(AND(ISNUMBER(F1076),ISNUMBER(R1076),R1076&gt;0),F1076/R1076,"")</f>
        <v/>
      </c>
      <c r="T1076" s="18" t="n">
        <v>46323</v>
      </c>
    </row>
    <row r="1077">
      <c r="A1077" s="20" t="inlineStr">
        <is>
          <t>ENVX</t>
        </is>
      </c>
      <c r="B1077" s="20" t="inlineStr">
        <is>
          <t>Enovix Corporation</t>
        </is>
      </c>
      <c r="C1077" s="20" t="inlineStr">
        <is>
          <t>Electrical Equipment &amp; Parts</t>
        </is>
      </c>
      <c r="D1077" s="20" t="inlineStr">
        <is>
          <t>United States</t>
        </is>
      </c>
      <c r="E1077" s="21" t="n">
        <v>0.74</v>
      </c>
      <c r="F1077" s="22" t="n">
        <v>3.35</v>
      </c>
      <c r="G1077" s="22" t="n">
        <v>9.75</v>
      </c>
      <c r="H1077" s="23">
        <f>IF(AND(ISNUMBER(F1077),ISNUMBER(G1077),F1077&gt;0),G1077/F1077-1,"")</f>
        <v/>
      </c>
      <c r="I1077" s="22" t="n">
        <v>5</v>
      </c>
      <c r="J1077" s="23">
        <f>IF(AND(ISNUMBER(F1077),ISNUMBER(I1077),F1077&gt;0),I1077/F1077-1,"")</f>
        <v/>
      </c>
      <c r="K1077" s="22" t="n">
        <v>21</v>
      </c>
      <c r="L1077" s="23">
        <f>IF(AND(ISNUMBER(F1077),ISNUMBER(K1077),F1077&gt;0),K1077/F1077-1,"")</f>
        <v/>
      </c>
      <c r="M1077" s="24" t="n">
        <v>10</v>
      </c>
      <c r="N1077" s="25" t="n"/>
      <c r="O1077" s="26">
        <f>IF(AND(ISNUMBER(F1077),ISNUMBER(N1077),F1077&gt;0),N1077/F1077,"")</f>
        <v/>
      </c>
      <c r="P1077" s="27" t="n"/>
      <c r="Q1077" s="27" t="n">
        <v>46338</v>
      </c>
      <c r="R1077" s="25" t="n">
        <v>-0.8</v>
      </c>
      <c r="S1077" s="28">
        <f>IF(AND(ISNUMBER(F1077),ISNUMBER(R1077),R1077&gt;0),F1077/R1077,"")</f>
        <v/>
      </c>
      <c r="T1077" s="27" t="n">
        <v>46323</v>
      </c>
    </row>
    <row r="1078">
      <c r="A1078" s="11" t="inlineStr">
        <is>
          <t>FMC</t>
        </is>
      </c>
      <c r="B1078" s="11" t="inlineStr">
        <is>
          <t>FMC Corporation</t>
        </is>
      </c>
      <c r="C1078" s="11" t="inlineStr">
        <is>
          <t>Agricultural Inputs</t>
        </is>
      </c>
      <c r="D1078" s="11" t="inlineStr">
        <is>
          <t>United States</t>
        </is>
      </c>
      <c r="E1078" s="12" t="n">
        <v>0.73</v>
      </c>
      <c r="F1078" s="13" t="n">
        <v>4.71</v>
      </c>
      <c r="G1078" s="13" t="n">
        <v>8.713329999999999</v>
      </c>
      <c r="H1078" s="14">
        <f>IF(AND(ISNUMBER(F1078),ISNUMBER(G1078),F1078&gt;0),G1078/F1078-1,"")</f>
        <v/>
      </c>
      <c r="I1078" s="13" t="n">
        <v>4</v>
      </c>
      <c r="J1078" s="14">
        <f>IF(AND(ISNUMBER(F1078),ISNUMBER(I1078),F1078&gt;0),I1078/F1078-1,"")</f>
        <v/>
      </c>
      <c r="K1078" s="13" t="n">
        <v>18</v>
      </c>
      <c r="L1078" s="14">
        <f>IF(AND(ISNUMBER(F1078),ISNUMBER(K1078),F1078&gt;0),K1078/F1078-1,"")</f>
        <v/>
      </c>
      <c r="M1078" s="15" t="n">
        <v>15</v>
      </c>
      <c r="N1078" s="16" t="n">
        <v>0.32</v>
      </c>
      <c r="O1078" s="17">
        <f>IF(AND(ISNUMBER(F1078),ISNUMBER(N1078),F1078&gt;0),N1078/F1078,"")</f>
        <v/>
      </c>
      <c r="P1078" s="18" t="n">
        <v>46295</v>
      </c>
      <c r="Q1078" s="18" t="n">
        <v>46324</v>
      </c>
      <c r="R1078" s="16" t="n">
        <v>-21.46</v>
      </c>
      <c r="S1078" s="19">
        <f>IF(AND(ISNUMBER(F1078),ISNUMBER(R1078),R1078&gt;0),F1078/R1078,"")</f>
        <v/>
      </c>
      <c r="T1078" s="18" t="n">
        <v>46323</v>
      </c>
    </row>
    <row r="1079">
      <c r="A1079" s="20" t="inlineStr">
        <is>
          <t>VLRS</t>
        </is>
      </c>
      <c r="B1079" s="20" t="inlineStr">
        <is>
          <t xml:space="preserve">Controladora Vuela Compania de </t>
        </is>
      </c>
      <c r="C1079" s="20" t="inlineStr">
        <is>
          <t>Airlines</t>
        </is>
      </c>
      <c r="D1079" s="20" t="inlineStr">
        <is>
          <t>Mexico</t>
        </is>
      </c>
      <c r="E1079" s="21" t="n">
        <v>0.7</v>
      </c>
      <c r="F1079" s="22" t="n">
        <v>6.1</v>
      </c>
      <c r="G1079" s="22" t="n">
        <v>8.823079999999999</v>
      </c>
      <c r="H1079" s="23">
        <f>IF(AND(ISNUMBER(F1079),ISNUMBER(G1079),F1079&gt;0),G1079/F1079-1,"")</f>
        <v/>
      </c>
      <c r="I1079" s="22" t="n">
        <v>6.6</v>
      </c>
      <c r="J1079" s="23">
        <f>IF(AND(ISNUMBER(F1079),ISNUMBER(I1079),F1079&gt;0),I1079/F1079-1,"")</f>
        <v/>
      </c>
      <c r="K1079" s="22" t="n">
        <v>11</v>
      </c>
      <c r="L1079" s="23">
        <f>IF(AND(ISNUMBER(F1079),ISNUMBER(K1079),F1079&gt;0),K1079/F1079-1,"")</f>
        <v/>
      </c>
      <c r="M1079" s="24" t="n">
        <v>13</v>
      </c>
      <c r="N1079" s="25" t="n"/>
      <c r="O1079" s="26">
        <f>IF(AND(ISNUMBER(F1079),ISNUMBER(N1079),F1079&gt;0),N1079/F1079,"")</f>
        <v/>
      </c>
      <c r="P1079" s="27" t="n"/>
      <c r="Q1079" s="27" t="n">
        <v>46321</v>
      </c>
      <c r="R1079" s="25" t="n">
        <v>-1.61</v>
      </c>
      <c r="S1079" s="28">
        <f>IF(AND(ISNUMBER(F1079),ISNUMBER(R1079),R1079&gt;0),F1079/R1079,"")</f>
        <v/>
      </c>
      <c r="T1079" s="27" t="n">
        <v>46323</v>
      </c>
    </row>
    <row r="1080">
      <c r="A1080" s="11" t="inlineStr">
        <is>
          <t>ELMT</t>
        </is>
      </c>
      <c r="B1080" s="11" t="inlineStr">
        <is>
          <t>The Elmet Group Co.</t>
        </is>
      </c>
      <c r="C1080" s="11" t="inlineStr">
        <is>
          <t>Aerospace &amp; Defense</t>
        </is>
      </c>
      <c r="D1080" s="11" t="inlineStr">
        <is>
          <t>United States</t>
        </is>
      </c>
      <c r="E1080" s="12" t="n">
        <v>0.6899999999999999</v>
      </c>
      <c r="F1080" s="13" t="n">
        <v>22.58</v>
      </c>
      <c r="G1080" s="13" t="n">
        <v>27.5</v>
      </c>
      <c r="H1080" s="14">
        <f>IF(AND(ISNUMBER(F1080),ISNUMBER(G1080),F1080&gt;0),G1080/F1080-1,"")</f>
        <v/>
      </c>
      <c r="I1080" s="13" t="n">
        <v>26</v>
      </c>
      <c r="J1080" s="14">
        <f>IF(AND(ISNUMBER(F1080),ISNUMBER(I1080),F1080&gt;0),I1080/F1080-1,"")</f>
        <v/>
      </c>
      <c r="K1080" s="13" t="n">
        <v>30</v>
      </c>
      <c r="L1080" s="14">
        <f>IF(AND(ISNUMBER(F1080),ISNUMBER(K1080),F1080&gt;0),K1080/F1080-1,"")</f>
        <v/>
      </c>
      <c r="M1080" s="15" t="n">
        <v>4</v>
      </c>
      <c r="N1080" s="16" t="n"/>
      <c r="O1080" s="17">
        <f>IF(AND(ISNUMBER(F1080),ISNUMBER(N1080),F1080&gt;0),N1080/F1080,"")</f>
        <v/>
      </c>
      <c r="P1080" s="18" t="n"/>
      <c r="Q1080" s="18" t="n">
        <v>46342</v>
      </c>
      <c r="R1080" s="16" t="n">
        <v>-0.4</v>
      </c>
      <c r="S1080" s="19">
        <f>IF(AND(ISNUMBER(F1080),ISNUMBER(R1080),R1080&gt;0),F1080/R1080,"")</f>
        <v/>
      </c>
      <c r="T1080" s="18" t="n">
        <v>46323</v>
      </c>
    </row>
    <row r="1081">
      <c r="A1081" s="20" t="inlineStr">
        <is>
          <t>BALY</t>
        </is>
      </c>
      <c r="B1081" s="20" t="inlineStr">
        <is>
          <t>Bally's Corporation</t>
        </is>
      </c>
      <c r="C1081" s="20" t="inlineStr">
        <is>
          <t>Resorts &amp; Casinos</t>
        </is>
      </c>
      <c r="D1081" s="20" t="inlineStr">
        <is>
          <t>United States</t>
        </is>
      </c>
      <c r="E1081" s="21" t="n">
        <v>0.68</v>
      </c>
      <c r="F1081" s="22" t="n">
        <v>13.5</v>
      </c>
      <c r="G1081" s="22" t="n">
        <v>9.66667</v>
      </c>
      <c r="H1081" s="23">
        <f>IF(AND(ISNUMBER(F1081),ISNUMBER(G1081),F1081&gt;0),G1081/F1081-1,"")</f>
        <v/>
      </c>
      <c r="I1081" s="22" t="n">
        <v>7</v>
      </c>
      <c r="J1081" s="23">
        <f>IF(AND(ISNUMBER(F1081),ISNUMBER(I1081),F1081&gt;0),I1081/F1081-1,"")</f>
        <v/>
      </c>
      <c r="K1081" s="22" t="n">
        <v>12</v>
      </c>
      <c r="L1081" s="23">
        <f>IF(AND(ISNUMBER(F1081),ISNUMBER(K1081),F1081&gt;0),K1081/F1081-1,"")</f>
        <v/>
      </c>
      <c r="M1081" s="24" t="n">
        <v>3</v>
      </c>
      <c r="N1081" s="25" t="n"/>
      <c r="O1081" s="26">
        <f>IF(AND(ISNUMBER(F1081),ISNUMBER(N1081),F1081&gt;0),N1081/F1081,"")</f>
        <v/>
      </c>
      <c r="P1081" s="27" t="n"/>
      <c r="Q1081" s="27" t="n">
        <v>46335</v>
      </c>
      <c r="R1081" s="25" t="n">
        <v>-11.51</v>
      </c>
      <c r="S1081" s="28">
        <f>IF(AND(ISNUMBER(F1081),ISNUMBER(R1081),R1081&gt;0),F1081/R1081,"")</f>
        <v/>
      </c>
      <c r="T1081" s="27" t="n">
        <v>46323</v>
      </c>
    </row>
    <row r="1082">
      <c r="A1082" s="11" t="inlineStr">
        <is>
          <t>FINV</t>
        </is>
      </c>
      <c r="B1082" s="11" t="inlineStr">
        <is>
          <t>FinVolution Group</t>
        </is>
      </c>
      <c r="C1082" s="11" t="inlineStr">
        <is>
          <t>Credit Services</t>
        </is>
      </c>
      <c r="D1082" s="11" t="inlineStr">
        <is>
          <t>China</t>
        </is>
      </c>
      <c r="E1082" s="12" t="n">
        <v>0.68</v>
      </c>
      <c r="F1082" s="13" t="n">
        <v>2.88</v>
      </c>
      <c r="G1082" s="13" t="n">
        <v>5.6124597</v>
      </c>
      <c r="H1082" s="14">
        <f>IF(AND(ISNUMBER(F1082),ISNUMBER(G1082),F1082&gt;0),G1082/F1082-1,"")</f>
        <v/>
      </c>
      <c r="I1082" s="13" t="n">
        <v>4.1374807</v>
      </c>
      <c r="J1082" s="14">
        <f>IF(AND(ISNUMBER(F1082),ISNUMBER(I1082),F1082&gt;0),I1082/F1082-1,"")</f>
        <v/>
      </c>
      <c r="K1082" s="13" t="n">
        <v>7.6565523</v>
      </c>
      <c r="L1082" s="14">
        <f>IF(AND(ISNUMBER(F1082),ISNUMBER(K1082),F1082&gt;0),K1082/F1082-1,"")</f>
        <v/>
      </c>
      <c r="M1082" s="15" t="n">
        <v>6</v>
      </c>
      <c r="N1082" s="16" t="n">
        <v>0.31</v>
      </c>
      <c r="O1082" s="17">
        <f>IF(AND(ISNUMBER(F1082),ISNUMBER(N1082),F1082&gt;0),N1082/F1082,"")</f>
        <v/>
      </c>
      <c r="P1082" s="18" t="n">
        <v>46128</v>
      </c>
      <c r="Q1082" s="18" t="n">
        <v>46344</v>
      </c>
      <c r="R1082" s="16" t="n">
        <v>1.06</v>
      </c>
      <c r="S1082" s="19">
        <f>IF(AND(ISNUMBER(F1082),ISNUMBER(R1082),R1082&gt;0),F1082/R1082,"")</f>
        <v/>
      </c>
      <c r="T1082" s="18" t="n">
        <v>46323</v>
      </c>
    </row>
    <row r="1083">
      <c r="A1083" s="20" t="inlineStr">
        <is>
          <t>BW</t>
        </is>
      </c>
      <c r="B1083" s="20" t="inlineStr">
        <is>
          <t>Babcock &amp; Wilcox Enterprises, I</t>
        </is>
      </c>
      <c r="C1083" s="20" t="inlineStr">
        <is>
          <t>Specialty Industrial Machinery</t>
        </is>
      </c>
      <c r="D1083" s="20" t="inlineStr">
        <is>
          <t>United States</t>
        </is>
      </c>
      <c r="E1083" s="21" t="n">
        <v>0.68</v>
      </c>
      <c r="F1083" s="22" t="n">
        <v>4.54</v>
      </c>
      <c r="G1083" s="22" t="n">
        <v>22</v>
      </c>
      <c r="H1083" s="23">
        <f>IF(AND(ISNUMBER(F1083),ISNUMBER(G1083),F1083&gt;0),G1083/F1083-1,"")</f>
        <v/>
      </c>
      <c r="I1083" s="22" t="n">
        <v>20</v>
      </c>
      <c r="J1083" s="23">
        <f>IF(AND(ISNUMBER(F1083),ISNUMBER(I1083),F1083&gt;0),I1083/F1083-1,"")</f>
        <v/>
      </c>
      <c r="K1083" s="22" t="n">
        <v>25</v>
      </c>
      <c r="L1083" s="23">
        <f>IF(AND(ISNUMBER(F1083),ISNUMBER(K1083),F1083&gt;0),K1083/F1083-1,"")</f>
        <v/>
      </c>
      <c r="M1083" s="24" t="n">
        <v>4</v>
      </c>
      <c r="N1083" s="25" t="n"/>
      <c r="O1083" s="26">
        <f>IF(AND(ISNUMBER(F1083),ISNUMBER(N1083),F1083&gt;0),N1083/F1083,"")</f>
        <v/>
      </c>
      <c r="P1083" s="27" t="n"/>
      <c r="Q1083" s="27" t="n">
        <v>46335</v>
      </c>
      <c r="R1083" s="25" t="n">
        <v>-0.64</v>
      </c>
      <c r="S1083" s="28">
        <f>IF(AND(ISNUMBER(F1083),ISNUMBER(R1083),R1083&gt;0),F1083/R1083,"")</f>
        <v/>
      </c>
      <c r="T1083" s="27" t="n">
        <v>46323</v>
      </c>
    </row>
    <row r="1084">
      <c r="A1084" s="11" t="inlineStr">
        <is>
          <t>RVI</t>
        </is>
      </c>
      <c r="B1084" s="11" t="inlineStr">
        <is>
          <t>Robinhood Ventures Fund I</t>
        </is>
      </c>
      <c r="C1084" s="11" t="inlineStr">
        <is>
          <t>Asset Management</t>
        </is>
      </c>
      <c r="D1084" s="11" t="inlineStr">
        <is>
          <t>United States</t>
        </is>
      </c>
      <c r="E1084" s="12" t="n">
        <v>0.67</v>
      </c>
      <c r="F1084" s="13" t="n">
        <v>24.77</v>
      </c>
      <c r="G1084" s="13" t="n"/>
      <c r="H1084" s="14">
        <f>IF(AND(ISNUMBER(F1084),ISNUMBER(G1084),F1084&gt;0),G1084/F1084-1,"")</f>
        <v/>
      </c>
      <c r="I1084" s="13" t="n"/>
      <c r="J1084" s="14">
        <f>IF(AND(ISNUMBER(F1084),ISNUMBER(I1084),F1084&gt;0),I1084/F1084-1,"")</f>
        <v/>
      </c>
      <c r="K1084" s="13" t="n"/>
      <c r="L1084" s="14">
        <f>IF(AND(ISNUMBER(F1084),ISNUMBER(K1084),F1084&gt;0),K1084/F1084-1,"")</f>
        <v/>
      </c>
      <c r="M1084" s="15" t="n"/>
      <c r="N1084" s="16" t="n"/>
      <c r="O1084" s="17">
        <f>IF(AND(ISNUMBER(F1084),ISNUMBER(N1084),F1084&gt;0),N1084/F1084,"")</f>
        <v/>
      </c>
      <c r="P1084" s="18" t="n"/>
      <c r="Q1084" s="18" t="n"/>
      <c r="R1084" s="16" t="n"/>
      <c r="S1084" s="19">
        <f>IF(AND(ISNUMBER(F1084),ISNUMBER(R1084),R1084&gt;0),F1084/R1084,"")</f>
        <v/>
      </c>
      <c r="T1084" s="18" t="n">
        <v>46323</v>
      </c>
    </row>
    <row r="1085">
      <c r="A1085" s="20" t="inlineStr">
        <is>
          <t>BTGO</t>
        </is>
      </c>
      <c r="B1085" s="20" t="inlineStr">
        <is>
          <t>BitGo Holdings, Inc.</t>
        </is>
      </c>
      <c r="C1085" s="20" t="inlineStr">
        <is>
          <t>Capital Markets</t>
        </is>
      </c>
      <c r="D1085" s="20" t="inlineStr">
        <is>
          <t>United States</t>
        </is>
      </c>
      <c r="E1085" s="21" t="n">
        <v>0.66</v>
      </c>
      <c r="F1085" s="22" t="n">
        <v>5.65</v>
      </c>
      <c r="G1085" s="22" t="n">
        <v>10.375</v>
      </c>
      <c r="H1085" s="23">
        <f>IF(AND(ISNUMBER(F1085),ISNUMBER(G1085),F1085&gt;0),G1085/F1085-1,"")</f>
        <v/>
      </c>
      <c r="I1085" s="22" t="n">
        <v>7.5</v>
      </c>
      <c r="J1085" s="23">
        <f>IF(AND(ISNUMBER(F1085),ISNUMBER(I1085),F1085&gt;0),I1085/F1085-1,"")</f>
        <v/>
      </c>
      <c r="K1085" s="22" t="n">
        <v>15</v>
      </c>
      <c r="L1085" s="23">
        <f>IF(AND(ISNUMBER(F1085),ISNUMBER(K1085),F1085&gt;0),K1085/F1085-1,"")</f>
        <v/>
      </c>
      <c r="M1085" s="24" t="n">
        <v>12</v>
      </c>
      <c r="N1085" s="25" t="n"/>
      <c r="O1085" s="26">
        <f>IF(AND(ISNUMBER(F1085),ISNUMBER(N1085),F1085&gt;0),N1085/F1085,"")</f>
        <v/>
      </c>
      <c r="P1085" s="27" t="n"/>
      <c r="Q1085" s="27" t="n">
        <v>46335</v>
      </c>
      <c r="R1085" s="25" t="n">
        <v>-0.86</v>
      </c>
      <c r="S1085" s="28">
        <f>IF(AND(ISNUMBER(F1085),ISNUMBER(R1085),R1085&gt;0),F1085/R1085,"")</f>
        <v/>
      </c>
      <c r="T1085" s="27" t="n">
        <v>46323</v>
      </c>
    </row>
    <row r="1086">
      <c r="A1086" s="11" t="inlineStr">
        <is>
          <t>EOSE</t>
        </is>
      </c>
      <c r="B1086" s="11" t="inlineStr">
        <is>
          <t>Eos Energy Enterprises, Inc.</t>
        </is>
      </c>
      <c r="C1086" s="11" t="inlineStr">
        <is>
          <t>Electrical Equipment &amp; Parts</t>
        </is>
      </c>
      <c r="D1086" s="11" t="inlineStr">
        <is>
          <t>United States</t>
        </is>
      </c>
      <c r="E1086" s="12" t="n">
        <v>0.66</v>
      </c>
      <c r="F1086" s="13" t="n">
        <v>1.82</v>
      </c>
      <c r="G1086" s="13" t="n">
        <v>6.1875</v>
      </c>
      <c r="H1086" s="14">
        <f>IF(AND(ISNUMBER(F1086),ISNUMBER(G1086),F1086&gt;0),G1086/F1086-1,"")</f>
        <v/>
      </c>
      <c r="I1086" s="13" t="n">
        <v>4</v>
      </c>
      <c r="J1086" s="14">
        <f>IF(AND(ISNUMBER(F1086),ISNUMBER(I1086),F1086&gt;0),I1086/F1086-1,"")</f>
        <v/>
      </c>
      <c r="K1086" s="13" t="n">
        <v>10</v>
      </c>
      <c r="L1086" s="14">
        <f>IF(AND(ISNUMBER(F1086),ISNUMBER(K1086),F1086&gt;0),K1086/F1086-1,"")</f>
        <v/>
      </c>
      <c r="M1086" s="15" t="n">
        <v>8</v>
      </c>
      <c r="N1086" s="16" t="n"/>
      <c r="O1086" s="17">
        <f>IF(AND(ISNUMBER(F1086),ISNUMBER(N1086),F1086&gt;0),N1086/F1086,"")</f>
        <v/>
      </c>
      <c r="P1086" s="18" t="n"/>
      <c r="Q1086" s="18" t="n">
        <v>46331</v>
      </c>
      <c r="R1086" s="16" t="n">
        <v>-5.8</v>
      </c>
      <c r="S1086" s="19">
        <f>IF(AND(ISNUMBER(F1086),ISNUMBER(R1086),R1086&gt;0),F1086/R1086,"")</f>
        <v/>
      </c>
      <c r="T1086" s="18" t="n">
        <v>46323</v>
      </c>
    </row>
    <row r="1087">
      <c r="A1087" s="20" t="inlineStr">
        <is>
          <t>SSYS</t>
        </is>
      </c>
      <c r="B1087" s="20" t="inlineStr">
        <is>
          <t>Stratasys, Ltd.</t>
        </is>
      </c>
      <c r="C1087" s="20" t="inlineStr">
        <is>
          <t>Computer Hardware</t>
        </is>
      </c>
      <c r="D1087" s="20" t="inlineStr">
        <is>
          <t>United States</t>
        </is>
      </c>
      <c r="E1087" s="21" t="n">
        <v>0.63</v>
      </c>
      <c r="F1087" s="22" t="n">
        <v>7.16</v>
      </c>
      <c r="G1087" s="22" t="n">
        <v>12</v>
      </c>
      <c r="H1087" s="23">
        <f>IF(AND(ISNUMBER(F1087),ISNUMBER(G1087),F1087&gt;0),G1087/F1087-1,"")</f>
        <v/>
      </c>
      <c r="I1087" s="22" t="n">
        <v>11.5</v>
      </c>
      <c r="J1087" s="23">
        <f>IF(AND(ISNUMBER(F1087),ISNUMBER(I1087),F1087&gt;0),I1087/F1087-1,"")</f>
        <v/>
      </c>
      <c r="K1087" s="22" t="n">
        <v>12.5</v>
      </c>
      <c r="L1087" s="23">
        <f>IF(AND(ISNUMBER(F1087),ISNUMBER(K1087),F1087&gt;0),K1087/F1087-1,"")</f>
        <v/>
      </c>
      <c r="M1087" s="24" t="n">
        <v>3</v>
      </c>
      <c r="N1087" s="25" t="n"/>
      <c r="O1087" s="26">
        <f>IF(AND(ISNUMBER(F1087),ISNUMBER(N1087),F1087&gt;0),N1087/F1087,"")</f>
        <v/>
      </c>
      <c r="P1087" s="27" t="n"/>
      <c r="Q1087" s="27" t="n">
        <v>46338</v>
      </c>
      <c r="R1087" s="25" t="n">
        <v>-1.34</v>
      </c>
      <c r="S1087" s="28">
        <f>IF(AND(ISNUMBER(F1087),ISNUMBER(R1087),R1087&gt;0),F1087/R1087,"")</f>
        <v/>
      </c>
      <c r="T1087" s="27" t="n">
        <v>46323</v>
      </c>
    </row>
    <row r="1088">
      <c r="A1088" s="11" t="inlineStr">
        <is>
          <t>SABR</t>
        </is>
      </c>
      <c r="B1088" s="11" t="inlineStr">
        <is>
          <t>Sabre Corporation</t>
        </is>
      </c>
      <c r="C1088" s="11" t="inlineStr">
        <is>
          <t>Software - Infrastructure</t>
        </is>
      </c>
      <c r="D1088" s="11" t="inlineStr">
        <is>
          <t>United States</t>
        </is>
      </c>
      <c r="E1088" s="12" t="n">
        <v>0.63</v>
      </c>
      <c r="F1088" s="13" t="n">
        <v>1.56</v>
      </c>
      <c r="G1088" s="13" t="n">
        <v>2.11</v>
      </c>
      <c r="H1088" s="14">
        <f>IF(AND(ISNUMBER(F1088),ISNUMBER(G1088),F1088&gt;0),G1088/F1088-1,"")</f>
        <v/>
      </c>
      <c r="I1088" s="13" t="n">
        <v>1.75</v>
      </c>
      <c r="J1088" s="14">
        <f>IF(AND(ISNUMBER(F1088),ISNUMBER(I1088),F1088&gt;0),I1088/F1088-1,"")</f>
        <v/>
      </c>
      <c r="K1088" s="13" t="n">
        <v>2.5</v>
      </c>
      <c r="L1088" s="14">
        <f>IF(AND(ISNUMBER(F1088),ISNUMBER(K1088),F1088&gt;0),K1088/F1088-1,"")</f>
        <v/>
      </c>
      <c r="M1088" s="15" t="n">
        <v>5</v>
      </c>
      <c r="N1088" s="16" t="n"/>
      <c r="O1088" s="17">
        <f>IF(AND(ISNUMBER(F1088),ISNUMBER(N1088),F1088&gt;0),N1088/F1088,"")</f>
        <v/>
      </c>
      <c r="P1088" s="18" t="n"/>
      <c r="Q1088" s="18" t="n">
        <v>46331</v>
      </c>
      <c r="R1088" s="16" t="n">
        <v>-0.2</v>
      </c>
      <c r="S1088" s="19">
        <f>IF(AND(ISNUMBER(F1088),ISNUMBER(R1088),R1088&gt;0),F1088/R1088,"")</f>
        <v/>
      </c>
      <c r="T1088" s="18" t="n">
        <v>46323</v>
      </c>
    </row>
    <row r="1089">
      <c r="A1089" s="20" t="inlineStr">
        <is>
          <t>SWBI</t>
        </is>
      </c>
      <c r="B1089" s="20" t="inlineStr">
        <is>
          <t>Smith &amp; Wesson Brands, Inc.</t>
        </is>
      </c>
      <c r="C1089" s="20" t="inlineStr">
        <is>
          <t>Aerospace &amp; Defense</t>
        </is>
      </c>
      <c r="D1089" s="20" t="inlineStr">
        <is>
          <t>United States</t>
        </is>
      </c>
      <c r="E1089" s="21" t="n">
        <v>0.62</v>
      </c>
      <c r="F1089" s="22" t="n">
        <v>13.88</v>
      </c>
      <c r="G1089" s="22" t="n">
        <v>17.25</v>
      </c>
      <c r="H1089" s="23">
        <f>IF(AND(ISNUMBER(F1089),ISNUMBER(G1089),F1089&gt;0),G1089/F1089-1,"")</f>
        <v/>
      </c>
      <c r="I1089" s="22" t="n">
        <v>16.5</v>
      </c>
      <c r="J1089" s="23">
        <f>IF(AND(ISNUMBER(F1089),ISNUMBER(I1089),F1089&gt;0),I1089/F1089-1,"")</f>
        <v/>
      </c>
      <c r="K1089" s="22" t="n">
        <v>18</v>
      </c>
      <c r="L1089" s="23">
        <f>IF(AND(ISNUMBER(F1089),ISNUMBER(K1089),F1089&gt;0),K1089/F1089-1,"")</f>
        <v/>
      </c>
      <c r="M1089" s="24" t="n">
        <v>2</v>
      </c>
      <c r="N1089" s="25" t="n">
        <v>0.52</v>
      </c>
      <c r="O1089" s="26">
        <f>IF(AND(ISNUMBER(F1089),ISNUMBER(N1089),F1089&gt;0),N1089/F1089,"")</f>
        <v/>
      </c>
      <c r="P1089" s="27" t="n">
        <v>46282</v>
      </c>
      <c r="Q1089" s="27" t="n">
        <v>46359</v>
      </c>
      <c r="R1089" s="25" t="n">
        <v>0.54</v>
      </c>
      <c r="S1089" s="28">
        <f>IF(AND(ISNUMBER(F1089),ISNUMBER(R1089),R1089&gt;0),F1089/R1089,"")</f>
        <v/>
      </c>
      <c r="T1089" s="27" t="n">
        <v>46323</v>
      </c>
    </row>
    <row r="1090">
      <c r="A1090" s="11" t="inlineStr">
        <is>
          <t>HPP</t>
        </is>
      </c>
      <c r="B1090" s="11" t="inlineStr">
        <is>
          <t>Hudson Pacific Properties, Inc.</t>
        </is>
      </c>
      <c r="C1090" s="11" t="inlineStr">
        <is>
          <t>Reit - Office</t>
        </is>
      </c>
      <c r="D1090" s="11" t="inlineStr">
        <is>
          <t>United States</t>
        </is>
      </c>
      <c r="E1090" s="12" t="n">
        <v>0.6</v>
      </c>
      <c r="F1090" s="13" t="n">
        <v>11.11</v>
      </c>
      <c r="G1090" s="13" t="n">
        <v>16.27273</v>
      </c>
      <c r="H1090" s="14">
        <f>IF(AND(ISNUMBER(F1090),ISNUMBER(G1090),F1090&gt;0),G1090/F1090-1,"")</f>
        <v/>
      </c>
      <c r="I1090" s="13" t="n">
        <v>9</v>
      </c>
      <c r="J1090" s="14">
        <f>IF(AND(ISNUMBER(F1090),ISNUMBER(I1090),F1090&gt;0),I1090/F1090-1,"")</f>
        <v/>
      </c>
      <c r="K1090" s="13" t="n">
        <v>26</v>
      </c>
      <c r="L1090" s="14">
        <f>IF(AND(ISNUMBER(F1090),ISNUMBER(K1090),F1090&gt;0),K1090/F1090-1,"")</f>
        <v/>
      </c>
      <c r="M1090" s="15" t="n">
        <v>11</v>
      </c>
      <c r="N1090" s="16" t="n"/>
      <c r="O1090" s="17">
        <f>IF(AND(ISNUMBER(F1090),ISNUMBER(N1090),F1090&gt;0),N1090/F1090,"")</f>
        <v/>
      </c>
      <c r="P1090" s="18" t="n"/>
      <c r="Q1090" s="18" t="n">
        <v>46331</v>
      </c>
      <c r="R1090" s="16" t="n">
        <v>-9.59</v>
      </c>
      <c r="S1090" s="19">
        <f>IF(AND(ISNUMBER(F1090),ISNUMBER(R1090),R1090&gt;0),F1090/R1090,"")</f>
        <v/>
      </c>
      <c r="T1090" s="18" t="n">
        <v>46323</v>
      </c>
    </row>
    <row r="1091">
      <c r="A1091" s="20" t="inlineStr">
        <is>
          <t>SOC</t>
        </is>
      </c>
      <c r="B1091" s="20" t="inlineStr">
        <is>
          <t>Sable Offshore Corp.</t>
        </is>
      </c>
      <c r="C1091" s="20" t="inlineStr">
        <is>
          <t>Oil &amp; Gas Drilling</t>
        </is>
      </c>
      <c r="D1091" s="20" t="inlineStr">
        <is>
          <t>United States</t>
        </is>
      </c>
      <c r="E1091" s="21" t="n">
        <v>0.59</v>
      </c>
      <c r="F1091" s="22" t="n">
        <v>3.08</v>
      </c>
      <c r="G1091" s="22" t="n">
        <v>9.800000000000001</v>
      </c>
      <c r="H1091" s="23">
        <f>IF(AND(ISNUMBER(F1091),ISNUMBER(G1091),F1091&gt;0),G1091/F1091-1,"")</f>
        <v/>
      </c>
      <c r="I1091" s="22" t="n">
        <v>8</v>
      </c>
      <c r="J1091" s="23">
        <f>IF(AND(ISNUMBER(F1091),ISNUMBER(I1091),F1091&gt;0),I1091/F1091-1,"")</f>
        <v/>
      </c>
      <c r="K1091" s="22" t="n">
        <v>11</v>
      </c>
      <c r="L1091" s="23">
        <f>IF(AND(ISNUMBER(F1091),ISNUMBER(K1091),F1091&gt;0),K1091/F1091-1,"")</f>
        <v/>
      </c>
      <c r="M1091" s="24" t="n">
        <v>5</v>
      </c>
      <c r="N1091" s="25" t="n"/>
      <c r="O1091" s="26">
        <f>IF(AND(ISNUMBER(F1091),ISNUMBER(N1091),F1091&gt;0),N1091/F1091,"")</f>
        <v/>
      </c>
      <c r="P1091" s="27" t="n"/>
      <c r="Q1091" s="27" t="n">
        <v>46335</v>
      </c>
      <c r="R1091" s="25" t="n">
        <v>-3.26</v>
      </c>
      <c r="S1091" s="28">
        <f>IF(AND(ISNUMBER(F1091),ISNUMBER(R1091),R1091&gt;0),F1091/R1091,"")</f>
        <v/>
      </c>
      <c r="T1091" s="27" t="n">
        <v>46323</v>
      </c>
    </row>
    <row r="1092">
      <c r="A1092" s="11" t="inlineStr">
        <is>
          <t>OIS</t>
        </is>
      </c>
      <c r="B1092" s="11" t="inlineStr">
        <is>
          <t>Oil States International, Inc.</t>
        </is>
      </c>
      <c r="C1092" s="11" t="inlineStr">
        <is>
          <t>Oil &amp; Gas Equipment &amp; Services</t>
        </is>
      </c>
      <c r="D1092" s="11" t="inlineStr">
        <is>
          <t>United States</t>
        </is>
      </c>
      <c r="E1092" s="12" t="n">
        <v>0.54</v>
      </c>
      <c r="F1092" s="13" t="n">
        <v>8.91</v>
      </c>
      <c r="G1092" s="13" t="n">
        <v>11.25</v>
      </c>
      <c r="H1092" s="14">
        <f>IF(AND(ISNUMBER(F1092),ISNUMBER(G1092),F1092&gt;0),G1092/F1092-1,"")</f>
        <v/>
      </c>
      <c r="I1092" s="13" t="n">
        <v>9</v>
      </c>
      <c r="J1092" s="14">
        <f>IF(AND(ISNUMBER(F1092),ISNUMBER(I1092),F1092&gt;0),I1092/F1092-1,"")</f>
        <v/>
      </c>
      <c r="K1092" s="13" t="n">
        <v>14</v>
      </c>
      <c r="L1092" s="14">
        <f>IF(AND(ISNUMBER(F1092),ISNUMBER(K1092),F1092&gt;0),K1092/F1092-1,"")</f>
        <v/>
      </c>
      <c r="M1092" s="15" t="n">
        <v>4</v>
      </c>
      <c r="N1092" s="16" t="n"/>
      <c r="O1092" s="17">
        <f>IF(AND(ISNUMBER(F1092),ISNUMBER(N1092),F1092&gt;0),N1092/F1092,"")</f>
        <v/>
      </c>
      <c r="P1092" s="18" t="n"/>
      <c r="Q1092" s="18" t="n">
        <v>46325</v>
      </c>
      <c r="R1092" s="16" t="n">
        <v>-1.84</v>
      </c>
      <c r="S1092" s="19">
        <f>IF(AND(ISNUMBER(F1092),ISNUMBER(R1092),R1092&gt;0),F1092/R1092,"")</f>
        <v/>
      </c>
      <c r="T1092" s="18" t="n">
        <v>46323</v>
      </c>
    </row>
    <row r="1093">
      <c r="A1093" s="20" t="inlineStr">
        <is>
          <t>ARRY</t>
        </is>
      </c>
      <c r="B1093" s="20" t="inlineStr">
        <is>
          <t>Array Technologies, Inc.</t>
        </is>
      </c>
      <c r="C1093" s="20" t="inlineStr">
        <is>
          <t>Solar</t>
        </is>
      </c>
      <c r="D1093" s="20" t="inlineStr">
        <is>
          <t>United States</t>
        </is>
      </c>
      <c r="E1093" s="21" t="n">
        <v>0.52</v>
      </c>
      <c r="F1093" s="22" t="n">
        <v>3.39</v>
      </c>
      <c r="G1093" s="22" t="n">
        <v>7.25909</v>
      </c>
      <c r="H1093" s="23">
        <f>IF(AND(ISNUMBER(F1093),ISNUMBER(G1093),F1093&gt;0),G1093/F1093-1,"")</f>
        <v/>
      </c>
      <c r="I1093" s="22" t="n">
        <v>4</v>
      </c>
      <c r="J1093" s="23">
        <f>IF(AND(ISNUMBER(F1093),ISNUMBER(I1093),F1093&gt;0),I1093/F1093-1,"")</f>
        <v/>
      </c>
      <c r="K1093" s="22" t="n">
        <v>13</v>
      </c>
      <c r="L1093" s="23">
        <f>IF(AND(ISNUMBER(F1093),ISNUMBER(K1093),F1093&gt;0),K1093/F1093-1,"")</f>
        <v/>
      </c>
      <c r="M1093" s="24" t="n">
        <v>22</v>
      </c>
      <c r="N1093" s="25" t="n"/>
      <c r="O1093" s="26">
        <f>IF(AND(ISNUMBER(F1093),ISNUMBER(N1093),F1093&gt;0),N1093/F1093,"")</f>
        <v/>
      </c>
      <c r="P1093" s="27" t="n"/>
      <c r="Q1093" s="27" t="n">
        <v>46331</v>
      </c>
      <c r="R1093" s="25" t="n">
        <v>-0.96</v>
      </c>
      <c r="S1093" s="28">
        <f>IF(AND(ISNUMBER(F1093),ISNUMBER(R1093),R1093&gt;0),F1093/R1093,"")</f>
        <v/>
      </c>
      <c r="T1093" s="27" t="n">
        <v>46323</v>
      </c>
    </row>
    <row r="1094">
      <c r="A1094" s="11" t="inlineStr">
        <is>
          <t>DNUT</t>
        </is>
      </c>
      <c r="B1094" s="11" t="inlineStr">
        <is>
          <t>Krispy Kreme, Inc.</t>
        </is>
      </c>
      <c r="C1094" s="11" t="inlineStr">
        <is>
          <t>Grocery Stores</t>
        </is>
      </c>
      <c r="D1094" s="11" t="inlineStr">
        <is>
          <t>United States</t>
        </is>
      </c>
      <c r="E1094" s="12" t="n">
        <v>0.5</v>
      </c>
      <c r="F1094" s="13" t="n">
        <v>2.91</v>
      </c>
      <c r="G1094" s="13" t="n">
        <v>4.18333</v>
      </c>
      <c r="H1094" s="14">
        <f>IF(AND(ISNUMBER(F1094),ISNUMBER(G1094),F1094&gt;0),G1094/F1094-1,"")</f>
        <v/>
      </c>
      <c r="I1094" s="13" t="n">
        <v>3</v>
      </c>
      <c r="J1094" s="14">
        <f>IF(AND(ISNUMBER(F1094),ISNUMBER(I1094),F1094&gt;0),I1094/F1094-1,"")</f>
        <v/>
      </c>
      <c r="K1094" s="13" t="n">
        <v>5.5</v>
      </c>
      <c r="L1094" s="14">
        <f>IF(AND(ISNUMBER(F1094),ISNUMBER(K1094),F1094&gt;0),K1094/F1094-1,"")</f>
        <v/>
      </c>
      <c r="M1094" s="15" t="n">
        <v>6</v>
      </c>
      <c r="N1094" s="16" t="n"/>
      <c r="O1094" s="17">
        <f>IF(AND(ISNUMBER(F1094),ISNUMBER(N1094),F1094&gt;0),N1094/F1094,"")</f>
        <v/>
      </c>
      <c r="P1094" s="18" t="n"/>
      <c r="Q1094" s="18" t="n">
        <v>46331</v>
      </c>
      <c r="R1094" s="16" t="n">
        <v>-0.58</v>
      </c>
      <c r="S1094" s="19">
        <f>IF(AND(ISNUMBER(F1094),ISNUMBER(R1094),R1094&gt;0),F1094/R1094,"")</f>
        <v/>
      </c>
      <c r="T1094" s="18" t="n">
        <v>46323</v>
      </c>
    </row>
    <row r="1095">
      <c r="A1095" s="20" t="inlineStr">
        <is>
          <t>NB</t>
        </is>
      </c>
      <c r="B1095" s="20" t="inlineStr">
        <is>
          <t>NioCorp Developments Ltd.</t>
        </is>
      </c>
      <c r="C1095" s="20" t="inlineStr">
        <is>
          <t>Other Industrial Metals &amp; Mining</t>
        </is>
      </c>
      <c r="D1095" s="20" t="inlineStr">
        <is>
          <t>United States</t>
        </is>
      </c>
      <c r="E1095" s="21" t="n">
        <v>0.5</v>
      </c>
      <c r="F1095" s="22" t="n">
        <v>3.41</v>
      </c>
      <c r="G1095" s="22" t="n">
        <v>10.02</v>
      </c>
      <c r="H1095" s="23">
        <f>IF(AND(ISNUMBER(F1095),ISNUMBER(G1095),F1095&gt;0),G1095/F1095-1,"")</f>
        <v/>
      </c>
      <c r="I1095" s="22" t="n">
        <v>4.7</v>
      </c>
      <c r="J1095" s="23">
        <f>IF(AND(ISNUMBER(F1095),ISNUMBER(I1095),F1095&gt;0),I1095/F1095-1,"")</f>
        <v/>
      </c>
      <c r="K1095" s="22" t="n">
        <v>15</v>
      </c>
      <c r="L1095" s="23">
        <f>IF(AND(ISNUMBER(F1095),ISNUMBER(K1095),F1095&gt;0),K1095/F1095-1,"")</f>
        <v/>
      </c>
      <c r="M1095" s="24" t="n">
        <v>5</v>
      </c>
      <c r="N1095" s="25" t="n"/>
      <c r="O1095" s="26">
        <f>IF(AND(ISNUMBER(F1095),ISNUMBER(N1095),F1095&gt;0),N1095/F1095,"")</f>
        <v/>
      </c>
      <c r="P1095" s="27" t="n"/>
      <c r="Q1095" s="27" t="n">
        <v>46342</v>
      </c>
      <c r="R1095" s="25" t="n">
        <v>-0.41</v>
      </c>
      <c r="S1095" s="28">
        <f>IF(AND(ISNUMBER(F1095),ISNUMBER(R1095),R1095&gt;0),F1095/R1095,"")</f>
        <v/>
      </c>
      <c r="T1095" s="27" t="n">
        <v>46323</v>
      </c>
    </row>
    <row r="1096">
      <c r="A1096" s="11" t="inlineStr">
        <is>
          <t>ALLO</t>
        </is>
      </c>
      <c r="B1096" s="11" t="inlineStr">
        <is>
          <t>Allogene Therapeutics, Inc.</t>
        </is>
      </c>
      <c r="C1096" s="11" t="inlineStr">
        <is>
          <t>Biotechnology</t>
        </is>
      </c>
      <c r="D1096" s="11" t="inlineStr">
        <is>
          <t>United States</t>
        </is>
      </c>
      <c r="E1096" s="12" t="n">
        <v>0.42</v>
      </c>
      <c r="F1096" s="13" t="n">
        <v>1.23</v>
      </c>
      <c r="G1096" s="13" t="n">
        <v>9</v>
      </c>
      <c r="H1096" s="14">
        <f>IF(AND(ISNUMBER(F1096),ISNUMBER(G1096),F1096&gt;0),G1096/F1096-1,"")</f>
        <v/>
      </c>
      <c r="I1096" s="13" t="n">
        <v>4</v>
      </c>
      <c r="J1096" s="14">
        <f>IF(AND(ISNUMBER(F1096),ISNUMBER(I1096),F1096&gt;0),I1096/F1096-1,"")</f>
        <v/>
      </c>
      <c r="K1096" s="13" t="n">
        <v>14</v>
      </c>
      <c r="L1096" s="14">
        <f>IF(AND(ISNUMBER(F1096),ISNUMBER(K1096),F1096&gt;0),K1096/F1096-1,"")</f>
        <v/>
      </c>
      <c r="M1096" s="15" t="n">
        <v>9</v>
      </c>
      <c r="N1096" s="16" t="n"/>
      <c r="O1096" s="17">
        <f>IF(AND(ISNUMBER(F1096),ISNUMBER(N1096),F1096&gt;0),N1096/F1096,"")</f>
        <v/>
      </c>
      <c r="P1096" s="18" t="n"/>
      <c r="Q1096" s="18" t="n">
        <v>46331</v>
      </c>
      <c r="R1096" s="16" t="n">
        <v>-0.66</v>
      </c>
      <c r="S1096" s="19">
        <f>IF(AND(ISNUMBER(F1096),ISNUMBER(R1096),R1096&gt;0),F1096/R1096,"")</f>
        <v/>
      </c>
      <c r="T1096" s="18" t="n">
        <v>46323</v>
      </c>
    </row>
    <row r="1097">
      <c r="A1097" s="20" t="inlineStr">
        <is>
          <t>TLRY</t>
        </is>
      </c>
      <c r="B1097" s="20" t="inlineStr">
        <is>
          <t>Tilray Brands, Inc.</t>
        </is>
      </c>
      <c r="C1097" s="20" t="inlineStr">
        <is>
          <t>Drug Manufacturers - Specialty &amp; Generic</t>
        </is>
      </c>
      <c r="D1097" s="20" t="inlineStr">
        <is>
          <t>Canada</t>
        </is>
      </c>
      <c r="E1097" s="21" t="n">
        <v>0.41</v>
      </c>
      <c r="F1097" s="22" t="n">
        <v>2.77</v>
      </c>
      <c r="G1097" s="22" t="n">
        <v>5.61111</v>
      </c>
      <c r="H1097" s="23">
        <f>IF(AND(ISNUMBER(F1097),ISNUMBER(G1097),F1097&gt;0),G1097/F1097-1,"")</f>
        <v/>
      </c>
      <c r="I1097" s="22" t="n">
        <v>4</v>
      </c>
      <c r="J1097" s="23">
        <f>IF(AND(ISNUMBER(F1097),ISNUMBER(I1097),F1097&gt;0),I1097/F1097-1,"")</f>
        <v/>
      </c>
      <c r="K1097" s="22" t="n">
        <v>12</v>
      </c>
      <c r="L1097" s="23">
        <f>IF(AND(ISNUMBER(F1097),ISNUMBER(K1097),F1097&gt;0),K1097/F1097-1,"")</f>
        <v/>
      </c>
      <c r="M1097" s="24" t="n">
        <v>9</v>
      </c>
      <c r="N1097" s="25" t="n"/>
      <c r="O1097" s="26">
        <f>IF(AND(ISNUMBER(F1097),ISNUMBER(N1097),F1097&gt;0),N1097/F1097,"")</f>
        <v/>
      </c>
      <c r="P1097" s="27" t="n"/>
      <c r="Q1097" s="27" t="n">
        <v>46394</v>
      </c>
      <c r="R1097" s="25" t="n">
        <v>-1.41</v>
      </c>
      <c r="S1097" s="28">
        <f>IF(AND(ISNUMBER(F1097),ISNUMBER(R1097),R1097&gt;0),F1097/R1097,"")</f>
        <v/>
      </c>
      <c r="T1097" s="27" t="n">
        <v>46323</v>
      </c>
    </row>
    <row r="1098">
      <c r="A1098" s="11" t="inlineStr">
        <is>
          <t>GEMI</t>
        </is>
      </c>
      <c r="B1098" s="11" t="inlineStr">
        <is>
          <t>Gemini Space Station, Inc.</t>
        </is>
      </c>
      <c r="C1098" s="11" t="inlineStr">
        <is>
          <t>Capital Markets</t>
        </is>
      </c>
      <c r="D1098" s="11" t="inlineStr">
        <is>
          <t>United States</t>
        </is>
      </c>
      <c r="E1098" s="12" t="n">
        <v>0.4</v>
      </c>
      <c r="F1098" s="13" t="n">
        <v>3.08</v>
      </c>
      <c r="G1098" s="13" t="n">
        <v>5.225</v>
      </c>
      <c r="H1098" s="14">
        <f>IF(AND(ISNUMBER(F1098),ISNUMBER(G1098),F1098&gt;0),G1098/F1098-1,"")</f>
        <v/>
      </c>
      <c r="I1098" s="13" t="n">
        <v>3.5</v>
      </c>
      <c r="J1098" s="14">
        <f>IF(AND(ISNUMBER(F1098),ISNUMBER(I1098),F1098&gt;0),I1098/F1098-1,"")</f>
        <v/>
      </c>
      <c r="K1098" s="13" t="n">
        <v>7</v>
      </c>
      <c r="L1098" s="14">
        <f>IF(AND(ISNUMBER(F1098),ISNUMBER(K1098),F1098&gt;0),K1098/F1098-1,"")</f>
        <v/>
      </c>
      <c r="M1098" s="15" t="n">
        <v>10</v>
      </c>
      <c r="N1098" s="16" t="n"/>
      <c r="O1098" s="17">
        <f>IF(AND(ISNUMBER(F1098),ISNUMBER(N1098),F1098&gt;0),N1098/F1098,"")</f>
        <v/>
      </c>
      <c r="P1098" s="18" t="n"/>
      <c r="Q1098" s="18" t="n">
        <v>46338</v>
      </c>
      <c r="R1098" s="16" t="n">
        <v>14.05</v>
      </c>
      <c r="S1098" s="19">
        <f>IF(AND(ISNUMBER(F1098),ISNUMBER(R1098),R1098&gt;0),F1098/R1098,"")</f>
        <v/>
      </c>
      <c r="T1098" s="18" t="n">
        <v>46323</v>
      </c>
    </row>
    <row r="1099">
      <c r="A1099" s="20" t="inlineStr">
        <is>
          <t>SLI</t>
        </is>
      </c>
      <c r="B1099" s="20" t="inlineStr">
        <is>
          <t>Standard Lithium Ltd.</t>
        </is>
      </c>
      <c r="C1099" s="20" t="inlineStr">
        <is>
          <t>Other Industrial Metals &amp; Mining</t>
        </is>
      </c>
      <c r="D1099" s="20" t="inlineStr">
        <is>
          <t>Canada</t>
        </is>
      </c>
      <c r="E1099" s="21" t="n">
        <v>0.37</v>
      </c>
      <c r="F1099" s="22" t="n">
        <v>1.51</v>
      </c>
      <c r="G1099" s="22" t="n">
        <v>4.536207</v>
      </c>
      <c r="H1099" s="23">
        <f>IF(AND(ISNUMBER(F1099),ISNUMBER(G1099),F1099&gt;0),G1099/F1099-1,"")</f>
        <v/>
      </c>
      <c r="I1099" s="22" t="n">
        <v>2.4669228</v>
      </c>
      <c r="J1099" s="23">
        <f>IF(AND(ISNUMBER(F1099),ISNUMBER(I1099),F1099&gt;0),I1099/F1099-1,"")</f>
        <v/>
      </c>
      <c r="K1099" s="22" t="n">
        <v>5.6999574</v>
      </c>
      <c r="L1099" s="23">
        <f>IF(AND(ISNUMBER(F1099),ISNUMBER(K1099),F1099&gt;0),K1099/F1099-1,"")</f>
        <v/>
      </c>
      <c r="M1099" s="24" t="n">
        <v>4</v>
      </c>
      <c r="N1099" s="25" t="n"/>
      <c r="O1099" s="26">
        <f>IF(AND(ISNUMBER(F1099),ISNUMBER(N1099),F1099&gt;0),N1099/F1099,"")</f>
        <v/>
      </c>
      <c r="P1099" s="27" t="n"/>
      <c r="Q1099" s="27" t="n">
        <v>46331</v>
      </c>
      <c r="R1099" s="25" t="n">
        <v>-0.22</v>
      </c>
      <c r="S1099" s="28">
        <f>IF(AND(ISNUMBER(F1099),ISNUMBER(R1099),R1099&gt;0),F1099/R1099,"")</f>
        <v/>
      </c>
      <c r="T1099" s="27" t="n">
        <v>46323</v>
      </c>
    </row>
    <row r="1100">
      <c r="A1100" s="11" t="inlineStr">
        <is>
          <t>FVRR</t>
        </is>
      </c>
      <c r="B1100" s="11" t="inlineStr">
        <is>
          <t>Fiverr International Ltd.</t>
        </is>
      </c>
      <c r="C1100" s="11" t="inlineStr">
        <is>
          <t>Internet Content &amp; Information</t>
        </is>
      </c>
      <c r="D1100" s="11" t="inlineStr">
        <is>
          <t>Israel</t>
        </is>
      </c>
      <c r="E1100" s="12" t="n">
        <v>0.29</v>
      </c>
      <c r="F1100" s="13" t="n">
        <v>8.19</v>
      </c>
      <c r="G1100" s="13" t="n">
        <v>9.91667</v>
      </c>
      <c r="H1100" s="14">
        <f>IF(AND(ISNUMBER(F1100),ISNUMBER(G1100),F1100&gt;0),G1100/F1100-1,"")</f>
        <v/>
      </c>
      <c r="I1100" s="13" t="n">
        <v>9</v>
      </c>
      <c r="J1100" s="14">
        <f>IF(AND(ISNUMBER(F1100),ISNUMBER(I1100),F1100&gt;0),I1100/F1100-1,"")</f>
        <v/>
      </c>
      <c r="K1100" s="13" t="n">
        <v>11.5</v>
      </c>
      <c r="L1100" s="14">
        <f>IF(AND(ISNUMBER(F1100),ISNUMBER(K1100),F1100&gt;0),K1100/F1100-1,"")</f>
        <v/>
      </c>
      <c r="M1100" s="15" t="n">
        <v>6</v>
      </c>
      <c r="N1100" s="16" t="n"/>
      <c r="O1100" s="17">
        <f>IF(AND(ISNUMBER(F1100),ISNUMBER(N1100),F1100&gt;0),N1100/F1100,"")</f>
        <v/>
      </c>
      <c r="P1100" s="18" t="n"/>
      <c r="Q1100" s="18" t="n">
        <v>46324</v>
      </c>
      <c r="R1100" s="16" t="n">
        <v>0.8100000000000001</v>
      </c>
      <c r="S1100" s="19">
        <f>IF(AND(ISNUMBER(F1100),ISNUMBER(R1100),R1100&gt;0),F1100/R1100,"")</f>
        <v/>
      </c>
      <c r="T1100" s="18" t="n">
        <v>46323</v>
      </c>
    </row>
    <row r="1101">
      <c r="A1101" s="20" t="inlineStr">
        <is>
          <t>RWAY</t>
        </is>
      </c>
      <c r="B1101" s="20" t="inlineStr">
        <is>
          <t>Runway Growth Finance Corp.</t>
        </is>
      </c>
      <c r="C1101" s="20" t="inlineStr">
        <is>
          <t>Asset Management</t>
        </is>
      </c>
      <c r="D1101" s="20" t="inlineStr">
        <is>
          <t>United States</t>
        </is>
      </c>
      <c r="E1101" s="21" t="n">
        <v>0.27</v>
      </c>
      <c r="F1101" s="22" t="n">
        <v>6.43</v>
      </c>
      <c r="G1101" s="22" t="n">
        <v>8.03571</v>
      </c>
      <c r="H1101" s="23">
        <f>IF(AND(ISNUMBER(F1101),ISNUMBER(G1101),F1101&gt;0),G1101/F1101-1,"")</f>
        <v/>
      </c>
      <c r="I1101" s="22" t="n">
        <v>5.5</v>
      </c>
      <c r="J1101" s="23">
        <f>IF(AND(ISNUMBER(F1101),ISNUMBER(I1101),F1101&gt;0),I1101/F1101-1,"")</f>
        <v/>
      </c>
      <c r="K1101" s="22" t="n">
        <v>11</v>
      </c>
      <c r="L1101" s="23">
        <f>IF(AND(ISNUMBER(F1101),ISNUMBER(K1101),F1101&gt;0),K1101/F1101-1,"")</f>
        <v/>
      </c>
      <c r="M1101" s="24" t="n">
        <v>7</v>
      </c>
      <c r="N1101" s="25" t="n">
        <v>1.32</v>
      </c>
      <c r="O1101" s="26">
        <f>IF(AND(ISNUMBER(F1101),ISNUMBER(N1101),F1101&gt;0),N1101/F1101,"")</f>
        <v/>
      </c>
      <c r="P1101" s="27" t="n">
        <v>46251</v>
      </c>
      <c r="Q1101" s="27" t="n">
        <v>46331</v>
      </c>
      <c r="R1101" s="25" t="n">
        <v>0.24</v>
      </c>
      <c r="S1101" s="28">
        <f>IF(AND(ISNUMBER(F1101),ISNUMBER(R1101),R1101&gt;0),F1101/R1101,"")</f>
        <v/>
      </c>
      <c r="T1101" s="27" t="n">
        <v>46323</v>
      </c>
    </row>
    <row r="1102">
      <c r="A1102" s="11" t="inlineStr">
        <is>
          <t>GLOO</t>
        </is>
      </c>
      <c r="B1102" s="11" t="inlineStr">
        <is>
          <t>Gloo Holdings, Inc.</t>
        </is>
      </c>
      <c r="C1102" s="11" t="inlineStr">
        <is>
          <t>Software - Application</t>
        </is>
      </c>
      <c r="D1102" s="11" t="inlineStr">
        <is>
          <t>United States</t>
        </is>
      </c>
      <c r="E1102" s="12" t="n">
        <v>0.27</v>
      </c>
      <c r="F1102" s="13" t="n">
        <v>2.91</v>
      </c>
      <c r="G1102" s="13" t="n">
        <v>11.16667</v>
      </c>
      <c r="H1102" s="14">
        <f>IF(AND(ISNUMBER(F1102),ISNUMBER(G1102),F1102&gt;0),G1102/F1102-1,"")</f>
        <v/>
      </c>
      <c r="I1102" s="13" t="n">
        <v>7</v>
      </c>
      <c r="J1102" s="14">
        <f>IF(AND(ISNUMBER(F1102),ISNUMBER(I1102),F1102&gt;0),I1102/F1102-1,"")</f>
        <v/>
      </c>
      <c r="K1102" s="13" t="n">
        <v>17</v>
      </c>
      <c r="L1102" s="14">
        <f>IF(AND(ISNUMBER(F1102),ISNUMBER(K1102),F1102&gt;0),K1102/F1102-1,"")</f>
        <v/>
      </c>
      <c r="M1102" s="15" t="n">
        <v>6</v>
      </c>
      <c r="N1102" s="16" t="n"/>
      <c r="O1102" s="17">
        <f>IF(AND(ISNUMBER(F1102),ISNUMBER(N1102),F1102&gt;0),N1102/F1102,"")</f>
        <v/>
      </c>
      <c r="P1102" s="18" t="n"/>
      <c r="Q1102" s="18" t="n">
        <v>46274</v>
      </c>
      <c r="R1102" s="16" t="n">
        <v>-1.84</v>
      </c>
      <c r="S1102" s="19">
        <f>IF(AND(ISNUMBER(F1102),ISNUMBER(R1102),R1102&gt;0),F1102/R1102,"")</f>
        <v/>
      </c>
      <c r="T1102" s="18" t="n">
        <v>46323</v>
      </c>
    </row>
    <row r="1103">
      <c r="A1103" s="20" t="inlineStr">
        <is>
          <t>PLAY</t>
        </is>
      </c>
      <c r="B1103" s="20" t="inlineStr">
        <is>
          <t xml:space="preserve">Dave &amp; Buster's Entertainment, </t>
        </is>
      </c>
      <c r="C1103" s="20" t="inlineStr">
        <is>
          <t>Entertainment</t>
        </is>
      </c>
      <c r="D1103" s="20" t="inlineStr">
        <is>
          <t>United States</t>
        </is>
      </c>
      <c r="E1103" s="21" t="n">
        <v>0.26</v>
      </c>
      <c r="F1103" s="22" t="n">
        <v>7.58</v>
      </c>
      <c r="G1103" s="22" t="n">
        <v>13</v>
      </c>
      <c r="H1103" s="23">
        <f>IF(AND(ISNUMBER(F1103),ISNUMBER(G1103),F1103&gt;0),G1103/F1103-1,"")</f>
        <v/>
      </c>
      <c r="I1103" s="22" t="n">
        <v>9</v>
      </c>
      <c r="J1103" s="23">
        <f>IF(AND(ISNUMBER(F1103),ISNUMBER(I1103),F1103&gt;0),I1103/F1103-1,"")</f>
        <v/>
      </c>
      <c r="K1103" s="22" t="n">
        <v>22</v>
      </c>
      <c r="L1103" s="23">
        <f>IF(AND(ISNUMBER(F1103),ISNUMBER(K1103),F1103&gt;0),K1103/F1103-1,"")</f>
        <v/>
      </c>
      <c r="M1103" s="24" t="n">
        <v>6</v>
      </c>
      <c r="N1103" s="25" t="n"/>
      <c r="O1103" s="26">
        <f>IF(AND(ISNUMBER(F1103),ISNUMBER(N1103),F1103&gt;0),N1103/F1103,"")</f>
        <v/>
      </c>
      <c r="P1103" s="27" t="n"/>
      <c r="Q1103" s="27" t="n">
        <v>46364</v>
      </c>
      <c r="R1103" s="25" t="n">
        <v>-2.56</v>
      </c>
      <c r="S1103" s="28">
        <f>IF(AND(ISNUMBER(F1103),ISNUMBER(R1103),R1103&gt;0),F1103/R1103,"")</f>
        <v/>
      </c>
      <c r="T1103" s="27" t="n">
        <v>46323</v>
      </c>
    </row>
    <row r="1104">
      <c r="A1104" s="11" t="inlineStr">
        <is>
          <t>FUBO</t>
        </is>
      </c>
      <c r="B1104" s="11" t="inlineStr">
        <is>
          <t>fuboTV Inc.</t>
        </is>
      </c>
      <c r="C1104" s="11" t="inlineStr">
        <is>
          <t>Broadcasting</t>
        </is>
      </c>
      <c r="D1104" s="11" t="inlineStr">
        <is>
          <t>United States</t>
        </is>
      </c>
      <c r="E1104" s="12" t="n">
        <v>0.24</v>
      </c>
      <c r="F1104" s="13" t="n">
        <v>7.8</v>
      </c>
      <c r="G1104" s="13" t="n">
        <v>17</v>
      </c>
      <c r="H1104" s="14">
        <f>IF(AND(ISNUMBER(F1104),ISNUMBER(G1104),F1104&gt;0),G1104/F1104-1,"")</f>
        <v/>
      </c>
      <c r="I1104" s="13" t="n">
        <v>12</v>
      </c>
      <c r="J1104" s="14">
        <f>IF(AND(ISNUMBER(F1104),ISNUMBER(I1104),F1104&gt;0),I1104/F1104-1,"")</f>
        <v/>
      </c>
      <c r="K1104" s="13" t="n">
        <v>23</v>
      </c>
      <c r="L1104" s="14">
        <f>IF(AND(ISNUMBER(F1104),ISNUMBER(K1104),F1104&gt;0),K1104/F1104-1,"")</f>
        <v/>
      </c>
      <c r="M1104" s="15" t="n">
        <v>8</v>
      </c>
      <c r="N1104" s="16" t="n"/>
      <c r="O1104" s="17">
        <f>IF(AND(ISNUMBER(F1104),ISNUMBER(N1104),F1104&gt;0),N1104/F1104,"")</f>
        <v/>
      </c>
      <c r="P1104" s="18" t="n"/>
      <c r="Q1104" s="18" t="n">
        <v>46343</v>
      </c>
      <c r="R1104" s="16" t="n">
        <v>-1.24</v>
      </c>
      <c r="S1104" s="19">
        <f>IF(AND(ISNUMBER(F1104),ISNUMBER(R1104),R1104&gt;0),F1104/R1104,"")</f>
        <v/>
      </c>
      <c r="T1104" s="18" t="n">
        <v>46323</v>
      </c>
    </row>
    <row r="1105">
      <c r="A1105" s="20" t="inlineStr">
        <is>
          <t>CHPT</t>
        </is>
      </c>
      <c r="B1105" s="20" t="inlineStr">
        <is>
          <t>ChargePoint Holdings, Inc.</t>
        </is>
      </c>
      <c r="C1105" s="20" t="inlineStr">
        <is>
          <t>Specialty Retail</t>
        </is>
      </c>
      <c r="D1105" s="20" t="inlineStr">
        <is>
          <t>United States</t>
        </is>
      </c>
      <c r="E1105" s="21" t="n">
        <v>0.23</v>
      </c>
      <c r="F1105" s="22" t="n">
        <v>8.73</v>
      </c>
      <c r="G1105" s="22" t="n">
        <v>7.5</v>
      </c>
      <c r="H1105" s="23">
        <f>IF(AND(ISNUMBER(F1105),ISNUMBER(G1105),F1105&gt;0),G1105/F1105-1,"")</f>
        <v/>
      </c>
      <c r="I1105" s="22" t="n">
        <v>6.5</v>
      </c>
      <c r="J1105" s="23">
        <f>IF(AND(ISNUMBER(F1105),ISNUMBER(I1105),F1105&gt;0),I1105/F1105-1,"")</f>
        <v/>
      </c>
      <c r="K1105" s="22" t="n">
        <v>9</v>
      </c>
      <c r="L1105" s="23">
        <f>IF(AND(ISNUMBER(F1105),ISNUMBER(K1105),F1105&gt;0),K1105/F1105-1,"")</f>
        <v/>
      </c>
      <c r="M1105" s="24" t="n">
        <v>5</v>
      </c>
      <c r="N1105" s="25" t="n"/>
      <c r="O1105" s="26">
        <f>IF(AND(ISNUMBER(F1105),ISNUMBER(N1105),F1105&gt;0),N1105/F1105,"")</f>
        <v/>
      </c>
      <c r="P1105" s="27" t="n"/>
      <c r="Q1105" s="27" t="n">
        <v>46358</v>
      </c>
      <c r="R1105" s="25" t="n">
        <v>-7.16</v>
      </c>
      <c r="S1105" s="28">
        <f>IF(AND(ISNUMBER(F1105),ISNUMBER(R1105),R1105&gt;0),F1105/R1105,"")</f>
        <v/>
      </c>
      <c r="T1105" s="27" t="n">
        <v>46323</v>
      </c>
    </row>
    <row r="1106">
      <c r="A1106" s="11" t="inlineStr">
        <is>
          <t>ABAT</t>
        </is>
      </c>
      <c r="B1106" s="11" t="inlineStr">
        <is>
          <t>American Battery Technology Com</t>
        </is>
      </c>
      <c r="C1106" s="11" t="inlineStr">
        <is>
          <t>Waste Management</t>
        </is>
      </c>
      <c r="D1106" s="11" t="inlineStr">
        <is>
          <t>United States</t>
        </is>
      </c>
      <c r="E1106" s="12" t="n">
        <v>0.21</v>
      </c>
      <c r="F1106" s="13" t="n">
        <v>1.49</v>
      </c>
      <c r="G1106" s="13" t="n">
        <v>6</v>
      </c>
      <c r="H1106" s="14">
        <f>IF(AND(ISNUMBER(F1106),ISNUMBER(G1106),F1106&gt;0),G1106/F1106-1,"")</f>
        <v/>
      </c>
      <c r="I1106" s="13" t="n">
        <v>5</v>
      </c>
      <c r="J1106" s="14">
        <f>IF(AND(ISNUMBER(F1106),ISNUMBER(I1106),F1106&gt;0),I1106/F1106-1,"")</f>
        <v/>
      </c>
      <c r="K1106" s="13" t="n">
        <v>7</v>
      </c>
      <c r="L1106" s="14">
        <f>IF(AND(ISNUMBER(F1106),ISNUMBER(K1106),F1106&gt;0),K1106/F1106-1,"")</f>
        <v/>
      </c>
      <c r="M1106" s="15" t="n">
        <v>2</v>
      </c>
      <c r="N1106" s="16" t="n"/>
      <c r="O1106" s="17">
        <f>IF(AND(ISNUMBER(F1106),ISNUMBER(N1106),F1106&gt;0),N1106/F1106,"")</f>
        <v/>
      </c>
      <c r="P1106" s="18" t="n"/>
      <c r="Q1106" s="18" t="n">
        <v>46332</v>
      </c>
      <c r="R1106" s="16" t="n">
        <v>-0.58</v>
      </c>
      <c r="S1106" s="19">
        <f>IF(AND(ISNUMBER(F1106),ISNUMBER(R1106),R1106&gt;0),F1106/R1106,"")</f>
        <v/>
      </c>
      <c r="T1106" s="18" t="n">
        <v>46323</v>
      </c>
    </row>
    <row r="1107">
      <c r="A1107" s="20" t="inlineStr">
        <is>
          <t>KRRO</t>
        </is>
      </c>
      <c r="B1107" s="20" t="inlineStr">
        <is>
          <t>Korro Bio, Inc.</t>
        </is>
      </c>
      <c r="C1107" s="20" t="inlineStr">
        <is>
          <t>Biotechnology</t>
        </is>
      </c>
      <c r="D1107" s="20" t="inlineStr">
        <is>
          <t>United States</t>
        </is>
      </c>
      <c r="E1107" s="21" t="n">
        <v>0.2</v>
      </c>
      <c r="F1107" s="22" t="n">
        <v>13.3</v>
      </c>
      <c r="G1107" s="22" t="n">
        <v>20.2</v>
      </c>
      <c r="H1107" s="23">
        <f>IF(AND(ISNUMBER(F1107),ISNUMBER(G1107),F1107&gt;0),G1107/F1107-1,"")</f>
        <v/>
      </c>
      <c r="I1107" s="22" t="n">
        <v>10</v>
      </c>
      <c r="J1107" s="23">
        <f>IF(AND(ISNUMBER(F1107),ISNUMBER(I1107),F1107&gt;0),I1107/F1107-1,"")</f>
        <v/>
      </c>
      <c r="K1107" s="22" t="n">
        <v>30</v>
      </c>
      <c r="L1107" s="23">
        <f>IF(AND(ISNUMBER(F1107),ISNUMBER(K1107),F1107&gt;0),K1107/F1107-1,"")</f>
        <v/>
      </c>
      <c r="M1107" s="24" t="n">
        <v>10</v>
      </c>
      <c r="N1107" s="25" t="n"/>
      <c r="O1107" s="26">
        <f>IF(AND(ISNUMBER(F1107),ISNUMBER(N1107),F1107&gt;0),N1107/F1107,"")</f>
        <v/>
      </c>
      <c r="P1107" s="27" t="n"/>
      <c r="Q1107" s="27" t="n">
        <v>46338</v>
      </c>
      <c r="R1107" s="25" t="n">
        <v>-9.880000000000001</v>
      </c>
      <c r="S1107" s="28">
        <f>IF(AND(ISNUMBER(F1107),ISNUMBER(R1107),R1107&gt;0),F1107/R1107,"")</f>
        <v/>
      </c>
      <c r="T1107" s="27" t="n">
        <v>46323</v>
      </c>
    </row>
    <row r="1108">
      <c r="A1108" s="11" t="inlineStr">
        <is>
          <t>REA</t>
        </is>
      </c>
      <c r="B1108" s="11" t="inlineStr">
        <is>
          <t>Rare Earths Americas, Inc.</t>
        </is>
      </c>
      <c r="C1108" s="11" t="inlineStr">
        <is>
          <t>Other Industrial Metals &amp; Mining</t>
        </is>
      </c>
      <c r="D1108" s="11" t="inlineStr">
        <is>
          <t>United States</t>
        </is>
      </c>
      <c r="E1108" s="12" t="n">
        <v>0.17</v>
      </c>
      <c r="F1108" s="13" t="n">
        <v>8.09</v>
      </c>
      <c r="G1108" s="13" t="n">
        <v>24.534</v>
      </c>
      <c r="H1108" s="14">
        <f>IF(AND(ISNUMBER(F1108),ISNUMBER(G1108),F1108&gt;0),G1108/F1108-1,"")</f>
        <v/>
      </c>
      <c r="I1108" s="13" t="n">
        <v>10.67</v>
      </c>
      <c r="J1108" s="14">
        <f>IF(AND(ISNUMBER(F1108),ISNUMBER(I1108),F1108&gt;0),I1108/F1108-1,"")</f>
        <v/>
      </c>
      <c r="K1108" s="13" t="n">
        <v>34</v>
      </c>
      <c r="L1108" s="14">
        <f>IF(AND(ISNUMBER(F1108),ISNUMBER(K1108),F1108&gt;0),K1108/F1108-1,"")</f>
        <v/>
      </c>
      <c r="M1108" s="15" t="n">
        <v>5</v>
      </c>
      <c r="N1108" s="16" t="n"/>
      <c r="O1108" s="17">
        <f>IF(AND(ISNUMBER(F1108),ISNUMBER(N1108),F1108&gt;0),N1108/F1108,"")</f>
        <v/>
      </c>
      <c r="P1108" s="18" t="n"/>
      <c r="Q1108" s="18" t="n"/>
      <c r="R1108" s="16" t="n">
        <v>-2.23</v>
      </c>
      <c r="S1108" s="19">
        <f>IF(AND(ISNUMBER(F1108),ISNUMBER(R1108),R1108&gt;0),F1108/R1108,"")</f>
        <v/>
      </c>
      <c r="T1108" s="18" t="n">
        <v>46323</v>
      </c>
    </row>
    <row r="1109">
      <c r="A1109" s="20" t="inlineStr">
        <is>
          <t>AIRO</t>
        </is>
      </c>
      <c r="B1109" s="20" t="inlineStr">
        <is>
          <t>AIRO Group Holdings, Inc.</t>
        </is>
      </c>
      <c r="C1109" s="20" t="inlineStr">
        <is>
          <t>Aerospace &amp; Defense</t>
        </is>
      </c>
      <c r="D1109" s="20" t="inlineStr">
        <is>
          <t>United States</t>
        </is>
      </c>
      <c r="E1109" s="21" t="n">
        <v>0.16</v>
      </c>
      <c r="F1109" s="22" t="n">
        <v>5.05</v>
      </c>
      <c r="G1109" s="22" t="n">
        <v>15.5</v>
      </c>
      <c r="H1109" s="23">
        <f>IF(AND(ISNUMBER(F1109),ISNUMBER(G1109),F1109&gt;0),G1109/F1109-1,"")</f>
        <v/>
      </c>
      <c r="I1109" s="22" t="n">
        <v>11</v>
      </c>
      <c r="J1109" s="23">
        <f>IF(AND(ISNUMBER(F1109),ISNUMBER(I1109),F1109&gt;0),I1109/F1109-1,"")</f>
        <v/>
      </c>
      <c r="K1109" s="22" t="n">
        <v>20</v>
      </c>
      <c r="L1109" s="23">
        <f>IF(AND(ISNUMBER(F1109),ISNUMBER(K1109),F1109&gt;0),K1109/F1109-1,"")</f>
        <v/>
      </c>
      <c r="M1109" s="24" t="n">
        <v>2</v>
      </c>
      <c r="N1109" s="25" t="n"/>
      <c r="O1109" s="26">
        <f>IF(AND(ISNUMBER(F1109),ISNUMBER(N1109),F1109&gt;0),N1109/F1109,"")</f>
        <v/>
      </c>
      <c r="P1109" s="27" t="n"/>
      <c r="Q1109" s="27" t="n">
        <v>46339</v>
      </c>
      <c r="R1109" s="25" t="n">
        <v>-0.82</v>
      </c>
      <c r="S1109" s="28">
        <f>IF(AND(ISNUMBER(F1109),ISNUMBER(R1109),R1109&gt;0),F1109/R1109,"")</f>
        <v/>
      </c>
      <c r="T1109" s="27" t="n">
        <v>46323</v>
      </c>
    </row>
    <row r="1110">
      <c r="A1110" s="11" t="inlineStr">
        <is>
          <t>DPRO</t>
        </is>
      </c>
      <c r="B1110" s="11" t="inlineStr">
        <is>
          <t>Draganfly Inc.</t>
        </is>
      </c>
      <c r="C1110" s="11" t="inlineStr">
        <is>
          <t>Aerospace &amp; Defense</t>
        </is>
      </c>
      <c r="D1110" s="11" t="inlineStr">
        <is>
          <t>Canada</t>
        </is>
      </c>
      <c r="E1110" s="12" t="n">
        <v>0.15</v>
      </c>
      <c r="F1110" s="13" t="n">
        <v>3.72</v>
      </c>
      <c r="G1110" s="13" t="n">
        <v>10.79507</v>
      </c>
      <c r="H1110" s="14">
        <f>IF(AND(ISNUMBER(F1110),ISNUMBER(G1110),F1110&gt;0),G1110/F1110-1,"")</f>
        <v/>
      </c>
      <c r="I1110" s="13" t="n">
        <v>8.079673</v>
      </c>
      <c r="J1110" s="14">
        <f>IF(AND(ISNUMBER(F1110),ISNUMBER(I1110),F1110&gt;0),I1110/F1110-1,"")</f>
        <v/>
      </c>
      <c r="K1110" s="13" t="n">
        <v>13.873022</v>
      </c>
      <c r="L1110" s="14">
        <f>IF(AND(ISNUMBER(F1110),ISNUMBER(K1110),F1110&gt;0),K1110/F1110-1,"")</f>
        <v/>
      </c>
      <c r="M1110" s="15" t="n">
        <v>6</v>
      </c>
      <c r="N1110" s="16" t="n"/>
      <c r="O1110" s="17">
        <f>IF(AND(ISNUMBER(F1110),ISNUMBER(N1110),F1110&gt;0),N1110/F1110,"")</f>
        <v/>
      </c>
      <c r="P1110" s="18" t="n"/>
      <c r="Q1110" s="18" t="n">
        <v>46338</v>
      </c>
      <c r="R1110" s="16" t="n">
        <v>-0.76</v>
      </c>
      <c r="S1110" s="19">
        <f>IF(AND(ISNUMBER(F1110),ISNUMBER(R1110),R1110&gt;0),F1110/R1110,"")</f>
        <v/>
      </c>
      <c r="T1110" s="18" t="n">
        <v>46323</v>
      </c>
    </row>
    <row r="1111">
      <c r="A1111" s="20" t="inlineStr">
        <is>
          <t>NKTX</t>
        </is>
      </c>
      <c r="B1111" s="20" t="inlineStr">
        <is>
          <t>Nkarta, Inc.</t>
        </is>
      </c>
      <c r="C1111" s="20" t="inlineStr">
        <is>
          <t>Biotechnology</t>
        </is>
      </c>
      <c r="D1111" s="20" t="inlineStr">
        <is>
          <t>United States</t>
        </is>
      </c>
      <c r="E1111" s="21" t="n">
        <v>0.12</v>
      </c>
      <c r="F1111" s="22" t="n">
        <v>1.7</v>
      </c>
      <c r="G1111" s="22" t="n">
        <v>10.83333</v>
      </c>
      <c r="H1111" s="23">
        <f>IF(AND(ISNUMBER(F1111),ISNUMBER(G1111),F1111&gt;0),G1111/F1111-1,"")</f>
        <v/>
      </c>
      <c r="I1111" s="22" t="n">
        <v>9</v>
      </c>
      <c r="J1111" s="23">
        <f>IF(AND(ISNUMBER(F1111),ISNUMBER(I1111),F1111&gt;0),I1111/F1111-1,"")</f>
        <v/>
      </c>
      <c r="K1111" s="22" t="n">
        <v>14</v>
      </c>
      <c r="L1111" s="23">
        <f>IF(AND(ISNUMBER(F1111),ISNUMBER(K1111),F1111&gt;0),K1111/F1111-1,"")</f>
        <v/>
      </c>
      <c r="M1111" s="24" t="n">
        <v>6</v>
      </c>
      <c r="N1111" s="25" t="n"/>
      <c r="O1111" s="26">
        <f>IF(AND(ISNUMBER(F1111),ISNUMBER(N1111),F1111&gt;0),N1111/F1111,"")</f>
        <v/>
      </c>
      <c r="P1111" s="27" t="n"/>
      <c r="Q1111" s="27" t="n">
        <v>46336</v>
      </c>
      <c r="R1111" s="25" t="n">
        <v>-1.58</v>
      </c>
      <c r="S1111" s="28">
        <f>IF(AND(ISNUMBER(F1111),ISNUMBER(R1111),R1111&gt;0),F1111/R1111,"")</f>
        <v/>
      </c>
      <c r="T1111" s="27" t="n">
        <v>46323</v>
      </c>
    </row>
    <row r="1112">
      <c r="A1112" s="11" t="inlineStr">
        <is>
          <t>CHGG</t>
        </is>
      </c>
      <c r="B1112" s="11" t="inlineStr">
        <is>
          <t>Chegg, Inc.</t>
        </is>
      </c>
      <c r="C1112" s="11" t="inlineStr">
        <is>
          <t>Education &amp; Training Services</t>
        </is>
      </c>
      <c r="D1112" s="11" t="inlineStr">
        <is>
          <t>United States</t>
        </is>
      </c>
      <c r="E1112" s="12" t="n">
        <v>0.08</v>
      </c>
      <c r="F1112" s="13" t="n">
        <v>0.73</v>
      </c>
      <c r="G1112" s="13" t="n">
        <v>2.79167</v>
      </c>
      <c r="H1112" s="14">
        <f>IF(AND(ISNUMBER(F1112),ISNUMBER(G1112),F1112&gt;0),G1112/F1112-1,"")</f>
        <v/>
      </c>
      <c r="I1112" s="13" t="n">
        <v>2</v>
      </c>
      <c r="J1112" s="14">
        <f>IF(AND(ISNUMBER(F1112),ISNUMBER(I1112),F1112&gt;0),I1112/F1112-1,"")</f>
        <v/>
      </c>
      <c r="K1112" s="13" t="n">
        <v>4</v>
      </c>
      <c r="L1112" s="14">
        <f>IF(AND(ISNUMBER(F1112),ISNUMBER(K1112),F1112&gt;0),K1112/F1112-1,"")</f>
        <v/>
      </c>
      <c r="M1112" s="15" t="n">
        <v>6</v>
      </c>
      <c r="N1112" s="16" t="n"/>
      <c r="O1112" s="17">
        <f>IF(AND(ISNUMBER(F1112),ISNUMBER(N1112),F1112&gt;0),N1112/F1112,"")</f>
        <v/>
      </c>
      <c r="P1112" s="18" t="n"/>
      <c r="Q1112" s="18" t="n">
        <v>46329</v>
      </c>
      <c r="R1112" s="16" t="n">
        <v>-0.48</v>
      </c>
      <c r="S1112" s="19">
        <f>IF(AND(ISNUMBER(F1112),ISNUMBER(R1112),R1112&gt;0),F1112/R1112,"")</f>
        <v/>
      </c>
      <c r="T1112" s="18" t="n">
        <v>46323</v>
      </c>
    </row>
    <row r="1113">
      <c r="A1113" s="20" t="inlineStr">
        <is>
          <t>OM</t>
        </is>
      </c>
      <c r="B1113" s="20" t="inlineStr">
        <is>
          <t>Outset Medical, Inc.</t>
        </is>
      </c>
      <c r="C1113" s="20" t="inlineStr">
        <is>
          <t>Medical Devices</t>
        </is>
      </c>
      <c r="D1113" s="20" t="inlineStr">
        <is>
          <t>United States</t>
        </is>
      </c>
      <c r="E1113" s="21" t="n">
        <v>0.08</v>
      </c>
      <c r="F1113" s="22" t="n">
        <v>4.34</v>
      </c>
      <c r="G1113" s="22" t="n">
        <v>7.66667</v>
      </c>
      <c r="H1113" s="23">
        <f>IF(AND(ISNUMBER(F1113),ISNUMBER(G1113),F1113&gt;0),G1113/F1113-1,"")</f>
        <v/>
      </c>
      <c r="I1113" s="22" t="n">
        <v>6</v>
      </c>
      <c r="J1113" s="23">
        <f>IF(AND(ISNUMBER(F1113),ISNUMBER(I1113),F1113&gt;0),I1113/F1113-1,"")</f>
        <v/>
      </c>
      <c r="K1113" s="22" t="n">
        <v>10</v>
      </c>
      <c r="L1113" s="23">
        <f>IF(AND(ISNUMBER(F1113),ISNUMBER(K1113),F1113&gt;0),K1113/F1113-1,"")</f>
        <v/>
      </c>
      <c r="M1113" s="24" t="n">
        <v>3</v>
      </c>
      <c r="N1113" s="25" t="n"/>
      <c r="O1113" s="26">
        <f>IF(AND(ISNUMBER(F1113),ISNUMBER(N1113),F1113&gt;0),N1113/F1113,"")</f>
        <v/>
      </c>
      <c r="P1113" s="27" t="n"/>
      <c r="Q1113" s="27" t="n">
        <v>46330</v>
      </c>
      <c r="R1113" s="25" t="n">
        <v>-4</v>
      </c>
      <c r="S1113" s="28">
        <f>IF(AND(ISNUMBER(F1113),ISNUMBER(R1113),R1113&gt;0),F1113/R1113,"")</f>
        <v/>
      </c>
      <c r="T1113" s="27" t="n">
        <v>46323</v>
      </c>
    </row>
    <row r="1114">
      <c r="A1114" s="11" t="inlineStr">
        <is>
          <t>STEM</t>
        </is>
      </c>
      <c r="B1114" s="11" t="inlineStr">
        <is>
          <t>Stem, Inc.</t>
        </is>
      </c>
      <c r="C1114" s="11" t="inlineStr">
        <is>
          <t>Utilities - Renewable</t>
        </is>
      </c>
      <c r="D1114" s="11" t="inlineStr">
        <is>
          <t>United States</t>
        </is>
      </c>
      <c r="E1114" s="12" t="n">
        <v>0.03</v>
      </c>
      <c r="F1114" s="13" t="n">
        <v>2.84</v>
      </c>
      <c r="G1114" s="13" t="n">
        <v>6.25</v>
      </c>
      <c r="H1114" s="14">
        <f>IF(AND(ISNUMBER(F1114),ISNUMBER(G1114),F1114&gt;0),G1114/F1114-1,"")</f>
        <v/>
      </c>
      <c r="I1114" s="13" t="n">
        <v>4.5</v>
      </c>
      <c r="J1114" s="14">
        <f>IF(AND(ISNUMBER(F1114),ISNUMBER(I1114),F1114&gt;0),I1114/F1114-1,"")</f>
        <v/>
      </c>
      <c r="K1114" s="13" t="n">
        <v>8</v>
      </c>
      <c r="L1114" s="14">
        <f>IF(AND(ISNUMBER(F1114),ISNUMBER(K1114),F1114&gt;0),K1114/F1114-1,"")</f>
        <v/>
      </c>
      <c r="M1114" s="15" t="n">
        <v>5</v>
      </c>
      <c r="N1114" s="16" t="n"/>
      <c r="O1114" s="17">
        <f>IF(AND(ISNUMBER(F1114),ISNUMBER(N1114),F1114&gt;0),N1114/F1114,"")</f>
        <v/>
      </c>
      <c r="P1114" s="18" t="n"/>
      <c r="Q1114" s="18" t="n">
        <v>46331</v>
      </c>
      <c r="R1114" s="16" t="n">
        <v>-8.619999999999999</v>
      </c>
      <c r="S1114" s="19">
        <f>IF(AND(ISNUMBER(F1114),ISNUMBER(R1114),R1114&gt;0),F1114/R1114,"")</f>
        <v/>
      </c>
      <c r="T1114" s="18" t="n">
        <v>46323</v>
      </c>
    </row>
    <row r="1115">
      <c r="A1115" s="20" t="inlineStr">
        <is>
          <t>KPRX</t>
        </is>
      </c>
      <c r="B1115" s="20" t="inlineStr">
        <is>
          <t>Kiora Pharmaceuticals, Inc.</t>
        </is>
      </c>
      <c r="C1115" s="20" t="inlineStr">
        <is>
          <t>Biotechnology</t>
        </is>
      </c>
      <c r="D1115" s="20" t="inlineStr">
        <is>
          <t>United States</t>
        </is>
      </c>
      <c r="E1115" s="21" t="n">
        <v>0.01</v>
      </c>
      <c r="F1115" s="22" t="n">
        <v>2.3</v>
      </c>
      <c r="G1115" s="22" t="n">
        <v>12</v>
      </c>
      <c r="H1115" s="23">
        <f>IF(AND(ISNUMBER(F1115),ISNUMBER(G1115),F1115&gt;0),G1115/F1115-1,"")</f>
        <v/>
      </c>
      <c r="I1115" s="22" t="n">
        <v>12</v>
      </c>
      <c r="J1115" s="23">
        <f>IF(AND(ISNUMBER(F1115),ISNUMBER(I1115),F1115&gt;0),I1115/F1115-1,"")</f>
        <v/>
      </c>
      <c r="K1115" s="22" t="n">
        <v>12</v>
      </c>
      <c r="L1115" s="23">
        <f>IF(AND(ISNUMBER(F1115),ISNUMBER(K1115),F1115&gt;0),K1115/F1115-1,"")</f>
        <v/>
      </c>
      <c r="M1115" s="24" t="n">
        <v>1</v>
      </c>
      <c r="N1115" s="25" t="n"/>
      <c r="O1115" s="26">
        <f>IF(AND(ISNUMBER(F1115),ISNUMBER(N1115),F1115&gt;0),N1115/F1115,"")</f>
        <v/>
      </c>
      <c r="P1115" s="27" t="n"/>
      <c r="Q1115" s="27" t="n">
        <v>45876</v>
      </c>
      <c r="R1115" s="25" t="n">
        <v>-2.46</v>
      </c>
      <c r="S1115" s="28">
        <f>IF(AND(ISNUMBER(F1115),ISNUMBER(R1115),R1115&gt;0),F1115/R1115,"")</f>
        <v/>
      </c>
      <c r="T1115" s="27" t="n">
        <v>46323</v>
      </c>
    </row>
    <row r="1116">
      <c r="A1116" s="11" t="inlineStr">
        <is>
          <t>ITT</t>
        </is>
      </c>
      <c r="B1116" s="11" t="inlineStr">
        <is>
          <t>ITT Inc.</t>
        </is>
      </c>
      <c r="C1116" s="11" t="inlineStr">
        <is>
          <t>Specialty Industrial Machinery</t>
        </is>
      </c>
      <c r="D1116" s="11" t="inlineStr">
        <is>
          <t>United States</t>
        </is>
      </c>
      <c r="E1116" s="12" t="n"/>
      <c r="F1116" s="13" t="n">
        <v>194.37</v>
      </c>
      <c r="G1116" s="13" t="n">
        <v>257.76923</v>
      </c>
      <c r="H1116" s="14">
        <f>IF(AND(ISNUMBER(F1116),ISNUMBER(G1116),F1116&gt;0),G1116/F1116-1,"")</f>
        <v/>
      </c>
      <c r="I1116" s="13" t="n">
        <v>175</v>
      </c>
      <c r="J1116" s="14">
        <f>IF(AND(ISNUMBER(F1116),ISNUMBER(I1116),F1116&gt;0),I1116/F1116-1,"")</f>
        <v/>
      </c>
      <c r="K1116" s="13" t="n">
        <v>285</v>
      </c>
      <c r="L1116" s="14">
        <f>IF(AND(ISNUMBER(F1116),ISNUMBER(K1116),F1116&gt;0),K1116/F1116-1,"")</f>
        <v/>
      </c>
      <c r="M1116" s="15" t="n">
        <v>13</v>
      </c>
      <c r="N1116" s="16" t="n">
        <v>1.54</v>
      </c>
      <c r="O1116" s="17">
        <f>IF(AND(ISNUMBER(F1116),ISNUMBER(N1116),F1116&gt;0),N1116/F1116,"")</f>
        <v/>
      </c>
      <c r="P1116" s="18" t="n">
        <v>46273</v>
      </c>
      <c r="Q1116" s="18" t="n">
        <v>46330</v>
      </c>
      <c r="R1116" s="16" t="n">
        <v>5.11</v>
      </c>
      <c r="S1116" s="19">
        <f>IF(AND(ISNUMBER(F1116),ISNUMBER(R1116),R1116&gt;0),F1116/R1116,"")</f>
        <v/>
      </c>
      <c r="T1116" s="18" t="n">
        <v>46323</v>
      </c>
    </row>
    <row r="1117">
      <c r="A1117" s="20" t="inlineStr">
        <is>
          <t>KOF</t>
        </is>
      </c>
      <c r="B1117" s="20" t="inlineStr">
        <is>
          <t>Coca Cola Femsa S.A.B. de C.V.</t>
        </is>
      </c>
      <c r="C1117" s="20" t="inlineStr">
        <is>
          <t>Beverages - Non-Alcoholic</t>
        </is>
      </c>
      <c r="D1117" s="20" t="inlineStr">
        <is>
          <t>Mexico</t>
        </is>
      </c>
      <c r="E1117" s="21" t="n"/>
      <c r="F1117" s="22" t="n">
        <v>113.63</v>
      </c>
      <c r="G1117" s="22" t="n">
        <v>121.04929</v>
      </c>
      <c r="H1117" s="23">
        <f>IF(AND(ISNUMBER(F1117),ISNUMBER(G1117),F1117&gt;0),G1117/F1117-1,"")</f>
        <v/>
      </c>
      <c r="I1117" s="22" t="n">
        <v>106</v>
      </c>
      <c r="J1117" s="23">
        <f>IF(AND(ISNUMBER(F1117),ISNUMBER(I1117),F1117&gt;0),I1117/F1117-1,"")</f>
        <v/>
      </c>
      <c r="K1117" s="22" t="n">
        <v>134</v>
      </c>
      <c r="L1117" s="23">
        <f>IF(AND(ISNUMBER(F1117),ISNUMBER(K1117),F1117&gt;0),K1117/F1117-1,"")</f>
        <v/>
      </c>
      <c r="M1117" s="24" t="n">
        <v>14</v>
      </c>
      <c r="N1117" s="25" t="n">
        <v>4.32</v>
      </c>
      <c r="O1117" s="26">
        <f>IF(AND(ISNUMBER(F1117),ISNUMBER(N1117),F1117&gt;0),N1117/F1117,"")</f>
        <v/>
      </c>
      <c r="P1117" s="27" t="n">
        <v>46304</v>
      </c>
      <c r="Q1117" s="27" t="n">
        <v>46321</v>
      </c>
      <c r="R1117" s="25" t="n">
        <v>0.82</v>
      </c>
      <c r="S1117" s="28">
        <f>IF(AND(ISNUMBER(F1117),ISNUMBER(R1117),R1117&gt;0),F1117/R1117,"")</f>
        <v/>
      </c>
      <c r="T1117" s="27" t="n">
        <v>46323</v>
      </c>
    </row>
    <row r="1118">
      <c r="A1118" s="11" t="inlineStr">
        <is>
          <t>LNW</t>
        </is>
      </c>
      <c r="B1118" s="11" t="inlineStr">
        <is>
          <t>Light &amp; Wonder, Inc.</t>
        </is>
      </c>
      <c r="C1118" s="11" t="n"/>
      <c r="D1118" s="11" t="n"/>
      <c r="E1118" s="12" t="n"/>
      <c r="F1118" s="13" t="n">
        <v>86.22</v>
      </c>
      <c r="G1118" s="13" t="n"/>
      <c r="H1118" s="14">
        <f>IF(AND(ISNUMBER(F1118),ISNUMBER(G1118),F1118&gt;0),G1118/F1118-1,"")</f>
        <v/>
      </c>
      <c r="I1118" s="13" t="n"/>
      <c r="J1118" s="14">
        <f>IF(AND(ISNUMBER(F1118),ISNUMBER(I1118),F1118&gt;0),I1118/F1118-1,"")</f>
        <v/>
      </c>
      <c r="K1118" s="13" t="n"/>
      <c r="L1118" s="14">
        <f>IF(AND(ISNUMBER(F1118),ISNUMBER(K1118),F1118&gt;0),K1118/F1118-1,"")</f>
        <v/>
      </c>
      <c r="M1118" s="15" t="n"/>
      <c r="N1118" s="16" t="n"/>
      <c r="O1118" s="17">
        <f>IF(AND(ISNUMBER(F1118),ISNUMBER(N1118),F1118&gt;0),N1118/F1118,"")</f>
        <v/>
      </c>
      <c r="P1118" s="18" t="n"/>
      <c r="Q1118" s="18" t="n"/>
      <c r="R1118" s="16" t="n"/>
      <c r="S1118" s="19">
        <f>IF(AND(ISNUMBER(F1118),ISNUMBER(R1118),R1118&gt;0),F1118/R1118,"")</f>
        <v/>
      </c>
      <c r="T1118" s="18" t="n">
        <v>46323</v>
      </c>
    </row>
    <row r="1119">
      <c r="A1119" s="20" t="inlineStr">
        <is>
          <t>LTM</t>
        </is>
      </c>
      <c r="B1119" s="20" t="inlineStr">
        <is>
          <t>LATAM Airlines Group S.A.</t>
        </is>
      </c>
      <c r="C1119" s="20" t="inlineStr">
        <is>
          <t>Airlines</t>
        </is>
      </c>
      <c r="D1119" s="20" t="inlineStr">
        <is>
          <t>Chile</t>
        </is>
      </c>
      <c r="E1119" s="21" t="n"/>
      <c r="F1119" s="22" t="n">
        <v>44.89</v>
      </c>
      <c r="G1119" s="22" t="n">
        <v>73.86</v>
      </c>
      <c r="H1119" s="23">
        <f>IF(AND(ISNUMBER(F1119),ISNUMBER(G1119),F1119&gt;0),G1119/F1119-1,"")</f>
        <v/>
      </c>
      <c r="I1119" s="22" t="n">
        <v>65</v>
      </c>
      <c r="J1119" s="23">
        <f>IF(AND(ISNUMBER(F1119),ISNUMBER(I1119),F1119&gt;0),I1119/F1119-1,"")</f>
        <v/>
      </c>
      <c r="K1119" s="22" t="n">
        <v>80</v>
      </c>
      <c r="L1119" s="23">
        <f>IF(AND(ISNUMBER(F1119),ISNUMBER(K1119),F1119&gt;0),K1119/F1119-1,"")</f>
        <v/>
      </c>
      <c r="M1119" s="24" t="n">
        <v>10</v>
      </c>
      <c r="N1119" s="25" t="n">
        <v>1.53</v>
      </c>
      <c r="O1119" s="26">
        <f>IF(AND(ISNUMBER(F1119),ISNUMBER(N1119),F1119&gt;0),N1119/F1119,"")</f>
        <v/>
      </c>
      <c r="P1119" s="27" t="n">
        <v>46150</v>
      </c>
      <c r="Q1119" s="27" t="n">
        <v>46329</v>
      </c>
      <c r="R1119" s="25" t="n">
        <v>5.08</v>
      </c>
      <c r="S1119" s="28">
        <f>IF(AND(ISNUMBER(F1119),ISNUMBER(R1119),R1119&gt;0),F1119/R1119,"")</f>
        <v/>
      </c>
      <c r="T1119" s="27" t="n">
        <v>46323</v>
      </c>
    </row>
    <row r="1120">
      <c r="A1120" s="11" t="inlineStr">
        <is>
          <t>PSUS</t>
        </is>
      </c>
      <c r="B1120" s="11" t="inlineStr">
        <is>
          <t>PSUS</t>
        </is>
      </c>
      <c r="C1120" s="11" t="inlineStr">
        <is>
          <t>Asset Management</t>
        </is>
      </c>
      <c r="D1120" s="11" t="inlineStr">
        <is>
          <t>United States</t>
        </is>
      </c>
      <c r="E1120" s="12" t="n"/>
      <c r="F1120" s="13" t="n">
        <v>37.86</v>
      </c>
      <c r="G1120" s="13" t="n">
        <v>42</v>
      </c>
      <c r="H1120" s="14">
        <f>IF(AND(ISNUMBER(F1120),ISNUMBER(G1120),F1120&gt;0),G1120/F1120-1,"")</f>
        <v/>
      </c>
      <c r="I1120" s="13" t="n">
        <v>42</v>
      </c>
      <c r="J1120" s="14">
        <f>IF(AND(ISNUMBER(F1120),ISNUMBER(I1120),F1120&gt;0),I1120/F1120-1,"")</f>
        <v/>
      </c>
      <c r="K1120" s="13" t="n">
        <v>42</v>
      </c>
      <c r="L1120" s="14">
        <f>IF(AND(ISNUMBER(F1120),ISNUMBER(K1120),F1120&gt;0),K1120/F1120-1,"")</f>
        <v/>
      </c>
      <c r="M1120" s="15" t="n">
        <v>1</v>
      </c>
      <c r="N1120" s="16" t="n"/>
      <c r="O1120" s="17">
        <f>IF(AND(ISNUMBER(F1120),ISNUMBER(N1120),F1120&gt;0),N1120/F1120,"")</f>
        <v/>
      </c>
      <c r="P1120" s="18" t="n"/>
      <c r="Q1120" s="18" t="n"/>
      <c r="R1120" s="16" t="n"/>
      <c r="S1120" s="19">
        <f>IF(AND(ISNUMBER(F1120),ISNUMBER(R1120),R1120&gt;0),F1120/R1120,"")</f>
        <v/>
      </c>
      <c r="T1120" s="18" t="n">
        <v>46323</v>
      </c>
    </row>
    <row r="1121">
      <c r="A1121" s="20" t="inlineStr">
        <is>
          <t>SATS</t>
        </is>
      </c>
      <c r="B1121" s="20" t="inlineStr">
        <is>
          <t xml:space="preserve">Strive, Inc. - 15.00% Series A </t>
        </is>
      </c>
      <c r="C1121" s="20" t="inlineStr">
        <is>
          <t>Asset Management</t>
        </is>
      </c>
      <c r="D1121" s="20" t="inlineStr">
        <is>
          <t>United States</t>
        </is>
      </c>
      <c r="E1121" s="21" t="n"/>
      <c r="F1121" s="22" t="n">
        <v>94.59999999999999</v>
      </c>
      <c r="G1121" s="22" t="n"/>
      <c r="H1121" s="23">
        <f>IF(AND(ISNUMBER(F1121),ISNUMBER(G1121),F1121&gt;0),G1121/F1121-1,"")</f>
        <v/>
      </c>
      <c r="I1121" s="22" t="n"/>
      <c r="J1121" s="23">
        <f>IF(AND(ISNUMBER(F1121),ISNUMBER(I1121),F1121&gt;0),I1121/F1121-1,"")</f>
        <v/>
      </c>
      <c r="K1121" s="22" t="n"/>
      <c r="L1121" s="23">
        <f>IF(AND(ISNUMBER(F1121),ISNUMBER(K1121),F1121&gt;0),K1121/F1121-1,"")</f>
        <v/>
      </c>
      <c r="M1121" s="24" t="n"/>
      <c r="N1121" s="25" t="n"/>
      <c r="O1121" s="26">
        <f>IF(AND(ISNUMBER(F1121),ISNUMBER(N1121),F1121&gt;0),N1121/F1121,"")</f>
        <v/>
      </c>
      <c r="P1121" s="27" t="n"/>
      <c r="Q1121" s="27" t="n"/>
      <c r="R1121" s="25" t="n"/>
      <c r="S1121" s="28">
        <f>IF(AND(ISNUMBER(F1121),ISNUMBER(R1121),R1121&gt;0),F1121/R1121,"")</f>
        <v/>
      </c>
      <c r="T1121" s="27" t="n">
        <v>46323</v>
      </c>
    </row>
  </sheetData>
  <autoFilter ref="A1:T1121"/>
  <conditionalFormatting sqref="H2:H11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1121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L2:L1121">
    <cfRule type="cellIs" priority="5" operator="greaterThan" dxfId="2">
      <formula>0</formula>
    </cfRule>
    <cfRule type="cellIs" priority="6" operator="lessThan" dxfId="3">
      <formula>0</formula>
    </cfRule>
  </conditionalFormatting>
  <conditionalFormatting sqref="Q2:Q1121">
    <cfRule type="expression" priority="7" dxfId="4">
      <formula>AND(ISNUMBER(Q2),Q2&gt;=TODAY(),Q2-TODAY()&lt;=7)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70" customWidth="1" min="3" max="3"/>
  </cols>
  <sheetData>
    <row r="1">
      <c r="A1" s="29" t="inlineStr">
        <is>
          <t>Ticker</t>
        </is>
      </c>
      <c r="B1" s="29" t="inlineStr">
        <is>
          <t>Group</t>
        </is>
      </c>
      <c r="C1" s="30" t="inlineStr">
        <is>
          <t>HOW TO ADD A STOCK</t>
        </is>
      </c>
    </row>
    <row r="2">
      <c r="A2" s="31" t="inlineStr">
        <is>
          <t>A</t>
        </is>
      </c>
      <c r="B2" s="32" t="inlineStr">
        <is>
          <t>S&amp;P 100 / US</t>
        </is>
      </c>
      <c r="C2" s="33" t="inlineStr">
        <is>
          <t>This tab mirrors the ticker universe used by the automated refresh.</t>
        </is>
      </c>
    </row>
    <row r="3">
      <c r="A3" s="31" t="inlineStr">
        <is>
          <t>AA</t>
        </is>
      </c>
      <c r="B3" s="32" t="inlineStr">
        <is>
          <t>S&amp;P 100 / US</t>
        </is>
      </c>
      <c r="C3" s="33" t="inlineStr">
        <is>
          <t>To add or remove a stock: edit the tickers.txt file in the GitHub repo (one symbol per line),</t>
        </is>
      </c>
    </row>
    <row r="4">
      <c r="A4" s="31" t="inlineStr">
        <is>
          <t>AAL</t>
        </is>
      </c>
      <c r="B4" s="32" t="inlineStr">
        <is>
          <t>S&amp;P 100 / US</t>
        </is>
      </c>
      <c r="C4" s="33" t="inlineStr">
        <is>
          <t>or simply tell Claude (e.g. “add NFLX and COIN to my price targets sheet”).</t>
        </is>
      </c>
    </row>
    <row r="5">
      <c r="A5" s="31" t="inlineStr">
        <is>
          <t>AAP</t>
        </is>
      </c>
      <c r="B5" s="32" t="inlineStr">
        <is>
          <t>S&amp;P 100 / US</t>
        </is>
      </c>
      <c r="C5" s="33" t="inlineStr">
        <is>
          <t>The next scheduled refresh picks the change up automatically — no other edits needed.</t>
        </is>
      </c>
    </row>
    <row r="6">
      <c r="A6" s="31" t="inlineStr">
        <is>
          <t>AAPL</t>
        </is>
      </c>
      <c r="B6" s="32" t="inlineStr">
        <is>
          <t>S&amp;P 100 / US</t>
        </is>
      </c>
      <c r="C6" s="33" t="inlineStr">
        <is>
          <t>Note: use Yahoo-style symbols (BRK-B, not BRK.B) when editing tickers.txt.</t>
        </is>
      </c>
    </row>
    <row r="7">
      <c r="A7" s="31" t="inlineStr">
        <is>
          <t>ABAT</t>
        </is>
      </c>
      <c r="B7" s="32" t="inlineStr">
        <is>
          <t>S&amp;P 100 / US</t>
        </is>
      </c>
    </row>
    <row r="8">
      <c r="A8" s="31" t="inlineStr">
        <is>
          <t>ABBV</t>
        </is>
      </c>
      <c r="B8" s="32" t="inlineStr">
        <is>
          <t>S&amp;P 100 / US</t>
        </is>
      </c>
    </row>
    <row r="9">
      <c r="A9" s="31" t="inlineStr">
        <is>
          <t>ABEV</t>
        </is>
      </c>
      <c r="B9" s="32" t="inlineStr">
        <is>
          <t>S&amp;P 100 / US</t>
        </is>
      </c>
    </row>
    <row r="10">
      <c r="A10" s="31" t="inlineStr">
        <is>
          <t>ABG</t>
        </is>
      </c>
      <c r="B10" s="32" t="inlineStr">
        <is>
          <t>S&amp;P 100 / US</t>
        </is>
      </c>
    </row>
    <row r="11">
      <c r="A11" s="31" t="inlineStr">
        <is>
          <t>ABNB</t>
        </is>
      </c>
      <c r="B11" s="32" t="inlineStr">
        <is>
          <t>S&amp;P 100 / US</t>
        </is>
      </c>
    </row>
    <row r="12">
      <c r="A12" s="31" t="inlineStr">
        <is>
          <t>ABT</t>
        </is>
      </c>
      <c r="B12" s="32" t="inlineStr">
        <is>
          <t>S&amp;P 100 / US</t>
        </is>
      </c>
    </row>
    <row r="13">
      <c r="A13" s="31" t="inlineStr">
        <is>
          <t>ACGL</t>
        </is>
      </c>
      <c r="B13" s="32" t="inlineStr">
        <is>
          <t>S&amp;P 100 / US</t>
        </is>
      </c>
    </row>
    <row r="14">
      <c r="A14" s="31" t="inlineStr">
        <is>
          <t>ACHC</t>
        </is>
      </c>
      <c r="B14" s="32" t="inlineStr">
        <is>
          <t>S&amp;P 100 / US</t>
        </is>
      </c>
    </row>
    <row r="15">
      <c r="A15" s="31" t="inlineStr">
        <is>
          <t>ACHR</t>
        </is>
      </c>
      <c r="B15" s="32" t="inlineStr">
        <is>
          <t>S&amp;P 100 / US</t>
        </is>
      </c>
    </row>
    <row r="16">
      <c r="A16" s="31" t="inlineStr">
        <is>
          <t>ACI</t>
        </is>
      </c>
      <c r="B16" s="32" t="inlineStr">
        <is>
          <t>S&amp;P 100 / US</t>
        </is>
      </c>
    </row>
    <row r="17">
      <c r="A17" s="31" t="inlineStr">
        <is>
          <t>ACIW</t>
        </is>
      </c>
      <c r="B17" s="32" t="inlineStr">
        <is>
          <t>S&amp;P 100 / US</t>
        </is>
      </c>
    </row>
    <row r="18">
      <c r="A18" s="31" t="inlineStr">
        <is>
          <t>ACN</t>
        </is>
      </c>
      <c r="B18" s="32" t="inlineStr">
        <is>
          <t>S&amp;P 100 / US</t>
        </is>
      </c>
    </row>
    <row r="19">
      <c r="A19" s="31" t="inlineStr">
        <is>
          <t>ADBE</t>
        </is>
      </c>
      <c r="B19" s="32" t="inlineStr">
        <is>
          <t>S&amp;P 100 / US</t>
        </is>
      </c>
    </row>
    <row r="20">
      <c r="A20" s="31" t="inlineStr">
        <is>
          <t>ADC</t>
        </is>
      </c>
      <c r="B20" s="32" t="inlineStr">
        <is>
          <t>S&amp;P 100 / US</t>
        </is>
      </c>
    </row>
    <row r="21">
      <c r="A21" s="31" t="inlineStr">
        <is>
          <t>ADDYY</t>
        </is>
      </c>
      <c r="B21" s="32" t="inlineStr">
        <is>
          <t>S&amp;P 100 / US</t>
        </is>
      </c>
    </row>
    <row r="22">
      <c r="A22" s="31" t="inlineStr">
        <is>
          <t>ADI</t>
        </is>
      </c>
      <c r="B22" s="32" t="inlineStr">
        <is>
          <t>S&amp;P 100 / US</t>
        </is>
      </c>
    </row>
    <row r="23">
      <c r="A23" s="31" t="inlineStr">
        <is>
          <t>ADM</t>
        </is>
      </c>
      <c r="B23" s="32" t="inlineStr">
        <is>
          <t>S&amp;P 100 / US</t>
        </is>
      </c>
    </row>
    <row r="24">
      <c r="A24" s="31" t="inlineStr">
        <is>
          <t>ADNT</t>
        </is>
      </c>
      <c r="B24" s="32" t="inlineStr">
        <is>
          <t>S&amp;P 100 / US</t>
        </is>
      </c>
    </row>
    <row r="25">
      <c r="A25" s="31" t="inlineStr">
        <is>
          <t>ADRNY</t>
        </is>
      </c>
      <c r="B25" s="32" t="inlineStr">
        <is>
          <t>S&amp;P 100 / US</t>
        </is>
      </c>
    </row>
    <row r="26">
      <c r="A26" s="31" t="inlineStr">
        <is>
          <t>ADSK</t>
        </is>
      </c>
      <c r="B26" s="32" t="inlineStr">
        <is>
          <t>S&amp;P 100 / US</t>
        </is>
      </c>
    </row>
    <row r="27">
      <c r="A27" s="31" t="inlineStr">
        <is>
          <t>ADT</t>
        </is>
      </c>
      <c r="B27" s="32" t="inlineStr">
        <is>
          <t>S&amp;P 100 / US</t>
        </is>
      </c>
    </row>
    <row r="28">
      <c r="A28" s="31" t="inlineStr">
        <is>
          <t>AEE</t>
        </is>
      </c>
      <c r="B28" s="32" t="inlineStr">
        <is>
          <t>S&amp;P 100 / US</t>
        </is>
      </c>
    </row>
    <row r="29">
      <c r="A29" s="31" t="inlineStr">
        <is>
          <t>AEG</t>
        </is>
      </c>
      <c r="B29" s="32" t="inlineStr">
        <is>
          <t>S&amp;P 100 / US</t>
        </is>
      </c>
    </row>
    <row r="30">
      <c r="A30" s="31" t="inlineStr">
        <is>
          <t>AEM</t>
        </is>
      </c>
      <c r="B30" s="32" t="inlineStr">
        <is>
          <t>S&amp;P 100 / US</t>
        </is>
      </c>
    </row>
    <row r="31">
      <c r="A31" s="31" t="inlineStr">
        <is>
          <t>AEO</t>
        </is>
      </c>
      <c r="B31" s="32" t="inlineStr">
        <is>
          <t>S&amp;P 100 / US</t>
        </is>
      </c>
    </row>
    <row r="32">
      <c r="A32" s="31" t="inlineStr">
        <is>
          <t>AEP</t>
        </is>
      </c>
      <c r="B32" s="32" t="inlineStr">
        <is>
          <t>S&amp;P 100 / US</t>
        </is>
      </c>
    </row>
    <row r="33">
      <c r="A33" s="31" t="inlineStr">
        <is>
          <t>AER</t>
        </is>
      </c>
      <c r="B33" s="32" t="inlineStr">
        <is>
          <t>S&amp;P 100 / US</t>
        </is>
      </c>
    </row>
    <row r="34">
      <c r="A34" s="31" t="inlineStr">
        <is>
          <t>AESI</t>
        </is>
      </c>
      <c r="B34" s="32" t="inlineStr">
        <is>
          <t>S&amp;P 100 / US</t>
        </is>
      </c>
    </row>
    <row r="35">
      <c r="A35" s="31" t="inlineStr">
        <is>
          <t>AFG</t>
        </is>
      </c>
      <c r="B35" s="32" t="inlineStr">
        <is>
          <t>S&amp;P 100 / US</t>
        </is>
      </c>
    </row>
    <row r="36">
      <c r="A36" s="31" t="inlineStr">
        <is>
          <t>AFL</t>
        </is>
      </c>
      <c r="B36" s="32" t="inlineStr">
        <is>
          <t>S&amp;P 100 / US</t>
        </is>
      </c>
    </row>
    <row r="37">
      <c r="A37" s="31" t="inlineStr">
        <is>
          <t>AFRM</t>
        </is>
      </c>
      <c r="B37" s="32" t="inlineStr">
        <is>
          <t>S&amp;P 100 / US</t>
        </is>
      </c>
    </row>
    <row r="38">
      <c r="A38" s="31" t="inlineStr">
        <is>
          <t>AIG</t>
        </is>
      </c>
      <c r="B38" s="32" t="inlineStr">
        <is>
          <t>S&amp;P 100 / US</t>
        </is>
      </c>
    </row>
    <row r="39">
      <c r="A39" s="31" t="inlineStr">
        <is>
          <t>AIRO</t>
        </is>
      </c>
      <c r="B39" s="32" t="inlineStr">
        <is>
          <t>S&amp;P 100 / US</t>
        </is>
      </c>
    </row>
    <row r="40">
      <c r="A40" s="31" t="inlineStr">
        <is>
          <t>AIZ</t>
        </is>
      </c>
      <c r="B40" s="32" t="inlineStr">
        <is>
          <t>S&amp;P 100 / US</t>
        </is>
      </c>
    </row>
    <row r="41">
      <c r="A41" s="31" t="inlineStr">
        <is>
          <t>AJG</t>
        </is>
      </c>
      <c r="B41" s="32" t="inlineStr">
        <is>
          <t>S&amp;P 100 / US</t>
        </is>
      </c>
    </row>
    <row r="42">
      <c r="A42" s="31" t="inlineStr">
        <is>
          <t>AKAM</t>
        </is>
      </c>
      <c r="B42" s="32" t="inlineStr">
        <is>
          <t>S&amp;P 100 / US</t>
        </is>
      </c>
    </row>
    <row r="43">
      <c r="A43" s="31" t="inlineStr">
        <is>
          <t>ALAB</t>
        </is>
      </c>
      <c r="B43" s="32" t="inlineStr">
        <is>
          <t>S&amp;P 100 / US</t>
        </is>
      </c>
    </row>
    <row r="44">
      <c r="A44" s="31" t="inlineStr">
        <is>
          <t>ALB</t>
        </is>
      </c>
      <c r="B44" s="32" t="inlineStr">
        <is>
          <t>S&amp;P 100 / US</t>
        </is>
      </c>
    </row>
    <row r="45">
      <c r="A45" s="31" t="inlineStr">
        <is>
          <t>ALC</t>
        </is>
      </c>
      <c r="B45" s="32" t="inlineStr">
        <is>
          <t>S&amp;P 100 / US</t>
        </is>
      </c>
    </row>
    <row r="46">
      <c r="A46" s="31" t="inlineStr">
        <is>
          <t>ALGM</t>
        </is>
      </c>
      <c r="B46" s="32" t="inlineStr">
        <is>
          <t>S&amp;P 100 / US</t>
        </is>
      </c>
    </row>
    <row r="47">
      <c r="A47" s="31" t="inlineStr">
        <is>
          <t>ALGN</t>
        </is>
      </c>
      <c r="B47" s="32" t="inlineStr">
        <is>
          <t>S&amp;P 100 / US</t>
        </is>
      </c>
    </row>
    <row r="48">
      <c r="A48" s="31" t="inlineStr">
        <is>
          <t>ALGT</t>
        </is>
      </c>
      <c r="B48" s="32" t="inlineStr">
        <is>
          <t>S&amp;P 100 / US</t>
        </is>
      </c>
    </row>
    <row r="49">
      <c r="A49" s="31" t="inlineStr">
        <is>
          <t>ALIZY</t>
        </is>
      </c>
      <c r="B49" s="32" t="inlineStr">
        <is>
          <t>S&amp;P 100 / US</t>
        </is>
      </c>
    </row>
    <row r="50">
      <c r="A50" s="31" t="inlineStr">
        <is>
          <t>ALK</t>
        </is>
      </c>
      <c r="B50" s="32" t="inlineStr">
        <is>
          <t>S&amp;P 100 / US</t>
        </is>
      </c>
    </row>
    <row r="51">
      <c r="A51" s="31" t="inlineStr">
        <is>
          <t>ALL</t>
        </is>
      </c>
      <c r="B51" s="32" t="inlineStr">
        <is>
          <t>S&amp;P 100 / US</t>
        </is>
      </c>
    </row>
    <row r="52">
      <c r="A52" s="31" t="inlineStr">
        <is>
          <t>ALLE</t>
        </is>
      </c>
      <c r="B52" s="32" t="inlineStr">
        <is>
          <t>S&amp;P 100 / US</t>
        </is>
      </c>
    </row>
    <row r="53">
      <c r="A53" s="31" t="inlineStr">
        <is>
          <t>ALLO</t>
        </is>
      </c>
      <c r="B53" s="32" t="inlineStr">
        <is>
          <t>S&amp;P 100 / US</t>
        </is>
      </c>
    </row>
    <row r="54">
      <c r="A54" s="31" t="inlineStr">
        <is>
          <t>ALLY</t>
        </is>
      </c>
      <c r="B54" s="32" t="inlineStr">
        <is>
          <t>S&amp;P 100 / US</t>
        </is>
      </c>
    </row>
    <row r="55">
      <c r="A55" s="31" t="inlineStr">
        <is>
          <t>ALNY</t>
        </is>
      </c>
      <c r="B55" s="32" t="inlineStr">
        <is>
          <t>S&amp;P 100 / US</t>
        </is>
      </c>
    </row>
    <row r="56">
      <c r="A56" s="31" t="inlineStr">
        <is>
          <t>AM</t>
        </is>
      </c>
      <c r="B56" s="32" t="inlineStr">
        <is>
          <t>S&amp;P 100 / US</t>
        </is>
      </c>
    </row>
    <row r="57">
      <c r="A57" s="31" t="inlineStr">
        <is>
          <t>AMAT</t>
        </is>
      </c>
      <c r="B57" s="32" t="inlineStr">
        <is>
          <t>S&amp;P 100 / US</t>
        </is>
      </c>
    </row>
    <row r="58">
      <c r="A58" s="31" t="inlineStr">
        <is>
          <t>AMC</t>
        </is>
      </c>
      <c r="B58" s="32" t="inlineStr">
        <is>
          <t>S&amp;P 100 / US</t>
        </is>
      </c>
    </row>
    <row r="59">
      <c r="A59" s="31" t="inlineStr">
        <is>
          <t>AMCR</t>
        </is>
      </c>
      <c r="B59" s="32" t="inlineStr">
        <is>
          <t>S&amp;P 100 / US</t>
        </is>
      </c>
    </row>
    <row r="60">
      <c r="A60" s="31" t="inlineStr">
        <is>
          <t>AMD</t>
        </is>
      </c>
      <c r="B60" s="32" t="inlineStr">
        <is>
          <t>S&amp;P 100 / US</t>
        </is>
      </c>
    </row>
    <row r="61">
      <c r="A61" s="31" t="inlineStr">
        <is>
          <t>AME</t>
        </is>
      </c>
      <c r="B61" s="32" t="inlineStr">
        <is>
          <t>S&amp;P 100 / US</t>
        </is>
      </c>
    </row>
    <row r="62">
      <c r="A62" s="31" t="inlineStr">
        <is>
          <t>AMGN</t>
        </is>
      </c>
      <c r="B62" s="32" t="inlineStr">
        <is>
          <t>S&amp;P 100 / US</t>
        </is>
      </c>
    </row>
    <row r="63">
      <c r="A63" s="31" t="inlineStr">
        <is>
          <t>AMP</t>
        </is>
      </c>
      <c r="B63" s="32" t="inlineStr">
        <is>
          <t>S&amp;P 100 / US</t>
        </is>
      </c>
    </row>
    <row r="64">
      <c r="A64" s="31" t="inlineStr">
        <is>
          <t>AMT</t>
        </is>
      </c>
      <c r="B64" s="32" t="inlineStr">
        <is>
          <t>S&amp;P 100 / US</t>
        </is>
      </c>
    </row>
    <row r="65">
      <c r="A65" s="31" t="inlineStr">
        <is>
          <t>AMX</t>
        </is>
      </c>
      <c r="B65" s="32" t="inlineStr">
        <is>
          <t>S&amp;P 100 / US</t>
        </is>
      </c>
    </row>
    <row r="66">
      <c r="A66" s="31" t="inlineStr">
        <is>
          <t>AMZN</t>
        </is>
      </c>
      <c r="B66" s="32" t="inlineStr">
        <is>
          <t>S&amp;P 100 / US</t>
        </is>
      </c>
    </row>
    <row r="67">
      <c r="A67" s="31" t="inlineStr">
        <is>
          <t>ANET</t>
        </is>
      </c>
      <c r="B67" s="32" t="inlineStr">
        <is>
          <t>S&amp;P 100 / US</t>
        </is>
      </c>
    </row>
    <row r="68">
      <c r="A68" s="31" t="inlineStr">
        <is>
          <t>ANF</t>
        </is>
      </c>
      <c r="B68" s="32" t="inlineStr">
        <is>
          <t>S&amp;P 100 / US</t>
        </is>
      </c>
    </row>
    <row r="69">
      <c r="A69" s="31" t="inlineStr">
        <is>
          <t>AON</t>
        </is>
      </c>
      <c r="B69" s="32" t="inlineStr">
        <is>
          <t>S&amp;P 100 / US</t>
        </is>
      </c>
    </row>
    <row r="70">
      <c r="A70" s="31" t="inlineStr">
        <is>
          <t>AOS</t>
        </is>
      </c>
      <c r="B70" s="32" t="inlineStr">
        <is>
          <t>S&amp;P 100 / US</t>
        </is>
      </c>
    </row>
    <row r="71">
      <c r="A71" s="31" t="inlineStr">
        <is>
          <t>APA</t>
        </is>
      </c>
      <c r="B71" s="32" t="inlineStr">
        <is>
          <t>S&amp;P 100 / US</t>
        </is>
      </c>
    </row>
    <row r="72">
      <c r="A72" s="31" t="inlineStr">
        <is>
          <t>APD</t>
        </is>
      </c>
      <c r="B72" s="32" t="inlineStr">
        <is>
          <t>S&amp;P 100 / US</t>
        </is>
      </c>
    </row>
    <row r="73">
      <c r="A73" s="31" t="inlineStr">
        <is>
          <t>APH</t>
        </is>
      </c>
      <c r="B73" s="32" t="inlineStr">
        <is>
          <t>S&amp;P 100 / US</t>
        </is>
      </c>
    </row>
    <row r="74">
      <c r="A74" s="31" t="inlineStr">
        <is>
          <t>APLD</t>
        </is>
      </c>
      <c r="B74" s="32" t="inlineStr">
        <is>
          <t>S&amp;P 100 / US</t>
        </is>
      </c>
    </row>
    <row r="75">
      <c r="A75" s="31" t="inlineStr">
        <is>
          <t>APO</t>
        </is>
      </c>
      <c r="B75" s="32" t="inlineStr">
        <is>
          <t>S&amp;P 100 / US</t>
        </is>
      </c>
    </row>
    <row r="76">
      <c r="A76" s="31" t="inlineStr">
        <is>
          <t>APP</t>
        </is>
      </c>
      <c r="B76" s="32" t="inlineStr">
        <is>
          <t>S&amp;P 100 / US</t>
        </is>
      </c>
    </row>
    <row r="77">
      <c r="A77" s="31" t="inlineStr">
        <is>
          <t>APTV</t>
        </is>
      </c>
      <c r="B77" s="32" t="inlineStr">
        <is>
          <t>S&amp;P 100 / US</t>
        </is>
      </c>
    </row>
    <row r="78">
      <c r="A78" s="31" t="inlineStr">
        <is>
          <t>AR</t>
        </is>
      </c>
      <c r="B78" s="32" t="inlineStr">
        <is>
          <t>S&amp;P 100 / US</t>
        </is>
      </c>
    </row>
    <row r="79">
      <c r="A79" s="31" t="inlineStr">
        <is>
          <t>ARE</t>
        </is>
      </c>
      <c r="B79" s="32" t="inlineStr">
        <is>
          <t>S&amp;P 100 / US</t>
        </is>
      </c>
    </row>
    <row r="80">
      <c r="A80" s="31" t="inlineStr">
        <is>
          <t>ARGX</t>
        </is>
      </c>
      <c r="B80" s="32" t="inlineStr">
        <is>
          <t>S&amp;P 100 / US</t>
        </is>
      </c>
    </row>
    <row r="81">
      <c r="A81" s="31" t="inlineStr">
        <is>
          <t>ARLP</t>
        </is>
      </c>
      <c r="B81" s="32" t="inlineStr">
        <is>
          <t>S&amp;P 100 / US</t>
        </is>
      </c>
    </row>
    <row r="82">
      <c r="A82" s="31" t="inlineStr">
        <is>
          <t>ARM</t>
        </is>
      </c>
      <c r="B82" s="32" t="inlineStr">
        <is>
          <t>S&amp;P 100 / US</t>
        </is>
      </c>
    </row>
    <row r="83">
      <c r="A83" s="31" t="inlineStr">
        <is>
          <t>ARMK</t>
        </is>
      </c>
      <c r="B83" s="32" t="inlineStr">
        <is>
          <t>S&amp;P 100 / US</t>
        </is>
      </c>
    </row>
    <row r="84">
      <c r="A84" s="31" t="inlineStr">
        <is>
          <t>AROC</t>
        </is>
      </c>
      <c r="B84" s="32" t="inlineStr">
        <is>
          <t>S&amp;P 100 / US</t>
        </is>
      </c>
    </row>
    <row r="85">
      <c r="A85" s="31" t="inlineStr">
        <is>
          <t>ARRY</t>
        </is>
      </c>
      <c r="B85" s="32" t="inlineStr">
        <is>
          <t>S&amp;P 100 / US</t>
        </is>
      </c>
    </row>
    <row r="86">
      <c r="A86" s="31" t="inlineStr">
        <is>
          <t>ARW</t>
        </is>
      </c>
      <c r="B86" s="32" t="inlineStr">
        <is>
          <t>S&amp;P 100 / US</t>
        </is>
      </c>
    </row>
    <row r="87">
      <c r="A87" s="31" t="inlineStr">
        <is>
          <t>AS</t>
        </is>
      </c>
      <c r="B87" s="32" t="inlineStr">
        <is>
          <t>S&amp;P 100 / US</t>
        </is>
      </c>
    </row>
    <row r="88">
      <c r="A88" s="31" t="inlineStr">
        <is>
          <t>ASAN</t>
        </is>
      </c>
      <c r="B88" s="32" t="inlineStr">
        <is>
          <t>S&amp;P 100 / US</t>
        </is>
      </c>
    </row>
    <row r="89">
      <c r="A89" s="31" t="inlineStr">
        <is>
          <t>ASH</t>
        </is>
      </c>
      <c r="B89" s="32" t="inlineStr">
        <is>
          <t>S&amp;P 100 / US</t>
        </is>
      </c>
    </row>
    <row r="90">
      <c r="A90" s="31" t="inlineStr">
        <is>
          <t>ASIC</t>
        </is>
      </c>
      <c r="B90" s="32" t="inlineStr">
        <is>
          <t>S&amp;P 100 / US</t>
        </is>
      </c>
    </row>
    <row r="91">
      <c r="A91" s="31" t="inlineStr">
        <is>
          <t>ASML</t>
        </is>
      </c>
      <c r="B91" s="32" t="inlineStr">
        <is>
          <t>International (ADR)</t>
        </is>
      </c>
    </row>
    <row r="92">
      <c r="A92" s="31" t="inlineStr">
        <is>
          <t>ASND</t>
        </is>
      </c>
      <c r="B92" s="32" t="inlineStr">
        <is>
          <t>S&amp;P 100 / US</t>
        </is>
      </c>
    </row>
    <row r="93">
      <c r="A93" s="31" t="inlineStr">
        <is>
          <t>ASTS</t>
        </is>
      </c>
      <c r="B93" s="32" t="inlineStr">
        <is>
          <t>S&amp;P 100 / US</t>
        </is>
      </c>
    </row>
    <row r="94">
      <c r="A94" s="31" t="inlineStr">
        <is>
          <t>ATAT</t>
        </is>
      </c>
      <c r="B94" s="32" t="inlineStr">
        <is>
          <t>S&amp;P 100 / US</t>
        </is>
      </c>
    </row>
    <row r="95">
      <c r="A95" s="31" t="inlineStr">
        <is>
          <t>ATI</t>
        </is>
      </c>
      <c r="B95" s="32" t="inlineStr">
        <is>
          <t>S&amp;P 100 / US</t>
        </is>
      </c>
    </row>
    <row r="96">
      <c r="A96" s="31" t="inlineStr">
        <is>
          <t>ATO</t>
        </is>
      </c>
      <c r="B96" s="32" t="inlineStr">
        <is>
          <t>S&amp;P 100 / US</t>
        </is>
      </c>
    </row>
    <row r="97">
      <c r="A97" s="31" t="inlineStr">
        <is>
          <t>ATR</t>
        </is>
      </c>
      <c r="B97" s="32" t="inlineStr">
        <is>
          <t>S&amp;P 100 / US</t>
        </is>
      </c>
    </row>
    <row r="98">
      <c r="A98" s="31" t="inlineStr">
        <is>
          <t>AU</t>
        </is>
      </c>
      <c r="B98" s="32" t="inlineStr">
        <is>
          <t>S&amp;P 100 / US</t>
        </is>
      </c>
    </row>
    <row r="99">
      <c r="A99" s="31" t="inlineStr">
        <is>
          <t>AUR</t>
        </is>
      </c>
      <c r="B99" s="32" t="inlineStr">
        <is>
          <t>S&amp;P 100 / US</t>
        </is>
      </c>
    </row>
    <row r="100">
      <c r="A100" s="31" t="inlineStr">
        <is>
          <t>AVAV</t>
        </is>
      </c>
      <c r="B100" s="32" t="inlineStr">
        <is>
          <t>S&amp;P 100 / US</t>
        </is>
      </c>
    </row>
    <row r="101">
      <c r="A101" s="31" t="inlineStr">
        <is>
          <t>AVB</t>
        </is>
      </c>
      <c r="B101" s="32" t="inlineStr">
        <is>
          <t>S&amp;P 100 / US</t>
        </is>
      </c>
    </row>
    <row r="102">
      <c r="A102" s="31" t="inlineStr">
        <is>
          <t>AVGO</t>
        </is>
      </c>
      <c r="B102" s="32" t="inlineStr">
        <is>
          <t>S&amp;P 100 / US</t>
        </is>
      </c>
    </row>
    <row r="103">
      <c r="A103" s="31" t="inlineStr">
        <is>
          <t>AVY</t>
        </is>
      </c>
      <c r="B103" s="32" t="inlineStr">
        <is>
          <t>S&amp;P 100 / US</t>
        </is>
      </c>
    </row>
    <row r="104">
      <c r="A104" s="31" t="inlineStr">
        <is>
          <t>AWK</t>
        </is>
      </c>
      <c r="B104" s="32" t="inlineStr">
        <is>
          <t>S&amp;P 100 / US</t>
        </is>
      </c>
    </row>
    <row r="105">
      <c r="A105" s="31" t="inlineStr">
        <is>
          <t>AXON</t>
        </is>
      </c>
      <c r="B105" s="32" t="inlineStr">
        <is>
          <t>S&amp;P 100 / US</t>
        </is>
      </c>
    </row>
    <row r="106">
      <c r="A106" s="31" t="inlineStr">
        <is>
          <t>AXP</t>
        </is>
      </c>
      <c r="B106" s="32" t="inlineStr">
        <is>
          <t>S&amp;P 100 / US</t>
        </is>
      </c>
    </row>
    <row r="107">
      <c r="A107" s="31" t="inlineStr">
        <is>
          <t>AZN</t>
        </is>
      </c>
      <c r="B107" s="32" t="inlineStr">
        <is>
          <t>International (ADR)</t>
        </is>
      </c>
    </row>
    <row r="108">
      <c r="A108" s="31" t="inlineStr">
        <is>
          <t>AZO</t>
        </is>
      </c>
      <c r="B108" s="32" t="inlineStr">
        <is>
          <t>S&amp;P 100 / US</t>
        </is>
      </c>
    </row>
    <row r="109">
      <c r="A109" s="31" t="inlineStr">
        <is>
          <t>AZZ</t>
        </is>
      </c>
      <c r="B109" s="32" t="inlineStr">
        <is>
          <t>S&amp;P 100 / US</t>
        </is>
      </c>
    </row>
    <row r="110">
      <c r="A110" s="31" t="inlineStr">
        <is>
          <t>B</t>
        </is>
      </c>
      <c r="B110" s="32" t="inlineStr">
        <is>
          <t>S&amp;P 100 / US</t>
        </is>
      </c>
    </row>
    <row r="111">
      <c r="A111" s="31" t="inlineStr">
        <is>
          <t>BA</t>
        </is>
      </c>
      <c r="B111" s="32" t="inlineStr">
        <is>
          <t>S&amp;P 100 / US</t>
        </is>
      </c>
    </row>
    <row r="112">
      <c r="A112" s="31" t="inlineStr">
        <is>
          <t>BABA</t>
        </is>
      </c>
      <c r="B112" s="32" t="inlineStr">
        <is>
          <t>International (ADR)</t>
        </is>
      </c>
    </row>
    <row r="113">
      <c r="A113" s="31" t="inlineStr">
        <is>
          <t>BAC</t>
        </is>
      </c>
      <c r="B113" s="32" t="inlineStr">
        <is>
          <t>S&amp;P 100 / US</t>
        </is>
      </c>
    </row>
    <row r="114">
      <c r="A114" s="31" t="inlineStr">
        <is>
          <t>BAESY</t>
        </is>
      </c>
      <c r="B114" s="32" t="inlineStr">
        <is>
          <t>S&amp;P 100 / US</t>
        </is>
      </c>
    </row>
    <row r="115">
      <c r="A115" s="31" t="inlineStr">
        <is>
          <t>BALL</t>
        </is>
      </c>
      <c r="B115" s="32" t="inlineStr">
        <is>
          <t>S&amp;P 100 / US</t>
        </is>
      </c>
    </row>
    <row r="116">
      <c r="A116" s="31" t="inlineStr">
        <is>
          <t>BALY</t>
        </is>
      </c>
      <c r="B116" s="32" t="inlineStr">
        <is>
          <t>S&amp;P 100 / US</t>
        </is>
      </c>
    </row>
    <row r="117">
      <c r="A117" s="31" t="inlineStr">
        <is>
          <t>BAP</t>
        </is>
      </c>
      <c r="B117" s="32" t="inlineStr">
        <is>
          <t>S&amp;P 100 / US</t>
        </is>
      </c>
    </row>
    <row r="118">
      <c r="A118" s="31" t="inlineStr">
        <is>
          <t>BASFY</t>
        </is>
      </c>
      <c r="B118" s="32" t="inlineStr">
        <is>
          <t>S&amp;P 100 / US</t>
        </is>
      </c>
    </row>
    <row r="119">
      <c r="A119" s="31" t="inlineStr">
        <is>
          <t>BATRA</t>
        </is>
      </c>
      <c r="B119" s="32" t="inlineStr">
        <is>
          <t>S&amp;P 100 / US</t>
        </is>
      </c>
    </row>
    <row r="120">
      <c r="A120" s="31" t="inlineStr">
        <is>
          <t>BATRK</t>
        </is>
      </c>
      <c r="B120" s="32" t="inlineStr">
        <is>
          <t>S&amp;P 100 / US</t>
        </is>
      </c>
    </row>
    <row r="121">
      <c r="A121" s="31" t="inlineStr">
        <is>
          <t>BAX</t>
        </is>
      </c>
      <c r="B121" s="32" t="inlineStr">
        <is>
          <t>S&amp;P 100 / US</t>
        </is>
      </c>
    </row>
    <row r="122">
      <c r="A122" s="31" t="inlineStr">
        <is>
          <t>BAYRY</t>
        </is>
      </c>
      <c r="B122" s="32" t="inlineStr">
        <is>
          <t>S&amp;P 100 / US</t>
        </is>
      </c>
    </row>
    <row r="123">
      <c r="A123" s="31" t="inlineStr">
        <is>
          <t>BB</t>
        </is>
      </c>
      <c r="B123" s="32" t="inlineStr">
        <is>
          <t>S&amp;P 100 / US</t>
        </is>
      </c>
    </row>
    <row r="124">
      <c r="A124" s="31" t="inlineStr">
        <is>
          <t>BBAI</t>
        </is>
      </c>
      <c r="B124" s="32" t="inlineStr">
        <is>
          <t>S&amp;P 100 / US</t>
        </is>
      </c>
    </row>
    <row r="125">
      <c r="A125" s="31" t="inlineStr">
        <is>
          <t>BBIO</t>
        </is>
      </c>
      <c r="B125" s="32" t="inlineStr">
        <is>
          <t>S&amp;P 100 / US</t>
        </is>
      </c>
    </row>
    <row r="126">
      <c r="A126" s="31" t="inlineStr">
        <is>
          <t>BBWI</t>
        </is>
      </c>
      <c r="B126" s="32" t="inlineStr">
        <is>
          <t>S&amp;P 100 / US</t>
        </is>
      </c>
    </row>
    <row r="127">
      <c r="A127" s="31" t="inlineStr">
        <is>
          <t>BBY</t>
        </is>
      </c>
      <c r="B127" s="32" t="inlineStr">
        <is>
          <t>S&amp;P 100 / US</t>
        </is>
      </c>
    </row>
    <row r="128">
      <c r="A128" s="31" t="inlineStr">
        <is>
          <t>BCE</t>
        </is>
      </c>
      <c r="B128" s="32" t="inlineStr">
        <is>
          <t>S&amp;P 100 / US</t>
        </is>
      </c>
    </row>
    <row r="129">
      <c r="A129" s="31" t="inlineStr">
        <is>
          <t>BCPC</t>
        </is>
      </c>
      <c r="B129" s="32" t="inlineStr">
        <is>
          <t>S&amp;P 100 / US</t>
        </is>
      </c>
    </row>
    <row r="130">
      <c r="A130" s="31" t="inlineStr">
        <is>
          <t>BDX</t>
        </is>
      </c>
      <c r="B130" s="32" t="inlineStr">
        <is>
          <t>S&amp;P 100 / US</t>
        </is>
      </c>
    </row>
    <row r="131">
      <c r="A131" s="31" t="inlineStr">
        <is>
          <t>BE</t>
        </is>
      </c>
      <c r="B131" s="32" t="inlineStr">
        <is>
          <t>S&amp;P 100 / US</t>
        </is>
      </c>
    </row>
    <row r="132">
      <c r="A132" s="31" t="inlineStr">
        <is>
          <t>BEKE</t>
        </is>
      </c>
      <c r="B132" s="32" t="inlineStr">
        <is>
          <t>S&amp;P 100 / US</t>
        </is>
      </c>
    </row>
    <row r="133">
      <c r="A133" s="31" t="inlineStr">
        <is>
          <t>BEN</t>
        </is>
      </c>
      <c r="B133" s="32" t="inlineStr">
        <is>
          <t>S&amp;P 100 / US</t>
        </is>
      </c>
    </row>
    <row r="134">
      <c r="A134" s="31" t="inlineStr">
        <is>
          <t>BEPC</t>
        </is>
      </c>
      <c r="B134" s="32" t="inlineStr">
        <is>
          <t>S&amp;P 100 / US</t>
        </is>
      </c>
    </row>
    <row r="135">
      <c r="A135" s="31" t="inlineStr">
        <is>
          <t>BF.B</t>
        </is>
      </c>
      <c r="B135" s="32" t="inlineStr">
        <is>
          <t>S&amp;P 100 / US</t>
        </is>
      </c>
    </row>
    <row r="136">
      <c r="A136" s="31" t="inlineStr">
        <is>
          <t>BG</t>
        </is>
      </c>
      <c r="B136" s="32" t="inlineStr">
        <is>
          <t>S&amp;P 100 / US</t>
        </is>
      </c>
    </row>
    <row r="137">
      <c r="A137" s="31" t="inlineStr">
        <is>
          <t>BHF</t>
        </is>
      </c>
      <c r="B137" s="32" t="inlineStr">
        <is>
          <t>S&amp;P 100 / US</t>
        </is>
      </c>
    </row>
    <row r="138">
      <c r="A138" s="31" t="inlineStr">
        <is>
          <t>BHP</t>
        </is>
      </c>
      <c r="B138" s="32" t="inlineStr">
        <is>
          <t>International (ADR)</t>
        </is>
      </c>
    </row>
    <row r="139">
      <c r="A139" s="31" t="inlineStr">
        <is>
          <t>BIDU</t>
        </is>
      </c>
      <c r="B139" s="32" t="inlineStr">
        <is>
          <t>S&amp;P 100 / US</t>
        </is>
      </c>
    </row>
    <row r="140">
      <c r="A140" s="31" t="inlineStr">
        <is>
          <t>BIIB</t>
        </is>
      </c>
      <c r="B140" s="32" t="inlineStr">
        <is>
          <t>S&amp;P 100 / US</t>
        </is>
      </c>
    </row>
    <row r="141">
      <c r="A141" s="31" t="inlineStr">
        <is>
          <t>BILI</t>
        </is>
      </c>
      <c r="B141" s="32" t="inlineStr">
        <is>
          <t>S&amp;P 100 / US</t>
        </is>
      </c>
    </row>
    <row r="142">
      <c r="A142" s="31" t="inlineStr">
        <is>
          <t>BIO</t>
        </is>
      </c>
      <c r="B142" s="32" t="inlineStr">
        <is>
          <t>S&amp;P 100 / US</t>
        </is>
      </c>
    </row>
    <row r="143">
      <c r="A143" s="31" t="inlineStr">
        <is>
          <t>BIRK</t>
        </is>
      </c>
      <c r="B143" s="32" t="inlineStr">
        <is>
          <t>S&amp;P 100 / US</t>
        </is>
      </c>
    </row>
    <row r="144">
      <c r="A144" s="31" t="inlineStr">
        <is>
          <t>BJ</t>
        </is>
      </c>
      <c r="B144" s="32" t="inlineStr">
        <is>
          <t>S&amp;P 100 / US</t>
        </is>
      </c>
    </row>
    <row r="145">
      <c r="A145" s="31" t="inlineStr">
        <is>
          <t>BKNG</t>
        </is>
      </c>
      <c r="B145" s="32" t="inlineStr">
        <is>
          <t>S&amp;P 100 / US</t>
        </is>
      </c>
    </row>
    <row r="146">
      <c r="A146" s="31" t="inlineStr">
        <is>
          <t>BKR</t>
        </is>
      </c>
      <c r="B146" s="32" t="inlineStr">
        <is>
          <t>S&amp;P 100 / US</t>
        </is>
      </c>
    </row>
    <row r="147">
      <c r="A147" s="31" t="inlineStr">
        <is>
          <t>BKSY</t>
        </is>
      </c>
      <c r="B147" s="32" t="inlineStr">
        <is>
          <t>S&amp;P 100 / US</t>
        </is>
      </c>
    </row>
    <row r="148">
      <c r="A148" s="31" t="inlineStr">
        <is>
          <t>BLDR</t>
        </is>
      </c>
      <c r="B148" s="32" t="inlineStr">
        <is>
          <t>S&amp;P 100 / US</t>
        </is>
      </c>
    </row>
    <row r="149">
      <c r="A149" s="31" t="inlineStr">
        <is>
          <t>BLK</t>
        </is>
      </c>
      <c r="B149" s="32" t="inlineStr">
        <is>
          <t>S&amp;P 100 / US</t>
        </is>
      </c>
    </row>
    <row r="150">
      <c r="A150" s="31" t="inlineStr">
        <is>
          <t>BLSH</t>
        </is>
      </c>
      <c r="B150" s="32" t="inlineStr">
        <is>
          <t>S&amp;P 100 / US</t>
        </is>
      </c>
    </row>
    <row r="151">
      <c r="A151" s="31" t="inlineStr">
        <is>
          <t>BMBL</t>
        </is>
      </c>
      <c r="B151" s="32" t="inlineStr">
        <is>
          <t>S&amp;P 100 / US</t>
        </is>
      </c>
    </row>
    <row r="152">
      <c r="A152" s="31" t="inlineStr">
        <is>
          <t>BMO</t>
        </is>
      </c>
      <c r="B152" s="32" t="inlineStr">
        <is>
          <t>S&amp;P 100 / US</t>
        </is>
      </c>
    </row>
    <row r="153">
      <c r="A153" s="31" t="inlineStr">
        <is>
          <t>BMRN</t>
        </is>
      </c>
      <c r="B153" s="32" t="inlineStr">
        <is>
          <t>S&amp;P 100 / US</t>
        </is>
      </c>
    </row>
    <row r="154">
      <c r="A154" s="31" t="inlineStr">
        <is>
          <t>BMY</t>
        </is>
      </c>
      <c r="B154" s="32" t="inlineStr">
        <is>
          <t>S&amp;P 100 / US</t>
        </is>
      </c>
    </row>
    <row r="155">
      <c r="A155" s="31" t="inlineStr">
        <is>
          <t>BN</t>
        </is>
      </c>
      <c r="B155" s="32" t="inlineStr">
        <is>
          <t>S&amp;P 100 / US</t>
        </is>
      </c>
    </row>
    <row r="156">
      <c r="A156" s="31" t="inlineStr">
        <is>
          <t>BNS</t>
        </is>
      </c>
      <c r="B156" s="32" t="inlineStr">
        <is>
          <t>S&amp;P 100 / US</t>
        </is>
      </c>
    </row>
    <row r="157">
      <c r="A157" s="31" t="inlineStr">
        <is>
          <t>BNTX</t>
        </is>
      </c>
      <c r="B157" s="32" t="inlineStr">
        <is>
          <t>S&amp;P 100 / US</t>
        </is>
      </c>
    </row>
    <row r="158">
      <c r="A158" s="31" t="inlineStr">
        <is>
          <t>BOOT</t>
        </is>
      </c>
      <c r="B158" s="32" t="inlineStr">
        <is>
          <t>S&amp;P 100 / US</t>
        </is>
      </c>
    </row>
    <row r="159">
      <c r="A159" s="31" t="inlineStr">
        <is>
          <t>BP</t>
        </is>
      </c>
      <c r="B159" s="32" t="inlineStr">
        <is>
          <t>S&amp;P 100 / US</t>
        </is>
      </c>
    </row>
    <row r="160">
      <c r="A160" s="31" t="inlineStr">
        <is>
          <t>BR</t>
        </is>
      </c>
      <c r="B160" s="32" t="inlineStr">
        <is>
          <t>S&amp;P 100 / US</t>
        </is>
      </c>
    </row>
    <row r="161">
      <c r="A161" s="31" t="inlineStr">
        <is>
          <t>BRK.A</t>
        </is>
      </c>
      <c r="B161" s="32" t="inlineStr">
        <is>
          <t>S&amp;P 100 / US</t>
        </is>
      </c>
    </row>
    <row r="162">
      <c r="A162" s="31" t="inlineStr">
        <is>
          <t>BRK.B</t>
        </is>
      </c>
      <c r="B162" s="32" t="inlineStr">
        <is>
          <t>S&amp;P 100 / US</t>
        </is>
      </c>
    </row>
    <row r="163">
      <c r="A163" s="31" t="inlineStr">
        <is>
          <t>BRKR</t>
        </is>
      </c>
      <c r="B163" s="32" t="inlineStr">
        <is>
          <t>S&amp;P 100 / US</t>
        </is>
      </c>
    </row>
    <row r="164">
      <c r="A164" s="31" t="inlineStr">
        <is>
          <t>BRO</t>
        </is>
      </c>
      <c r="B164" s="32" t="inlineStr">
        <is>
          <t>S&amp;P 100 / US</t>
        </is>
      </c>
    </row>
    <row r="165">
      <c r="A165" s="31" t="inlineStr">
        <is>
          <t>BSX</t>
        </is>
      </c>
      <c r="B165" s="32" t="inlineStr">
        <is>
          <t>S&amp;P 100 / US</t>
        </is>
      </c>
    </row>
    <row r="166">
      <c r="A166" s="31" t="inlineStr">
        <is>
          <t>BSY</t>
        </is>
      </c>
      <c r="B166" s="32" t="inlineStr">
        <is>
          <t>S&amp;P 100 / US</t>
        </is>
      </c>
    </row>
    <row r="167">
      <c r="A167" s="31" t="inlineStr">
        <is>
          <t>BTDR</t>
        </is>
      </c>
      <c r="B167" s="32" t="inlineStr">
        <is>
          <t>S&amp;P 100 / US</t>
        </is>
      </c>
    </row>
    <row r="168">
      <c r="A168" s="31" t="inlineStr">
        <is>
          <t>BTG</t>
        </is>
      </c>
      <c r="B168" s="32" t="inlineStr">
        <is>
          <t>S&amp;P 100 / US</t>
        </is>
      </c>
    </row>
    <row r="169">
      <c r="A169" s="31" t="inlineStr">
        <is>
          <t>BTGO</t>
        </is>
      </c>
      <c r="B169" s="32" t="inlineStr">
        <is>
          <t>S&amp;P 100 / US</t>
        </is>
      </c>
    </row>
    <row r="170">
      <c r="A170" s="31" t="inlineStr">
        <is>
          <t>BTI</t>
        </is>
      </c>
      <c r="B170" s="32" t="inlineStr">
        <is>
          <t>S&amp;P 100 / US</t>
        </is>
      </c>
    </row>
    <row r="171">
      <c r="A171" s="31" t="inlineStr">
        <is>
          <t>BUD</t>
        </is>
      </c>
      <c r="B171" s="32" t="inlineStr">
        <is>
          <t>S&amp;P 100 / US</t>
        </is>
      </c>
    </row>
    <row r="172">
      <c r="A172" s="31" t="inlineStr">
        <is>
          <t>BURL</t>
        </is>
      </c>
      <c r="B172" s="32" t="inlineStr">
        <is>
          <t>S&amp;P 100 / US</t>
        </is>
      </c>
    </row>
    <row r="173">
      <c r="A173" s="31" t="inlineStr">
        <is>
          <t>BW</t>
        </is>
      </c>
      <c r="B173" s="32" t="inlineStr">
        <is>
          <t>S&amp;P 100 / US</t>
        </is>
      </c>
    </row>
    <row r="174">
      <c r="A174" s="31" t="inlineStr">
        <is>
          <t>BWXT</t>
        </is>
      </c>
      <c r="B174" s="32" t="inlineStr">
        <is>
          <t>S&amp;P 100 / US</t>
        </is>
      </c>
    </row>
    <row r="175">
      <c r="A175" s="31" t="inlineStr">
        <is>
          <t>BX</t>
        </is>
      </c>
      <c r="B175" s="32" t="inlineStr">
        <is>
          <t>S&amp;P 100 / US</t>
        </is>
      </c>
    </row>
    <row r="176">
      <c r="A176" s="31" t="inlineStr">
        <is>
          <t>BXP</t>
        </is>
      </c>
      <c r="B176" s="32" t="inlineStr">
        <is>
          <t>S&amp;P 100 / US</t>
        </is>
      </c>
    </row>
    <row r="177">
      <c r="A177" s="31" t="inlineStr">
        <is>
          <t>BYD</t>
        </is>
      </c>
      <c r="B177" s="32" t="inlineStr">
        <is>
          <t>S&amp;P 100 / US</t>
        </is>
      </c>
    </row>
    <row r="178">
      <c r="A178" s="31" t="inlineStr">
        <is>
          <t>BYDDY</t>
        </is>
      </c>
      <c r="B178" s="32" t="inlineStr">
        <is>
          <t>S&amp;P 100 / US</t>
        </is>
      </c>
    </row>
    <row r="179">
      <c r="A179" s="31" t="inlineStr">
        <is>
          <t>BZ</t>
        </is>
      </c>
      <c r="B179" s="32" t="inlineStr">
        <is>
          <t>S&amp;P 100 / US</t>
        </is>
      </c>
    </row>
    <row r="180">
      <c r="A180" s="31" t="inlineStr">
        <is>
          <t>C</t>
        </is>
      </c>
      <c r="B180" s="32" t="inlineStr">
        <is>
          <t>S&amp;P 100 / US</t>
        </is>
      </c>
    </row>
    <row r="181">
      <c r="A181" s="31" t="inlineStr">
        <is>
          <t>CAG</t>
        </is>
      </c>
      <c r="B181" s="32" t="inlineStr">
        <is>
          <t>S&amp;P 100 / US</t>
        </is>
      </c>
    </row>
    <row r="182">
      <c r="A182" s="31" t="inlineStr">
        <is>
          <t>CAH</t>
        </is>
      </c>
      <c r="B182" s="32" t="inlineStr">
        <is>
          <t>S&amp;P 100 / US</t>
        </is>
      </c>
    </row>
    <row r="183">
      <c r="A183" s="31" t="inlineStr">
        <is>
          <t>CARR</t>
        </is>
      </c>
      <c r="B183" s="32" t="inlineStr">
        <is>
          <t>S&amp;P 100 / US</t>
        </is>
      </c>
    </row>
    <row r="184">
      <c r="A184" s="31" t="inlineStr">
        <is>
          <t>CART</t>
        </is>
      </c>
      <c r="B184" s="32" t="inlineStr">
        <is>
          <t>S&amp;P 100 / US</t>
        </is>
      </c>
    </row>
    <row r="185">
      <c r="A185" s="31" t="inlineStr">
        <is>
          <t>CASY</t>
        </is>
      </c>
      <c r="B185" s="32" t="inlineStr">
        <is>
          <t>S&amp;P 100 / US</t>
        </is>
      </c>
    </row>
    <row r="186">
      <c r="A186" s="31" t="inlineStr">
        <is>
          <t>CAT</t>
        </is>
      </c>
      <c r="B186" s="32" t="inlineStr">
        <is>
          <t>S&amp;P 100 / US</t>
        </is>
      </c>
    </row>
    <row r="187">
      <c r="A187" s="31" t="inlineStr">
        <is>
          <t>CAVA</t>
        </is>
      </c>
      <c r="B187" s="32" t="inlineStr">
        <is>
          <t>S&amp;P 100 / US</t>
        </is>
      </c>
    </row>
    <row r="188">
      <c r="A188" s="31" t="inlineStr">
        <is>
          <t>CB</t>
        </is>
      </c>
      <c r="B188" s="32" t="inlineStr">
        <is>
          <t>S&amp;P 100 / US</t>
        </is>
      </c>
    </row>
    <row r="189">
      <c r="A189" s="31" t="inlineStr">
        <is>
          <t>CBOE</t>
        </is>
      </c>
      <c r="B189" s="32" t="inlineStr">
        <is>
          <t>S&amp;P 100 / US</t>
        </is>
      </c>
    </row>
    <row r="190">
      <c r="A190" s="31" t="inlineStr">
        <is>
          <t>CBRE</t>
        </is>
      </c>
      <c r="B190" s="32" t="inlineStr">
        <is>
          <t>S&amp;P 100 / US</t>
        </is>
      </c>
    </row>
    <row r="191">
      <c r="A191" s="31" t="inlineStr">
        <is>
          <t>CBRS</t>
        </is>
      </c>
      <c r="B191" s="32" t="inlineStr">
        <is>
          <t>S&amp;P 100 / US</t>
        </is>
      </c>
    </row>
    <row r="192">
      <c r="A192" s="31" t="inlineStr">
        <is>
          <t>CBT</t>
        </is>
      </c>
      <c r="B192" s="32" t="inlineStr">
        <is>
          <t>S&amp;P 100 / US</t>
        </is>
      </c>
    </row>
    <row r="193">
      <c r="A193" s="31" t="inlineStr">
        <is>
          <t>CC</t>
        </is>
      </c>
      <c r="B193" s="32" t="inlineStr">
        <is>
          <t>S&amp;P 100 / US</t>
        </is>
      </c>
    </row>
    <row r="194">
      <c r="A194" s="31" t="inlineStr">
        <is>
          <t>CCEP</t>
        </is>
      </c>
      <c r="B194" s="32" t="inlineStr">
        <is>
          <t>S&amp;P 100 / US</t>
        </is>
      </c>
    </row>
    <row r="195">
      <c r="A195" s="31" t="inlineStr">
        <is>
          <t>CCI</t>
        </is>
      </c>
      <c r="B195" s="32" t="inlineStr">
        <is>
          <t>S&amp;P 100 / US</t>
        </is>
      </c>
    </row>
    <row r="196">
      <c r="A196" s="31" t="inlineStr">
        <is>
          <t>CCJ</t>
        </is>
      </c>
      <c r="B196" s="32" t="inlineStr">
        <is>
          <t>S&amp;P 100 / US</t>
        </is>
      </c>
    </row>
    <row r="197">
      <c r="A197" s="31" t="inlineStr">
        <is>
          <t>CCK</t>
        </is>
      </c>
      <c r="B197" s="32" t="inlineStr">
        <is>
          <t>S&amp;P 100 / US</t>
        </is>
      </c>
    </row>
    <row r="198">
      <c r="A198" s="31" t="inlineStr">
        <is>
          <t>CCL</t>
        </is>
      </c>
      <c r="B198" s="32" t="inlineStr">
        <is>
          <t>S&amp;P 100 / US</t>
        </is>
      </c>
    </row>
    <row r="199">
      <c r="A199" s="31" t="inlineStr">
        <is>
          <t>CDE</t>
        </is>
      </c>
      <c r="B199" s="32" t="inlineStr">
        <is>
          <t>S&amp;P 100 / US</t>
        </is>
      </c>
    </row>
    <row r="200">
      <c r="A200" s="31" t="inlineStr">
        <is>
          <t>CDNS</t>
        </is>
      </c>
      <c r="B200" s="32" t="inlineStr">
        <is>
          <t>S&amp;P 100 / US</t>
        </is>
      </c>
    </row>
    <row r="201">
      <c r="A201" s="31" t="inlineStr">
        <is>
          <t>CDW</t>
        </is>
      </c>
      <c r="B201" s="32" t="inlineStr">
        <is>
          <t>S&amp;P 100 / US</t>
        </is>
      </c>
    </row>
    <row r="202">
      <c r="A202" s="31" t="inlineStr">
        <is>
          <t>CE</t>
        </is>
      </c>
      <c r="B202" s="32" t="inlineStr">
        <is>
          <t>S&amp;P 100 / US</t>
        </is>
      </c>
    </row>
    <row r="203">
      <c r="A203" s="31" t="inlineStr">
        <is>
          <t>CEG</t>
        </is>
      </c>
      <c r="B203" s="32" t="inlineStr">
        <is>
          <t>S&amp;P 100 / US</t>
        </is>
      </c>
    </row>
    <row r="204">
      <c r="A204" s="31" t="inlineStr">
        <is>
          <t>CELH</t>
        </is>
      </c>
      <c r="B204" s="32" t="inlineStr">
        <is>
          <t>S&amp;P 100 / US</t>
        </is>
      </c>
    </row>
    <row r="205">
      <c r="A205" s="31" t="inlineStr">
        <is>
          <t>CF</t>
        </is>
      </c>
      <c r="B205" s="32" t="inlineStr">
        <is>
          <t>S&amp;P 100 / US</t>
        </is>
      </c>
    </row>
    <row r="206">
      <c r="A206" s="31" t="inlineStr">
        <is>
          <t>CFG</t>
        </is>
      </c>
      <c r="B206" s="32" t="inlineStr">
        <is>
          <t>S&amp;P 100 / US</t>
        </is>
      </c>
    </row>
    <row r="207">
      <c r="A207" s="31" t="inlineStr">
        <is>
          <t>CHD</t>
        </is>
      </c>
      <c r="B207" s="32" t="inlineStr">
        <is>
          <t>S&amp;P 100 / US</t>
        </is>
      </c>
    </row>
    <row r="208">
      <c r="A208" s="31" t="inlineStr">
        <is>
          <t>CHDN</t>
        </is>
      </c>
      <c r="B208" s="32" t="inlineStr">
        <is>
          <t>S&amp;P 100 / US</t>
        </is>
      </c>
    </row>
    <row r="209">
      <c r="A209" s="31" t="inlineStr">
        <is>
          <t>CHGG</t>
        </is>
      </c>
      <c r="B209" s="32" t="inlineStr">
        <is>
          <t>S&amp;P 100 / US</t>
        </is>
      </c>
    </row>
    <row r="210">
      <c r="A210" s="31" t="inlineStr">
        <is>
          <t>CHKP</t>
        </is>
      </c>
      <c r="B210" s="32" t="inlineStr">
        <is>
          <t>S&amp;P 100 / US</t>
        </is>
      </c>
    </row>
    <row r="211">
      <c r="A211" s="31" t="inlineStr">
        <is>
          <t>CHPT</t>
        </is>
      </c>
      <c r="B211" s="32" t="inlineStr">
        <is>
          <t>S&amp;P 100 / US</t>
        </is>
      </c>
    </row>
    <row r="212">
      <c r="A212" s="31" t="inlineStr">
        <is>
          <t>CHRD</t>
        </is>
      </c>
      <c r="B212" s="32" t="inlineStr">
        <is>
          <t>S&amp;P 100 / US</t>
        </is>
      </c>
    </row>
    <row r="213">
      <c r="A213" s="31" t="inlineStr">
        <is>
          <t>CHRW</t>
        </is>
      </c>
      <c r="B213" s="32" t="inlineStr">
        <is>
          <t>S&amp;P 100 / US</t>
        </is>
      </c>
    </row>
    <row r="214">
      <c r="A214" s="31" t="inlineStr">
        <is>
          <t>CHTR</t>
        </is>
      </c>
      <c r="B214" s="32" t="inlineStr">
        <is>
          <t>S&amp;P 100 / US</t>
        </is>
      </c>
    </row>
    <row r="215">
      <c r="A215" s="31" t="inlineStr">
        <is>
          <t>CHYM</t>
        </is>
      </c>
      <c r="B215" s="32" t="inlineStr">
        <is>
          <t>S&amp;P 100 / US</t>
        </is>
      </c>
    </row>
    <row r="216">
      <c r="A216" s="31" t="inlineStr">
        <is>
          <t>CI</t>
        </is>
      </c>
      <c r="B216" s="32" t="inlineStr">
        <is>
          <t>S&amp;P 100 / US</t>
        </is>
      </c>
    </row>
    <row r="217">
      <c r="A217" s="31" t="inlineStr">
        <is>
          <t>CIEN</t>
        </is>
      </c>
      <c r="B217" s="32" t="inlineStr">
        <is>
          <t>S&amp;P 100 / US</t>
        </is>
      </c>
    </row>
    <row r="218">
      <c r="A218" s="31" t="inlineStr">
        <is>
          <t>CIFR</t>
        </is>
      </c>
      <c r="B218" s="32" t="inlineStr">
        <is>
          <t>S&amp;P 100 / US</t>
        </is>
      </c>
    </row>
    <row r="219">
      <c r="A219" s="31" t="inlineStr">
        <is>
          <t>CINF</t>
        </is>
      </c>
      <c r="B219" s="32" t="inlineStr">
        <is>
          <t>S&amp;P 100 / US</t>
        </is>
      </c>
    </row>
    <row r="220">
      <c r="A220" s="31" t="inlineStr">
        <is>
          <t>CL</t>
        </is>
      </c>
      <c r="B220" s="32" t="inlineStr">
        <is>
          <t>S&amp;P 100 / US</t>
        </is>
      </c>
    </row>
    <row r="221">
      <c r="A221" s="31" t="inlineStr">
        <is>
          <t>CLF</t>
        </is>
      </c>
      <c r="B221" s="32" t="inlineStr">
        <is>
          <t>S&amp;P 100 / US</t>
        </is>
      </c>
    </row>
    <row r="222">
      <c r="A222" s="31" t="inlineStr">
        <is>
          <t>CLH</t>
        </is>
      </c>
      <c r="B222" s="32" t="inlineStr">
        <is>
          <t>S&amp;P 100 / US</t>
        </is>
      </c>
    </row>
    <row r="223">
      <c r="A223" s="31" t="inlineStr">
        <is>
          <t>CLOV</t>
        </is>
      </c>
      <c r="B223" s="32" t="inlineStr">
        <is>
          <t>S&amp;P 100 / US</t>
        </is>
      </c>
    </row>
    <row r="224">
      <c r="A224" s="31" t="inlineStr">
        <is>
          <t>CLPBY</t>
        </is>
      </c>
      <c r="B224" s="32" t="inlineStr">
        <is>
          <t>S&amp;P 100 / US</t>
        </is>
      </c>
    </row>
    <row r="225">
      <c r="A225" s="31" t="inlineStr">
        <is>
          <t>CLS</t>
        </is>
      </c>
      <c r="B225" s="32" t="inlineStr">
        <is>
          <t>S&amp;P 100 / US</t>
        </is>
      </c>
    </row>
    <row r="226">
      <c r="A226" s="31" t="inlineStr">
        <is>
          <t>CLSK</t>
        </is>
      </c>
      <c r="B226" s="32" t="inlineStr">
        <is>
          <t>S&amp;P 100 / US</t>
        </is>
      </c>
    </row>
    <row r="227">
      <c r="A227" s="31" t="inlineStr">
        <is>
          <t>CLX</t>
        </is>
      </c>
      <c r="B227" s="32" t="inlineStr">
        <is>
          <t>S&amp;P 100 / US</t>
        </is>
      </c>
    </row>
    <row r="228">
      <c r="A228" s="31" t="inlineStr">
        <is>
          <t>CM</t>
        </is>
      </c>
      <c r="B228" s="32" t="inlineStr">
        <is>
          <t>S&amp;P 100 / US</t>
        </is>
      </c>
    </row>
    <row r="229">
      <c r="A229" s="31" t="inlineStr">
        <is>
          <t>CMCSA</t>
        </is>
      </c>
      <c r="B229" s="32" t="inlineStr">
        <is>
          <t>S&amp;P 100 / US</t>
        </is>
      </c>
    </row>
    <row r="230">
      <c r="A230" s="31" t="inlineStr">
        <is>
          <t>CME</t>
        </is>
      </c>
      <c r="B230" s="32" t="inlineStr">
        <is>
          <t>S&amp;P 100 / US</t>
        </is>
      </c>
    </row>
    <row r="231">
      <c r="A231" s="31" t="inlineStr">
        <is>
          <t>CMG</t>
        </is>
      </c>
      <c r="B231" s="32" t="inlineStr">
        <is>
          <t>S&amp;P 100 / US</t>
        </is>
      </c>
    </row>
    <row r="232">
      <c r="A232" s="31" t="inlineStr">
        <is>
          <t>CMI</t>
        </is>
      </c>
      <c r="B232" s="32" t="inlineStr">
        <is>
          <t>S&amp;P 100 / US</t>
        </is>
      </c>
    </row>
    <row r="233">
      <c r="A233" s="31" t="inlineStr">
        <is>
          <t>CMPGY</t>
        </is>
      </c>
      <c r="B233" s="32" t="inlineStr">
        <is>
          <t>S&amp;P 100 / US</t>
        </is>
      </c>
    </row>
    <row r="234">
      <c r="A234" s="31" t="inlineStr">
        <is>
          <t>CMS</t>
        </is>
      </c>
      <c r="B234" s="32" t="inlineStr">
        <is>
          <t>S&amp;P 100 / US</t>
        </is>
      </c>
    </row>
    <row r="235">
      <c r="A235" s="31" t="inlineStr">
        <is>
          <t>CNC</t>
        </is>
      </c>
      <c r="B235" s="32" t="inlineStr">
        <is>
          <t>S&amp;P 100 / US</t>
        </is>
      </c>
    </row>
    <row r="236">
      <c r="A236" s="31" t="inlineStr">
        <is>
          <t>CNH</t>
        </is>
      </c>
      <c r="B236" s="32" t="inlineStr">
        <is>
          <t>S&amp;P 100 / US</t>
        </is>
      </c>
    </row>
    <row r="237">
      <c r="A237" s="31" t="inlineStr">
        <is>
          <t>CNI</t>
        </is>
      </c>
      <c r="B237" s="32" t="inlineStr">
        <is>
          <t>S&amp;P 100 / US</t>
        </is>
      </c>
    </row>
    <row r="238">
      <c r="A238" s="31" t="inlineStr">
        <is>
          <t>CNP</t>
        </is>
      </c>
      <c r="B238" s="32" t="inlineStr">
        <is>
          <t>S&amp;P 100 / US</t>
        </is>
      </c>
    </row>
    <row r="239">
      <c r="A239" s="31" t="inlineStr">
        <is>
          <t>CNQ</t>
        </is>
      </c>
      <c r="B239" s="32" t="inlineStr">
        <is>
          <t>S&amp;P 100 / US</t>
        </is>
      </c>
    </row>
    <row r="240">
      <c r="A240" s="31" t="inlineStr">
        <is>
          <t>CNR</t>
        </is>
      </c>
      <c r="B240" s="32" t="inlineStr">
        <is>
          <t>S&amp;P 100 / US</t>
        </is>
      </c>
    </row>
    <row r="241">
      <c r="A241" s="31" t="inlineStr">
        <is>
          <t>CNX</t>
        </is>
      </c>
      <c r="B241" s="32" t="inlineStr">
        <is>
          <t>S&amp;P 100 / US</t>
        </is>
      </c>
    </row>
    <row r="242">
      <c r="A242" s="31" t="inlineStr">
        <is>
          <t>COCO</t>
        </is>
      </c>
      <c r="B242" s="32" t="inlineStr">
        <is>
          <t>S&amp;P 100 / US</t>
        </is>
      </c>
    </row>
    <row r="243">
      <c r="A243" s="31" t="inlineStr">
        <is>
          <t>COF</t>
        </is>
      </c>
      <c r="B243" s="32" t="inlineStr">
        <is>
          <t>S&amp;P 100 / US</t>
        </is>
      </c>
    </row>
    <row r="244">
      <c r="A244" s="31" t="inlineStr">
        <is>
          <t>COHR</t>
        </is>
      </c>
      <c r="B244" s="32" t="inlineStr">
        <is>
          <t>S&amp;P 100 / US</t>
        </is>
      </c>
    </row>
    <row r="245">
      <c r="A245" s="31" t="inlineStr">
        <is>
          <t>COIN</t>
        </is>
      </c>
      <c r="B245" s="32" t="inlineStr">
        <is>
          <t>S&amp;P 100 / US</t>
        </is>
      </c>
    </row>
    <row r="246">
      <c r="A246" s="31" t="inlineStr">
        <is>
          <t>COLD</t>
        </is>
      </c>
      <c r="B246" s="32" t="inlineStr">
        <is>
          <t>S&amp;P 100 / US</t>
        </is>
      </c>
    </row>
    <row r="247">
      <c r="A247" s="31" t="inlineStr">
        <is>
          <t>COLM</t>
        </is>
      </c>
      <c r="B247" s="32" t="inlineStr">
        <is>
          <t>S&amp;P 100 / US</t>
        </is>
      </c>
    </row>
    <row r="248">
      <c r="A248" s="31" t="inlineStr">
        <is>
          <t>COO</t>
        </is>
      </c>
      <c r="B248" s="32" t="inlineStr">
        <is>
          <t>S&amp;P 100 / US</t>
        </is>
      </c>
    </row>
    <row r="249">
      <c r="A249" s="31" t="inlineStr">
        <is>
          <t>COP</t>
        </is>
      </c>
      <c r="B249" s="32" t="inlineStr">
        <is>
          <t>S&amp;P 100 / US</t>
        </is>
      </c>
    </row>
    <row r="250">
      <c r="A250" s="31" t="inlineStr">
        <is>
          <t>COR</t>
        </is>
      </c>
      <c r="B250" s="32" t="inlineStr">
        <is>
          <t>S&amp;P 100 / US</t>
        </is>
      </c>
    </row>
    <row r="251">
      <c r="A251" s="31" t="inlineStr">
        <is>
          <t>CORT</t>
        </is>
      </c>
      <c r="B251" s="32" t="inlineStr">
        <is>
          <t>S&amp;P 100 / US</t>
        </is>
      </c>
    </row>
    <row r="252">
      <c r="A252" s="31" t="inlineStr">
        <is>
          <t>CORZ</t>
        </is>
      </c>
      <c r="B252" s="32" t="inlineStr">
        <is>
          <t>S&amp;P 100 / US</t>
        </is>
      </c>
    </row>
    <row r="253">
      <c r="A253" s="31" t="inlineStr">
        <is>
          <t>COST</t>
        </is>
      </c>
      <c r="B253" s="32" t="inlineStr">
        <is>
          <t>S&amp;P 100 / US</t>
        </is>
      </c>
    </row>
    <row r="254">
      <c r="A254" s="31" t="inlineStr">
        <is>
          <t>COTY</t>
        </is>
      </c>
      <c r="B254" s="32" t="inlineStr">
        <is>
          <t>S&amp;P 100 / US</t>
        </is>
      </c>
    </row>
    <row r="255">
      <c r="A255" s="31" t="inlineStr">
        <is>
          <t>CP</t>
        </is>
      </c>
      <c r="B255" s="32" t="inlineStr">
        <is>
          <t>S&amp;P 100 / US</t>
        </is>
      </c>
    </row>
    <row r="256">
      <c r="A256" s="31" t="inlineStr">
        <is>
          <t>CPA</t>
        </is>
      </c>
      <c r="B256" s="32" t="inlineStr">
        <is>
          <t>S&amp;P 100 / US</t>
        </is>
      </c>
    </row>
    <row r="257">
      <c r="A257" s="31" t="inlineStr">
        <is>
          <t>CPAY</t>
        </is>
      </c>
      <c r="B257" s="32" t="inlineStr">
        <is>
          <t>S&amp;P 100 / US</t>
        </is>
      </c>
    </row>
    <row r="258">
      <c r="A258" s="31" t="inlineStr">
        <is>
          <t>CPB</t>
        </is>
      </c>
      <c r="B258" s="32" t="inlineStr">
        <is>
          <t>S&amp;P 100 / US</t>
        </is>
      </c>
    </row>
    <row r="259">
      <c r="A259" s="31" t="inlineStr">
        <is>
          <t>CPNG</t>
        </is>
      </c>
      <c r="B259" s="32" t="inlineStr">
        <is>
          <t>S&amp;P 100 / US</t>
        </is>
      </c>
    </row>
    <row r="260">
      <c r="A260" s="31" t="inlineStr">
        <is>
          <t>CPRI</t>
        </is>
      </c>
      <c r="B260" s="32" t="inlineStr">
        <is>
          <t>S&amp;P 100 / US</t>
        </is>
      </c>
    </row>
    <row r="261">
      <c r="A261" s="31" t="inlineStr">
        <is>
          <t>CPRT</t>
        </is>
      </c>
      <c r="B261" s="32" t="inlineStr">
        <is>
          <t>S&amp;P 100 / US</t>
        </is>
      </c>
    </row>
    <row r="262">
      <c r="A262" s="31" t="inlineStr">
        <is>
          <t>CPT</t>
        </is>
      </c>
      <c r="B262" s="32" t="inlineStr">
        <is>
          <t>S&amp;P 100 / US</t>
        </is>
      </c>
    </row>
    <row r="263">
      <c r="A263" s="31" t="inlineStr">
        <is>
          <t>CQP</t>
        </is>
      </c>
      <c r="B263" s="32" t="inlineStr">
        <is>
          <t>S&amp;P 100 / US</t>
        </is>
      </c>
    </row>
    <row r="264">
      <c r="A264" s="31" t="inlineStr">
        <is>
          <t>CRBG</t>
        </is>
      </c>
      <c r="B264" s="32" t="inlineStr">
        <is>
          <t>S&amp;P 100 / US</t>
        </is>
      </c>
    </row>
    <row r="265">
      <c r="A265" s="31" t="inlineStr">
        <is>
          <t>CRC</t>
        </is>
      </c>
      <c r="B265" s="32" t="inlineStr">
        <is>
          <t>S&amp;P 100 / US</t>
        </is>
      </c>
    </row>
    <row r="266">
      <c r="A266" s="31" t="inlineStr">
        <is>
          <t>CRCL</t>
        </is>
      </c>
      <c r="B266" s="32" t="inlineStr">
        <is>
          <t>S&amp;P 100 / US</t>
        </is>
      </c>
    </row>
    <row r="267">
      <c r="A267" s="31" t="inlineStr">
        <is>
          <t>CRDO</t>
        </is>
      </c>
      <c r="B267" s="32" t="inlineStr">
        <is>
          <t>S&amp;P 100 / US</t>
        </is>
      </c>
    </row>
    <row r="268">
      <c r="A268" s="31" t="inlineStr">
        <is>
          <t>CRGY</t>
        </is>
      </c>
      <c r="B268" s="32" t="inlineStr">
        <is>
          <t>S&amp;P 100 / US</t>
        </is>
      </c>
    </row>
    <row r="269">
      <c r="A269" s="31" t="inlineStr">
        <is>
          <t>CRH</t>
        </is>
      </c>
      <c r="B269" s="32" t="inlineStr">
        <is>
          <t>S&amp;P 100 / US</t>
        </is>
      </c>
    </row>
    <row r="270">
      <c r="A270" s="31" t="inlineStr">
        <is>
          <t>CRK</t>
        </is>
      </c>
      <c r="B270" s="32" t="inlineStr">
        <is>
          <t>S&amp;P 100 / US</t>
        </is>
      </c>
    </row>
    <row r="271">
      <c r="A271" s="31" t="inlineStr">
        <is>
          <t>CRL</t>
        </is>
      </c>
      <c r="B271" s="32" t="inlineStr">
        <is>
          <t>S&amp;P 100 / US</t>
        </is>
      </c>
    </row>
    <row r="272">
      <c r="A272" s="31" t="inlineStr">
        <is>
          <t>CRM</t>
        </is>
      </c>
      <c r="B272" s="32" t="inlineStr">
        <is>
          <t>S&amp;P 100 / US</t>
        </is>
      </c>
    </row>
    <row r="273">
      <c r="A273" s="31" t="inlineStr">
        <is>
          <t>CROX</t>
        </is>
      </c>
      <c r="B273" s="32" t="inlineStr">
        <is>
          <t>S&amp;P 100 / US</t>
        </is>
      </c>
    </row>
    <row r="274">
      <c r="A274" s="31" t="inlineStr">
        <is>
          <t>CRS</t>
        </is>
      </c>
      <c r="B274" s="32" t="inlineStr">
        <is>
          <t>S&amp;P 100 / US</t>
        </is>
      </c>
    </row>
    <row r="275">
      <c r="A275" s="31" t="inlineStr">
        <is>
          <t>CRSP</t>
        </is>
      </c>
      <c r="B275" s="32" t="inlineStr">
        <is>
          <t>S&amp;P 100 / US</t>
        </is>
      </c>
    </row>
    <row r="276">
      <c r="A276" s="31" t="inlineStr">
        <is>
          <t>CRWD</t>
        </is>
      </c>
      <c r="B276" s="32" t="inlineStr">
        <is>
          <t>S&amp;P 100 / US</t>
        </is>
      </c>
    </row>
    <row r="277">
      <c r="A277" s="31" t="inlineStr">
        <is>
          <t>CRWV</t>
        </is>
      </c>
      <c r="B277" s="32" t="inlineStr">
        <is>
          <t>S&amp;P 100 / US</t>
        </is>
      </c>
    </row>
    <row r="278">
      <c r="A278" s="31" t="inlineStr">
        <is>
          <t>CSCO</t>
        </is>
      </c>
      <c r="B278" s="32" t="inlineStr">
        <is>
          <t>S&amp;P 100 / US</t>
        </is>
      </c>
    </row>
    <row r="279">
      <c r="A279" s="31" t="inlineStr">
        <is>
          <t>CSGP</t>
        </is>
      </c>
      <c r="B279" s="32" t="inlineStr">
        <is>
          <t>S&amp;P 100 / US</t>
        </is>
      </c>
    </row>
    <row r="280">
      <c r="A280" s="31" t="inlineStr">
        <is>
          <t>CSX</t>
        </is>
      </c>
      <c r="B280" s="32" t="inlineStr">
        <is>
          <t>S&amp;P 100 / US</t>
        </is>
      </c>
    </row>
    <row r="281">
      <c r="A281" s="31" t="inlineStr">
        <is>
          <t>CTAS</t>
        </is>
      </c>
      <c r="B281" s="32" t="inlineStr">
        <is>
          <t>S&amp;P 100 / US</t>
        </is>
      </c>
    </row>
    <row r="282">
      <c r="A282" s="31" t="inlineStr">
        <is>
          <t>CTRE</t>
        </is>
      </c>
      <c r="B282" s="32" t="inlineStr">
        <is>
          <t>S&amp;P 100 / US</t>
        </is>
      </c>
    </row>
    <row r="283">
      <c r="A283" s="31" t="inlineStr">
        <is>
          <t>CTSH</t>
        </is>
      </c>
      <c r="B283" s="32" t="inlineStr">
        <is>
          <t>S&amp;P 100 / US</t>
        </is>
      </c>
    </row>
    <row r="284">
      <c r="A284" s="31" t="inlineStr">
        <is>
          <t>CTVA</t>
        </is>
      </c>
      <c r="B284" s="32" t="inlineStr">
        <is>
          <t>S&amp;P 100 / US</t>
        </is>
      </c>
    </row>
    <row r="285">
      <c r="A285" s="31" t="inlineStr">
        <is>
          <t>CVE</t>
        </is>
      </c>
      <c r="B285" s="32" t="inlineStr">
        <is>
          <t>S&amp;P 100 / US</t>
        </is>
      </c>
    </row>
    <row r="286">
      <c r="A286" s="31" t="inlineStr">
        <is>
          <t>CVI</t>
        </is>
      </c>
      <c r="B286" s="32" t="inlineStr">
        <is>
          <t>S&amp;P 100 / US</t>
        </is>
      </c>
    </row>
    <row r="287">
      <c r="A287" s="31" t="inlineStr">
        <is>
          <t>CVLT</t>
        </is>
      </c>
      <c r="B287" s="32" t="inlineStr">
        <is>
          <t>S&amp;P 100 / US</t>
        </is>
      </c>
    </row>
    <row r="288">
      <c r="A288" s="31" t="inlineStr">
        <is>
          <t>CVNA</t>
        </is>
      </c>
      <c r="B288" s="32" t="inlineStr">
        <is>
          <t>S&amp;P 100 / US</t>
        </is>
      </c>
    </row>
    <row r="289">
      <c r="A289" s="31" t="inlineStr">
        <is>
          <t>CVS</t>
        </is>
      </c>
      <c r="B289" s="32" t="inlineStr">
        <is>
          <t>S&amp;P 100 / US</t>
        </is>
      </c>
    </row>
    <row r="290">
      <c r="A290" s="31" t="inlineStr">
        <is>
          <t>CVX</t>
        </is>
      </c>
      <c r="B290" s="32" t="inlineStr">
        <is>
          <t>S&amp;P 100 / US</t>
        </is>
      </c>
    </row>
    <row r="291">
      <c r="A291" s="31" t="inlineStr">
        <is>
          <t>CWAN</t>
        </is>
      </c>
      <c r="B291" s="32" t="inlineStr">
        <is>
          <t>S&amp;P 100 / US</t>
        </is>
      </c>
    </row>
    <row r="292">
      <c r="A292" s="31" t="inlineStr">
        <is>
          <t>CWK</t>
        </is>
      </c>
      <c r="B292" s="32" t="inlineStr">
        <is>
          <t>S&amp;P 100 / US</t>
        </is>
      </c>
    </row>
    <row r="293">
      <c r="A293" s="31" t="inlineStr">
        <is>
          <t>CWST</t>
        </is>
      </c>
      <c r="B293" s="32" t="inlineStr">
        <is>
          <t>S&amp;P 100 / US</t>
        </is>
      </c>
    </row>
    <row r="294">
      <c r="A294" s="31" t="inlineStr">
        <is>
          <t>CX</t>
        </is>
      </c>
      <c r="B294" s="32" t="inlineStr">
        <is>
          <t>S&amp;P 100 / US</t>
        </is>
      </c>
    </row>
    <row r="295">
      <c r="A295" s="31" t="inlineStr">
        <is>
          <t>CXW</t>
        </is>
      </c>
      <c r="B295" s="32" t="inlineStr">
        <is>
          <t>S&amp;P 100 / US</t>
        </is>
      </c>
    </row>
    <row r="296">
      <c r="A296" s="31" t="inlineStr">
        <is>
          <t>CZR</t>
        </is>
      </c>
      <c r="B296" s="32" t="inlineStr">
        <is>
          <t>S&amp;P 100 / US</t>
        </is>
      </c>
    </row>
    <row r="297">
      <c r="A297" s="31" t="inlineStr">
        <is>
          <t>D</t>
        </is>
      </c>
      <c r="B297" s="32" t="inlineStr">
        <is>
          <t>S&amp;P 100 / US</t>
        </is>
      </c>
    </row>
    <row r="298">
      <c r="A298" s="31" t="inlineStr">
        <is>
          <t>DAL</t>
        </is>
      </c>
      <c r="B298" s="32" t="inlineStr">
        <is>
          <t>S&amp;P 100 / US</t>
        </is>
      </c>
    </row>
    <row r="299">
      <c r="A299" s="31" t="inlineStr">
        <is>
          <t>DASH</t>
        </is>
      </c>
      <c r="B299" s="32" t="inlineStr">
        <is>
          <t>S&amp;P 100 / US</t>
        </is>
      </c>
    </row>
    <row r="300">
      <c r="A300" s="31" t="inlineStr">
        <is>
          <t>DAVE</t>
        </is>
      </c>
      <c r="B300" s="32" t="inlineStr">
        <is>
          <t>S&amp;P 100 / US</t>
        </is>
      </c>
    </row>
    <row r="301">
      <c r="A301" s="31" t="inlineStr">
        <is>
          <t>DBX</t>
        </is>
      </c>
      <c r="B301" s="32" t="inlineStr">
        <is>
          <t>S&amp;P 100 / US</t>
        </is>
      </c>
    </row>
    <row r="302">
      <c r="A302" s="31" t="inlineStr">
        <is>
          <t>DD</t>
        </is>
      </c>
      <c r="B302" s="32" t="inlineStr">
        <is>
          <t>S&amp;P 100 / US</t>
        </is>
      </c>
    </row>
    <row r="303">
      <c r="A303" s="31" t="inlineStr">
        <is>
          <t>DDOG</t>
        </is>
      </c>
      <c r="B303" s="32" t="inlineStr">
        <is>
          <t>S&amp;P 100 / US</t>
        </is>
      </c>
    </row>
    <row r="304">
      <c r="A304" s="31" t="inlineStr">
        <is>
          <t>DDS</t>
        </is>
      </c>
      <c r="B304" s="32" t="inlineStr">
        <is>
          <t>S&amp;P 100 / US</t>
        </is>
      </c>
    </row>
    <row r="305">
      <c r="A305" s="31" t="inlineStr">
        <is>
          <t>DE</t>
        </is>
      </c>
      <c r="B305" s="32" t="inlineStr">
        <is>
          <t>S&amp;P 100 / US</t>
        </is>
      </c>
    </row>
    <row r="306">
      <c r="A306" s="31" t="inlineStr">
        <is>
          <t>DECK</t>
        </is>
      </c>
      <c r="B306" s="32" t="inlineStr">
        <is>
          <t>S&amp;P 100 / US</t>
        </is>
      </c>
    </row>
    <row r="307">
      <c r="A307" s="31" t="inlineStr">
        <is>
          <t>DELL</t>
        </is>
      </c>
      <c r="B307" s="32" t="inlineStr">
        <is>
          <t>S&amp;P 100 / US</t>
        </is>
      </c>
    </row>
    <row r="308">
      <c r="A308" s="31" t="inlineStr">
        <is>
          <t>DEO</t>
        </is>
      </c>
      <c r="B308" s="32" t="inlineStr">
        <is>
          <t>S&amp;P 100 / US</t>
        </is>
      </c>
    </row>
    <row r="309">
      <c r="A309" s="31" t="inlineStr">
        <is>
          <t>DG</t>
        </is>
      </c>
      <c r="B309" s="32" t="inlineStr">
        <is>
          <t>S&amp;P 100 / US</t>
        </is>
      </c>
    </row>
    <row r="310">
      <c r="A310" s="31" t="inlineStr">
        <is>
          <t>DGX</t>
        </is>
      </c>
      <c r="B310" s="32" t="inlineStr">
        <is>
          <t>S&amp;P 100 / US</t>
        </is>
      </c>
    </row>
    <row r="311">
      <c r="A311" s="31" t="inlineStr">
        <is>
          <t>DHI</t>
        </is>
      </c>
      <c r="B311" s="32" t="inlineStr">
        <is>
          <t>S&amp;P 100 / US</t>
        </is>
      </c>
    </row>
    <row r="312">
      <c r="A312" s="31" t="inlineStr">
        <is>
          <t>DHR</t>
        </is>
      </c>
      <c r="B312" s="32" t="inlineStr">
        <is>
          <t>S&amp;P 100 / US</t>
        </is>
      </c>
    </row>
    <row r="313">
      <c r="A313" s="31" t="inlineStr">
        <is>
          <t>DHT</t>
        </is>
      </c>
      <c r="B313" s="32" t="inlineStr">
        <is>
          <t>S&amp;P 100 / US</t>
        </is>
      </c>
    </row>
    <row r="314">
      <c r="A314" s="31" t="inlineStr">
        <is>
          <t>DINO</t>
        </is>
      </c>
      <c r="B314" s="32" t="inlineStr">
        <is>
          <t>S&amp;P 100 / US</t>
        </is>
      </c>
    </row>
    <row r="315">
      <c r="A315" s="31" t="inlineStr">
        <is>
          <t>DIS</t>
        </is>
      </c>
      <c r="B315" s="32" t="inlineStr">
        <is>
          <t>S&amp;P 100 / US</t>
        </is>
      </c>
    </row>
    <row r="316">
      <c r="A316" s="31" t="inlineStr">
        <is>
          <t>DKNG</t>
        </is>
      </c>
      <c r="B316" s="32" t="inlineStr">
        <is>
          <t>S&amp;P 100 / US</t>
        </is>
      </c>
    </row>
    <row r="317">
      <c r="A317" s="31" t="inlineStr">
        <is>
          <t>DKS</t>
        </is>
      </c>
      <c r="B317" s="32" t="inlineStr">
        <is>
          <t>S&amp;P 100 / US</t>
        </is>
      </c>
    </row>
    <row r="318">
      <c r="A318" s="31" t="inlineStr">
        <is>
          <t>DLB</t>
        </is>
      </c>
      <c r="B318" s="32" t="inlineStr">
        <is>
          <t>S&amp;P 100 / US</t>
        </is>
      </c>
    </row>
    <row r="319">
      <c r="A319" s="31" t="inlineStr">
        <is>
          <t>DLO</t>
        </is>
      </c>
      <c r="B319" s="32" t="inlineStr">
        <is>
          <t>S&amp;P 100 / US</t>
        </is>
      </c>
    </row>
    <row r="320">
      <c r="A320" s="31" t="inlineStr">
        <is>
          <t>DLR</t>
        </is>
      </c>
      <c r="B320" s="32" t="inlineStr">
        <is>
          <t>S&amp;P 100 / US</t>
        </is>
      </c>
    </row>
    <row r="321">
      <c r="A321" s="31" t="inlineStr">
        <is>
          <t>DLTR</t>
        </is>
      </c>
      <c r="B321" s="32" t="inlineStr">
        <is>
          <t>S&amp;P 100 / US</t>
        </is>
      </c>
    </row>
    <row r="322">
      <c r="A322" s="31" t="inlineStr">
        <is>
          <t>DNUT</t>
        </is>
      </c>
      <c r="B322" s="32" t="inlineStr">
        <is>
          <t>S&amp;P 100 / US</t>
        </is>
      </c>
    </row>
    <row r="323">
      <c r="A323" s="31" t="inlineStr">
        <is>
          <t>DOC</t>
        </is>
      </c>
      <c r="B323" s="32" t="inlineStr">
        <is>
          <t>S&amp;P 100 / US</t>
        </is>
      </c>
    </row>
    <row r="324">
      <c r="A324" s="31" t="inlineStr">
        <is>
          <t>DOCN</t>
        </is>
      </c>
      <c r="B324" s="32" t="inlineStr">
        <is>
          <t>S&amp;P 100 / US</t>
        </is>
      </c>
    </row>
    <row r="325">
      <c r="A325" s="31" t="inlineStr">
        <is>
          <t>DOCU</t>
        </is>
      </c>
      <c r="B325" s="32" t="inlineStr">
        <is>
          <t>S&amp;P 100 / US</t>
        </is>
      </c>
    </row>
    <row r="326">
      <c r="A326" s="31" t="inlineStr">
        <is>
          <t>DOV</t>
        </is>
      </c>
      <c r="B326" s="32" t="inlineStr">
        <is>
          <t>S&amp;P 100 / US</t>
        </is>
      </c>
    </row>
    <row r="327">
      <c r="A327" s="31" t="inlineStr">
        <is>
          <t>DOW</t>
        </is>
      </c>
      <c r="B327" s="32" t="inlineStr">
        <is>
          <t>S&amp;P 100 / US</t>
        </is>
      </c>
    </row>
    <row r="328">
      <c r="A328" s="31" t="inlineStr">
        <is>
          <t>DPRO</t>
        </is>
      </c>
      <c r="B328" s="32" t="inlineStr">
        <is>
          <t>S&amp;P 100 / US</t>
        </is>
      </c>
    </row>
    <row r="329">
      <c r="A329" s="31" t="inlineStr">
        <is>
          <t>DPZ</t>
        </is>
      </c>
      <c r="B329" s="32" t="inlineStr">
        <is>
          <t>S&amp;P 100 / US</t>
        </is>
      </c>
    </row>
    <row r="330">
      <c r="A330" s="31" t="inlineStr">
        <is>
          <t>DRI</t>
        </is>
      </c>
      <c r="B330" s="32" t="inlineStr">
        <is>
          <t>S&amp;P 100 / US</t>
        </is>
      </c>
    </row>
    <row r="331">
      <c r="A331" s="31" t="inlineStr">
        <is>
          <t>DSGX</t>
        </is>
      </c>
      <c r="B331" s="32" t="inlineStr">
        <is>
          <t>S&amp;P 100 / US</t>
        </is>
      </c>
    </row>
    <row r="332">
      <c r="A332" s="31" t="inlineStr">
        <is>
          <t>DT</t>
        </is>
      </c>
      <c r="B332" s="32" t="inlineStr">
        <is>
          <t>S&amp;P 100 / US</t>
        </is>
      </c>
    </row>
    <row r="333">
      <c r="A333" s="31" t="inlineStr">
        <is>
          <t>DTE</t>
        </is>
      </c>
      <c r="B333" s="32" t="inlineStr">
        <is>
          <t>S&amp;P 100 / US</t>
        </is>
      </c>
    </row>
    <row r="334">
      <c r="A334" s="31" t="inlineStr">
        <is>
          <t>DTEGY</t>
        </is>
      </c>
      <c r="B334" s="32" t="inlineStr">
        <is>
          <t>S&amp;P 100 / US</t>
        </is>
      </c>
    </row>
    <row r="335">
      <c r="A335" s="31" t="inlineStr">
        <is>
          <t>DTM</t>
        </is>
      </c>
      <c r="B335" s="32" t="inlineStr">
        <is>
          <t>S&amp;P 100 / US</t>
        </is>
      </c>
    </row>
    <row r="336">
      <c r="A336" s="31" t="inlineStr">
        <is>
          <t>DUK</t>
        </is>
      </c>
      <c r="B336" s="32" t="inlineStr">
        <is>
          <t>S&amp;P 100 / US</t>
        </is>
      </c>
    </row>
    <row r="337">
      <c r="A337" s="31" t="inlineStr">
        <is>
          <t>DUOL</t>
        </is>
      </c>
      <c r="B337" s="32" t="inlineStr">
        <is>
          <t>S&amp;P 100 / US</t>
        </is>
      </c>
    </row>
    <row r="338">
      <c r="A338" s="31" t="inlineStr">
        <is>
          <t>DVA</t>
        </is>
      </c>
      <c r="B338" s="32" t="inlineStr">
        <is>
          <t>S&amp;P 100 / US</t>
        </is>
      </c>
    </row>
    <row r="339">
      <c r="A339" s="31" t="inlineStr">
        <is>
          <t>DVN</t>
        </is>
      </c>
      <c r="B339" s="32" t="inlineStr">
        <is>
          <t>S&amp;P 100 / US</t>
        </is>
      </c>
    </row>
    <row r="340">
      <c r="A340" s="31" t="inlineStr">
        <is>
          <t>DXCM</t>
        </is>
      </c>
      <c r="B340" s="32" t="inlineStr">
        <is>
          <t>S&amp;P 100 / US</t>
        </is>
      </c>
    </row>
    <row r="341">
      <c r="A341" s="31" t="inlineStr">
        <is>
          <t>EA</t>
        </is>
      </c>
      <c r="B341" s="32" t="inlineStr">
        <is>
          <t>S&amp;P 100 / US</t>
        </is>
      </c>
    </row>
    <row r="342">
      <c r="A342" s="31" t="inlineStr">
        <is>
          <t>EADSY</t>
        </is>
      </c>
      <c r="B342" s="32" t="inlineStr">
        <is>
          <t>S&amp;P 100 / US</t>
        </is>
      </c>
    </row>
    <row r="343">
      <c r="A343" s="31" t="inlineStr">
        <is>
          <t>EAT</t>
        </is>
      </c>
      <c r="B343" s="32" t="inlineStr">
        <is>
          <t>S&amp;P 100 / US</t>
        </is>
      </c>
    </row>
    <row r="344">
      <c r="A344" s="31" t="inlineStr">
        <is>
          <t>EBAY</t>
        </is>
      </c>
      <c r="B344" s="32" t="inlineStr">
        <is>
          <t>S&amp;P 100 / US</t>
        </is>
      </c>
    </row>
    <row r="345">
      <c r="A345" s="31" t="inlineStr">
        <is>
          <t>EC</t>
        </is>
      </c>
      <c r="B345" s="32" t="inlineStr">
        <is>
          <t>S&amp;P 100 / US</t>
        </is>
      </c>
    </row>
    <row r="346">
      <c r="A346" s="31" t="inlineStr">
        <is>
          <t>ECL</t>
        </is>
      </c>
      <c r="B346" s="32" t="inlineStr">
        <is>
          <t>S&amp;P 100 / US</t>
        </is>
      </c>
    </row>
    <row r="347">
      <c r="A347" s="31" t="inlineStr">
        <is>
          <t>ED</t>
        </is>
      </c>
      <c r="B347" s="32" t="inlineStr">
        <is>
          <t>S&amp;P 100 / US</t>
        </is>
      </c>
    </row>
    <row r="348">
      <c r="A348" s="31" t="inlineStr">
        <is>
          <t>EE</t>
        </is>
      </c>
      <c r="B348" s="32" t="inlineStr">
        <is>
          <t>S&amp;P 100 / US</t>
        </is>
      </c>
    </row>
    <row r="349">
      <c r="A349" s="31" t="inlineStr">
        <is>
          <t>EFX</t>
        </is>
      </c>
      <c r="B349" s="32" t="inlineStr">
        <is>
          <t>S&amp;P 100 / US</t>
        </is>
      </c>
    </row>
    <row r="350">
      <c r="A350" s="31" t="inlineStr">
        <is>
          <t>EIX</t>
        </is>
      </c>
      <c r="B350" s="32" t="inlineStr">
        <is>
          <t>S&amp;P 100 / US</t>
        </is>
      </c>
    </row>
    <row r="351">
      <c r="A351" s="31" t="inlineStr">
        <is>
          <t>EL</t>
        </is>
      </c>
      <c r="B351" s="32" t="inlineStr">
        <is>
          <t>S&amp;P 100 / US</t>
        </is>
      </c>
    </row>
    <row r="352">
      <c r="A352" s="31" t="inlineStr">
        <is>
          <t>ELF</t>
        </is>
      </c>
      <c r="B352" s="32" t="inlineStr">
        <is>
          <t>S&amp;P 100 / US</t>
        </is>
      </c>
    </row>
    <row r="353">
      <c r="A353" s="31" t="inlineStr">
        <is>
          <t>ELMT</t>
        </is>
      </c>
      <c r="B353" s="32" t="inlineStr">
        <is>
          <t>S&amp;P 100 / US</t>
        </is>
      </c>
    </row>
    <row r="354">
      <c r="A354" s="31" t="inlineStr">
        <is>
          <t>ELV</t>
        </is>
      </c>
      <c r="B354" s="32" t="inlineStr">
        <is>
          <t>S&amp;P 100 / US</t>
        </is>
      </c>
    </row>
    <row r="355">
      <c r="A355" s="31" t="inlineStr">
        <is>
          <t>EME</t>
        </is>
      </c>
      <c r="B355" s="32" t="inlineStr">
        <is>
          <t>S&amp;P 100 / US</t>
        </is>
      </c>
    </row>
    <row r="356">
      <c r="A356" s="31" t="inlineStr">
        <is>
          <t>EMN</t>
        </is>
      </c>
      <c r="B356" s="32" t="inlineStr">
        <is>
          <t>S&amp;P 100 / US</t>
        </is>
      </c>
    </row>
    <row r="357">
      <c r="A357" s="31" t="inlineStr">
        <is>
          <t>EMR</t>
        </is>
      </c>
      <c r="B357" s="32" t="inlineStr">
        <is>
          <t>S&amp;P 100 / US</t>
        </is>
      </c>
    </row>
    <row r="358">
      <c r="A358" s="31" t="inlineStr">
        <is>
          <t>ENB</t>
        </is>
      </c>
      <c r="B358" s="32" t="inlineStr">
        <is>
          <t>S&amp;P 100 / US</t>
        </is>
      </c>
    </row>
    <row r="359">
      <c r="A359" s="31" t="inlineStr">
        <is>
          <t>ENPH</t>
        </is>
      </c>
      <c r="B359" s="32" t="inlineStr">
        <is>
          <t>S&amp;P 100 / US</t>
        </is>
      </c>
    </row>
    <row r="360">
      <c r="A360" s="31" t="inlineStr">
        <is>
          <t>ENR</t>
        </is>
      </c>
      <c r="B360" s="32" t="inlineStr">
        <is>
          <t>S&amp;P 100 / US</t>
        </is>
      </c>
    </row>
    <row r="361">
      <c r="A361" s="31" t="inlineStr">
        <is>
          <t>ENTG</t>
        </is>
      </c>
      <c r="B361" s="32" t="inlineStr">
        <is>
          <t>S&amp;P 100 / US</t>
        </is>
      </c>
    </row>
    <row r="362">
      <c r="A362" s="31" t="inlineStr">
        <is>
          <t>ENVA</t>
        </is>
      </c>
      <c r="B362" s="32" t="inlineStr">
        <is>
          <t>S&amp;P 100 / US</t>
        </is>
      </c>
    </row>
    <row r="363">
      <c r="A363" s="31" t="inlineStr">
        <is>
          <t>ENVX</t>
        </is>
      </c>
      <c r="B363" s="32" t="inlineStr">
        <is>
          <t>S&amp;P 100 / US</t>
        </is>
      </c>
    </row>
    <row r="364">
      <c r="A364" s="31" t="inlineStr">
        <is>
          <t>EOG</t>
        </is>
      </c>
      <c r="B364" s="32" t="inlineStr">
        <is>
          <t>S&amp;P 100 / US</t>
        </is>
      </c>
    </row>
    <row r="365">
      <c r="A365" s="31" t="inlineStr">
        <is>
          <t>EOSE</t>
        </is>
      </c>
      <c r="B365" s="32" t="inlineStr">
        <is>
          <t>S&amp;P 100 / US</t>
        </is>
      </c>
    </row>
    <row r="366">
      <c r="A366" s="31" t="inlineStr">
        <is>
          <t>EPAM</t>
        </is>
      </c>
      <c r="B366" s="32" t="inlineStr">
        <is>
          <t>S&amp;P 100 / US</t>
        </is>
      </c>
    </row>
    <row r="367">
      <c r="A367" s="31" t="inlineStr">
        <is>
          <t>EPD</t>
        </is>
      </c>
      <c r="B367" s="32" t="inlineStr">
        <is>
          <t>S&amp;P 100 / US</t>
        </is>
      </c>
    </row>
    <row r="368">
      <c r="A368" s="31" t="inlineStr">
        <is>
          <t>EPRT</t>
        </is>
      </c>
      <c r="B368" s="32" t="inlineStr">
        <is>
          <t>S&amp;P 100 / US</t>
        </is>
      </c>
    </row>
    <row r="369">
      <c r="A369" s="31" t="inlineStr">
        <is>
          <t>EQH</t>
        </is>
      </c>
      <c r="B369" s="32" t="inlineStr">
        <is>
          <t>S&amp;P 100 / US</t>
        </is>
      </c>
    </row>
    <row r="370">
      <c r="A370" s="31" t="inlineStr">
        <is>
          <t>EQIX</t>
        </is>
      </c>
      <c r="B370" s="32" t="inlineStr">
        <is>
          <t>S&amp;P 100 / US</t>
        </is>
      </c>
    </row>
    <row r="371">
      <c r="A371" s="31" t="inlineStr">
        <is>
          <t>EQNR</t>
        </is>
      </c>
      <c r="B371" s="32" t="inlineStr">
        <is>
          <t>S&amp;P 100 / US</t>
        </is>
      </c>
    </row>
    <row r="372">
      <c r="A372" s="31" t="inlineStr">
        <is>
          <t>EQPT</t>
        </is>
      </c>
      <c r="B372" s="32" t="inlineStr">
        <is>
          <t>S&amp;P 100 / US</t>
        </is>
      </c>
    </row>
    <row r="373">
      <c r="A373" s="31" t="inlineStr">
        <is>
          <t>EQR</t>
        </is>
      </c>
      <c r="B373" s="32" t="inlineStr">
        <is>
          <t>S&amp;P 100 / US</t>
        </is>
      </c>
    </row>
    <row r="374">
      <c r="A374" s="31" t="inlineStr">
        <is>
          <t>EQT</t>
        </is>
      </c>
      <c r="B374" s="32" t="inlineStr">
        <is>
          <t>S&amp;P 100 / US</t>
        </is>
      </c>
    </row>
    <row r="375">
      <c r="A375" s="31" t="inlineStr">
        <is>
          <t>ERIC</t>
        </is>
      </c>
      <c r="B375" s="32" t="inlineStr">
        <is>
          <t>S&amp;P 100 / US</t>
        </is>
      </c>
    </row>
    <row r="376">
      <c r="A376" s="31" t="inlineStr">
        <is>
          <t>ES</t>
        </is>
      </c>
      <c r="B376" s="32" t="inlineStr">
        <is>
          <t>S&amp;P 100 / US</t>
        </is>
      </c>
    </row>
    <row r="377">
      <c r="A377" s="31" t="inlineStr">
        <is>
          <t>ESS</t>
        </is>
      </c>
      <c r="B377" s="32" t="inlineStr">
        <is>
          <t>S&amp;P 100 / US</t>
        </is>
      </c>
    </row>
    <row r="378">
      <c r="A378" s="31" t="inlineStr">
        <is>
          <t>ESTC</t>
        </is>
      </c>
      <c r="B378" s="32" t="inlineStr">
        <is>
          <t>S&amp;P 100 / US</t>
        </is>
      </c>
    </row>
    <row r="379">
      <c r="A379" s="31" t="inlineStr">
        <is>
          <t>ET</t>
        </is>
      </c>
      <c r="B379" s="32" t="inlineStr">
        <is>
          <t>S&amp;P 100 / US</t>
        </is>
      </c>
    </row>
    <row r="380">
      <c r="A380" s="31" t="inlineStr">
        <is>
          <t>ETN</t>
        </is>
      </c>
      <c r="B380" s="32" t="inlineStr">
        <is>
          <t>S&amp;P 100 / US</t>
        </is>
      </c>
    </row>
    <row r="381">
      <c r="A381" s="31" t="inlineStr">
        <is>
          <t>ETR</t>
        </is>
      </c>
      <c r="B381" s="32" t="inlineStr">
        <is>
          <t>S&amp;P 100 / US</t>
        </is>
      </c>
    </row>
    <row r="382">
      <c r="A382" s="31" t="inlineStr">
        <is>
          <t>ETSY</t>
        </is>
      </c>
      <c r="B382" s="32" t="inlineStr">
        <is>
          <t>S&amp;P 100 / US</t>
        </is>
      </c>
    </row>
    <row r="383">
      <c r="A383" s="31" t="inlineStr">
        <is>
          <t>EVRG</t>
        </is>
      </c>
      <c r="B383" s="32" t="inlineStr">
        <is>
          <t>S&amp;P 100 / US</t>
        </is>
      </c>
    </row>
    <row r="384">
      <c r="A384" s="31" t="inlineStr">
        <is>
          <t>EVVTY</t>
        </is>
      </c>
      <c r="B384" s="32" t="inlineStr">
        <is>
          <t>S&amp;P 100 / US</t>
        </is>
      </c>
    </row>
    <row r="385">
      <c r="A385" s="31" t="inlineStr">
        <is>
          <t>EW</t>
        </is>
      </c>
      <c r="B385" s="32" t="inlineStr">
        <is>
          <t>S&amp;P 100 / US</t>
        </is>
      </c>
    </row>
    <row r="386">
      <c r="A386" s="31" t="inlineStr">
        <is>
          <t>EWBC</t>
        </is>
      </c>
      <c r="B386" s="32" t="inlineStr">
        <is>
          <t>S&amp;P 100 / US</t>
        </is>
      </c>
    </row>
    <row r="387">
      <c r="A387" s="31" t="inlineStr">
        <is>
          <t>EXC</t>
        </is>
      </c>
      <c r="B387" s="32" t="inlineStr">
        <is>
          <t>S&amp;P 100 / US</t>
        </is>
      </c>
    </row>
    <row r="388">
      <c r="A388" s="31" t="inlineStr">
        <is>
          <t>EXE</t>
        </is>
      </c>
      <c r="B388" s="32" t="inlineStr">
        <is>
          <t>S&amp;P 100 / US</t>
        </is>
      </c>
    </row>
    <row r="389">
      <c r="A389" s="31" t="inlineStr">
        <is>
          <t>EXEL</t>
        </is>
      </c>
      <c r="B389" s="32" t="inlineStr">
        <is>
          <t>S&amp;P 100 / US</t>
        </is>
      </c>
    </row>
    <row r="390">
      <c r="A390" s="31" t="inlineStr">
        <is>
          <t>EXPE</t>
        </is>
      </c>
      <c r="B390" s="32" t="inlineStr">
        <is>
          <t>S&amp;P 100 / US</t>
        </is>
      </c>
    </row>
    <row r="391">
      <c r="A391" s="31" t="inlineStr">
        <is>
          <t>EXPGY</t>
        </is>
      </c>
      <c r="B391" s="32" t="inlineStr">
        <is>
          <t>S&amp;P 100 / US</t>
        </is>
      </c>
    </row>
    <row r="392">
      <c r="A392" s="31" t="inlineStr">
        <is>
          <t>EXR</t>
        </is>
      </c>
      <c r="B392" s="32" t="inlineStr">
        <is>
          <t>S&amp;P 100 / US</t>
        </is>
      </c>
    </row>
    <row r="393">
      <c r="A393" s="31" t="inlineStr">
        <is>
          <t>F</t>
        </is>
      </c>
      <c r="B393" s="32" t="inlineStr">
        <is>
          <t>S&amp;P 100 / US</t>
        </is>
      </c>
    </row>
    <row r="394">
      <c r="A394" s="31" t="inlineStr">
        <is>
          <t>FANG</t>
        </is>
      </c>
      <c r="B394" s="32" t="inlineStr">
        <is>
          <t>S&amp;P 100 / US</t>
        </is>
      </c>
    </row>
    <row r="395">
      <c r="A395" s="31" t="inlineStr">
        <is>
          <t>FCN</t>
        </is>
      </c>
      <c r="B395" s="32" t="inlineStr">
        <is>
          <t>S&amp;P 100 / US</t>
        </is>
      </c>
    </row>
    <row r="396">
      <c r="A396" s="31" t="inlineStr">
        <is>
          <t>FCX</t>
        </is>
      </c>
      <c r="B396" s="32" t="inlineStr">
        <is>
          <t>S&amp;P 100 / US</t>
        </is>
      </c>
    </row>
    <row r="397">
      <c r="A397" s="31" t="inlineStr">
        <is>
          <t>FDS</t>
        </is>
      </c>
      <c r="B397" s="32" t="inlineStr">
        <is>
          <t>S&amp;P 100 / US</t>
        </is>
      </c>
    </row>
    <row r="398">
      <c r="A398" s="31" t="inlineStr">
        <is>
          <t>FDX</t>
        </is>
      </c>
      <c r="B398" s="32" t="inlineStr">
        <is>
          <t>S&amp;P 100 / US</t>
        </is>
      </c>
    </row>
    <row r="399">
      <c r="A399" s="31" t="inlineStr">
        <is>
          <t>FERG</t>
        </is>
      </c>
      <c r="B399" s="32" t="inlineStr">
        <is>
          <t>S&amp;P 100 / US</t>
        </is>
      </c>
    </row>
    <row r="400">
      <c r="A400" s="31" t="inlineStr">
        <is>
          <t>FFIV</t>
        </is>
      </c>
      <c r="B400" s="32" t="inlineStr">
        <is>
          <t>S&amp;P 100 / US</t>
        </is>
      </c>
    </row>
    <row r="401">
      <c r="A401" s="31" t="inlineStr">
        <is>
          <t>FICO</t>
        </is>
      </c>
      <c r="B401" s="32" t="inlineStr">
        <is>
          <t>S&amp;P 100 / US</t>
        </is>
      </c>
    </row>
    <row r="402">
      <c r="A402" s="31" t="inlineStr">
        <is>
          <t>FIG</t>
        </is>
      </c>
      <c r="B402" s="32" t="inlineStr">
        <is>
          <t>S&amp;P 100 / US</t>
        </is>
      </c>
    </row>
    <row r="403">
      <c r="A403" s="31" t="inlineStr">
        <is>
          <t>FIGR</t>
        </is>
      </c>
      <c r="B403" s="32" t="inlineStr">
        <is>
          <t>S&amp;P 100 / US</t>
        </is>
      </c>
    </row>
    <row r="404">
      <c r="A404" s="31" t="inlineStr">
        <is>
          <t>FINV</t>
        </is>
      </c>
      <c r="B404" s="32" t="inlineStr">
        <is>
          <t>S&amp;P 100 / US</t>
        </is>
      </c>
    </row>
    <row r="405">
      <c r="A405" s="31" t="inlineStr">
        <is>
          <t>FIS</t>
        </is>
      </c>
      <c r="B405" s="32" t="inlineStr">
        <is>
          <t>S&amp;P 100 / US</t>
        </is>
      </c>
    </row>
    <row r="406">
      <c r="A406" s="31" t="inlineStr">
        <is>
          <t>FIX</t>
        </is>
      </c>
      <c r="B406" s="32" t="inlineStr">
        <is>
          <t>S&amp;P 100 / US</t>
        </is>
      </c>
    </row>
    <row r="407">
      <c r="A407" s="31" t="inlineStr">
        <is>
          <t>FIZZ</t>
        </is>
      </c>
      <c r="B407" s="32" t="inlineStr">
        <is>
          <t>S&amp;P 100 / US</t>
        </is>
      </c>
    </row>
    <row r="408">
      <c r="A408" s="31" t="inlineStr">
        <is>
          <t>FLEX</t>
        </is>
      </c>
      <c r="B408" s="32" t="inlineStr">
        <is>
          <t>S&amp;P 100 / US</t>
        </is>
      </c>
    </row>
    <row r="409">
      <c r="A409" s="31" t="inlineStr">
        <is>
          <t>FLNC</t>
        </is>
      </c>
      <c r="B409" s="32" t="inlineStr">
        <is>
          <t>S&amp;P 100 / US</t>
        </is>
      </c>
    </row>
    <row r="410">
      <c r="A410" s="31" t="inlineStr">
        <is>
          <t>FLR</t>
        </is>
      </c>
      <c r="B410" s="32" t="inlineStr">
        <is>
          <t>S&amp;P 100 / US</t>
        </is>
      </c>
    </row>
    <row r="411">
      <c r="A411" s="31" t="inlineStr">
        <is>
          <t>FLS</t>
        </is>
      </c>
      <c r="B411" s="32" t="inlineStr">
        <is>
          <t>S&amp;P 100 / US</t>
        </is>
      </c>
    </row>
    <row r="412">
      <c r="A412" s="31" t="inlineStr">
        <is>
          <t>FLUT</t>
        </is>
      </c>
      <c r="B412" s="32" t="inlineStr">
        <is>
          <t>S&amp;P 100 / US</t>
        </is>
      </c>
    </row>
    <row r="413">
      <c r="A413" s="31" t="inlineStr">
        <is>
          <t>FMC</t>
        </is>
      </c>
      <c r="B413" s="32" t="inlineStr">
        <is>
          <t>S&amp;P 100 / US</t>
        </is>
      </c>
    </row>
    <row r="414">
      <c r="A414" s="31" t="inlineStr">
        <is>
          <t>FMS</t>
        </is>
      </c>
      <c r="B414" s="32" t="inlineStr">
        <is>
          <t>S&amp;P 100 / US</t>
        </is>
      </c>
    </row>
    <row r="415">
      <c r="A415" s="31" t="inlineStr">
        <is>
          <t>FN</t>
        </is>
      </c>
      <c r="B415" s="32" t="inlineStr">
        <is>
          <t>S&amp;P 100 / US</t>
        </is>
      </c>
    </row>
    <row r="416">
      <c r="A416" s="31" t="inlineStr">
        <is>
          <t>FNF</t>
        </is>
      </c>
      <c r="B416" s="32" t="inlineStr">
        <is>
          <t>S&amp;P 100 / US</t>
        </is>
      </c>
    </row>
    <row r="417">
      <c r="A417" s="31" t="inlineStr">
        <is>
          <t>FNV</t>
        </is>
      </c>
      <c r="B417" s="32" t="inlineStr">
        <is>
          <t>S&amp;P 100 / US</t>
        </is>
      </c>
    </row>
    <row r="418">
      <c r="A418" s="31" t="inlineStr">
        <is>
          <t>FOUR</t>
        </is>
      </c>
      <c r="B418" s="32" t="inlineStr">
        <is>
          <t>S&amp;P 100 / US</t>
        </is>
      </c>
    </row>
    <row r="419">
      <c r="A419" s="31" t="inlineStr">
        <is>
          <t>FOXA</t>
        </is>
      </c>
      <c r="B419" s="32" t="inlineStr">
        <is>
          <t>S&amp;P 100 / US</t>
        </is>
      </c>
    </row>
    <row r="420">
      <c r="A420" s="31" t="inlineStr">
        <is>
          <t>FRMI</t>
        </is>
      </c>
      <c r="B420" s="32" t="inlineStr">
        <is>
          <t>S&amp;P 100 / US</t>
        </is>
      </c>
    </row>
    <row r="421">
      <c r="A421" s="31" t="inlineStr">
        <is>
          <t>FRO</t>
        </is>
      </c>
      <c r="B421" s="32" t="inlineStr">
        <is>
          <t>S&amp;P 100 / US</t>
        </is>
      </c>
    </row>
    <row r="422">
      <c r="A422" s="31" t="inlineStr">
        <is>
          <t>FRPT</t>
        </is>
      </c>
      <c r="B422" s="32" t="inlineStr">
        <is>
          <t>S&amp;P 100 / US</t>
        </is>
      </c>
    </row>
    <row r="423">
      <c r="A423" s="31" t="inlineStr">
        <is>
          <t>FRSH</t>
        </is>
      </c>
      <c r="B423" s="32" t="inlineStr">
        <is>
          <t>S&amp;P 100 / US</t>
        </is>
      </c>
    </row>
    <row r="424">
      <c r="A424" s="31" t="inlineStr">
        <is>
          <t>FSLR</t>
        </is>
      </c>
      <c r="B424" s="32" t="inlineStr">
        <is>
          <t>S&amp;P 100 / US</t>
        </is>
      </c>
    </row>
    <row r="425">
      <c r="A425" s="31" t="inlineStr">
        <is>
          <t>FSS</t>
        </is>
      </c>
      <c r="B425" s="32" t="inlineStr">
        <is>
          <t>S&amp;P 100 / US</t>
        </is>
      </c>
    </row>
    <row r="426">
      <c r="A426" s="31" t="inlineStr">
        <is>
          <t>FTI</t>
        </is>
      </c>
      <c r="B426" s="32" t="inlineStr">
        <is>
          <t>S&amp;P 100 / US</t>
        </is>
      </c>
    </row>
    <row r="427">
      <c r="A427" s="31" t="inlineStr">
        <is>
          <t>FTNT</t>
        </is>
      </c>
      <c r="B427" s="32" t="inlineStr">
        <is>
          <t>S&amp;P 100 / US</t>
        </is>
      </c>
    </row>
    <row r="428">
      <c r="A428" s="31" t="inlineStr">
        <is>
          <t>FTS</t>
        </is>
      </c>
      <c r="B428" s="32" t="inlineStr">
        <is>
          <t>S&amp;P 100 / US</t>
        </is>
      </c>
    </row>
    <row r="429">
      <c r="A429" s="31" t="inlineStr">
        <is>
          <t>FTV</t>
        </is>
      </c>
      <c r="B429" s="32" t="inlineStr">
        <is>
          <t>S&amp;P 100 / US</t>
        </is>
      </c>
    </row>
    <row r="430">
      <c r="A430" s="31" t="inlineStr">
        <is>
          <t>FUBO</t>
        </is>
      </c>
      <c r="B430" s="32" t="inlineStr">
        <is>
          <t>S&amp;P 100 / US</t>
        </is>
      </c>
    </row>
    <row r="431">
      <c r="A431" s="31" t="inlineStr">
        <is>
          <t>FUTU</t>
        </is>
      </c>
      <c r="B431" s="32" t="inlineStr">
        <is>
          <t>S&amp;P 100 / US</t>
        </is>
      </c>
    </row>
    <row r="432">
      <c r="A432" s="31" t="inlineStr">
        <is>
          <t>FVRR</t>
        </is>
      </c>
      <c r="B432" s="32" t="inlineStr">
        <is>
          <t>S&amp;P 100 / US</t>
        </is>
      </c>
    </row>
    <row r="433">
      <c r="A433" s="31" t="inlineStr">
        <is>
          <t>FWONK</t>
        </is>
      </c>
      <c r="B433" s="32" t="inlineStr">
        <is>
          <t>S&amp;P 100 / US</t>
        </is>
      </c>
    </row>
    <row r="434">
      <c r="A434" s="31" t="inlineStr">
        <is>
          <t>G</t>
        </is>
      </c>
      <c r="B434" s="32" t="inlineStr">
        <is>
          <t>S&amp;P 100 / US</t>
        </is>
      </c>
    </row>
    <row r="435">
      <c r="A435" s="31" t="inlineStr">
        <is>
          <t>GAP</t>
        </is>
      </c>
      <c r="B435" s="32" t="inlineStr">
        <is>
          <t>S&amp;P 100 / US</t>
        </is>
      </c>
    </row>
    <row r="436">
      <c r="A436" s="31" t="inlineStr">
        <is>
          <t>GD</t>
        </is>
      </c>
      <c r="B436" s="32" t="inlineStr">
        <is>
          <t>S&amp;P 100 / US</t>
        </is>
      </c>
    </row>
    <row r="437">
      <c r="A437" s="31" t="inlineStr">
        <is>
          <t>GDDY</t>
        </is>
      </c>
      <c r="B437" s="32" t="inlineStr">
        <is>
          <t>S&amp;P 100 / US</t>
        </is>
      </c>
    </row>
    <row r="438">
      <c r="A438" s="31" t="inlineStr">
        <is>
          <t>GDS</t>
        </is>
      </c>
      <c r="B438" s="32" t="inlineStr">
        <is>
          <t>S&amp;P 100 / US</t>
        </is>
      </c>
    </row>
    <row r="439">
      <c r="A439" s="31" t="inlineStr">
        <is>
          <t>GE</t>
        </is>
      </c>
      <c r="B439" s="32" t="inlineStr">
        <is>
          <t>S&amp;P 100 / US</t>
        </is>
      </c>
    </row>
    <row r="440">
      <c r="A440" s="31" t="inlineStr">
        <is>
          <t>GEHC</t>
        </is>
      </c>
      <c r="B440" s="32" t="inlineStr">
        <is>
          <t>S&amp;P 100 / US</t>
        </is>
      </c>
    </row>
    <row r="441">
      <c r="A441" s="31" t="inlineStr">
        <is>
          <t>GEMI</t>
        </is>
      </c>
      <c r="B441" s="32" t="inlineStr">
        <is>
          <t>S&amp;P 100 / US</t>
        </is>
      </c>
    </row>
    <row r="442">
      <c r="A442" s="31" t="inlineStr">
        <is>
          <t>GEN</t>
        </is>
      </c>
      <c r="B442" s="32" t="inlineStr">
        <is>
          <t>S&amp;P 100 / US</t>
        </is>
      </c>
    </row>
    <row r="443">
      <c r="A443" s="31" t="inlineStr">
        <is>
          <t>GENI</t>
        </is>
      </c>
      <c r="B443" s="32" t="inlineStr">
        <is>
          <t>S&amp;P 100 / US</t>
        </is>
      </c>
    </row>
    <row r="444">
      <c r="A444" s="31" t="inlineStr">
        <is>
          <t>GEO</t>
        </is>
      </c>
      <c r="B444" s="32" t="inlineStr">
        <is>
          <t>S&amp;P 100 / US</t>
        </is>
      </c>
    </row>
    <row r="445">
      <c r="A445" s="31" t="inlineStr">
        <is>
          <t>GEV</t>
        </is>
      </c>
      <c r="B445" s="32" t="inlineStr">
        <is>
          <t>S&amp;P 100 / US</t>
        </is>
      </c>
    </row>
    <row r="446">
      <c r="A446" s="31" t="inlineStr">
        <is>
          <t>GFI</t>
        </is>
      </c>
      <c r="B446" s="32" t="inlineStr">
        <is>
          <t>S&amp;P 100 / US</t>
        </is>
      </c>
    </row>
    <row r="447">
      <c r="A447" s="31" t="inlineStr">
        <is>
          <t>GFL</t>
        </is>
      </c>
      <c r="B447" s="32" t="inlineStr">
        <is>
          <t>S&amp;P 100 / US</t>
        </is>
      </c>
    </row>
    <row r="448">
      <c r="A448" s="31" t="inlineStr">
        <is>
          <t>GFS</t>
        </is>
      </c>
      <c r="B448" s="32" t="inlineStr">
        <is>
          <t>S&amp;P 100 / US</t>
        </is>
      </c>
    </row>
    <row r="449">
      <c r="A449" s="31" t="inlineStr">
        <is>
          <t>GIB</t>
        </is>
      </c>
      <c r="B449" s="32" t="inlineStr">
        <is>
          <t>S&amp;P 100 / US</t>
        </is>
      </c>
    </row>
    <row r="450">
      <c r="A450" s="31" t="inlineStr">
        <is>
          <t>GIL</t>
        </is>
      </c>
      <c r="B450" s="32" t="inlineStr">
        <is>
          <t>S&amp;P 100 / US</t>
        </is>
      </c>
    </row>
    <row r="451">
      <c r="A451" s="31" t="inlineStr">
        <is>
          <t>GILD</t>
        </is>
      </c>
      <c r="B451" s="32" t="inlineStr">
        <is>
          <t>S&amp;P 100 / US</t>
        </is>
      </c>
    </row>
    <row r="452">
      <c r="A452" s="31" t="inlineStr">
        <is>
          <t>GIS</t>
        </is>
      </c>
      <c r="B452" s="32" t="inlineStr">
        <is>
          <t>S&amp;P 100 / US</t>
        </is>
      </c>
    </row>
    <row r="453">
      <c r="A453" s="31" t="inlineStr">
        <is>
          <t>GL</t>
        </is>
      </c>
      <c r="B453" s="32" t="inlineStr">
        <is>
          <t>S&amp;P 100 / US</t>
        </is>
      </c>
    </row>
    <row r="454">
      <c r="A454" s="31" t="inlineStr">
        <is>
          <t>GLBE</t>
        </is>
      </c>
      <c r="B454" s="32" t="inlineStr">
        <is>
          <t>S&amp;P 100 / US</t>
        </is>
      </c>
    </row>
    <row r="455">
      <c r="A455" s="31" t="inlineStr">
        <is>
          <t>GLNG</t>
        </is>
      </c>
      <c r="B455" s="32" t="inlineStr">
        <is>
          <t>S&amp;P 100 / US</t>
        </is>
      </c>
    </row>
    <row r="456">
      <c r="A456" s="31" t="inlineStr">
        <is>
          <t>GLOB</t>
        </is>
      </c>
      <c r="B456" s="32" t="inlineStr">
        <is>
          <t>S&amp;P 100 / US</t>
        </is>
      </c>
    </row>
    <row r="457">
      <c r="A457" s="31" t="inlineStr">
        <is>
          <t>GLOO</t>
        </is>
      </c>
      <c r="B457" s="32" t="inlineStr">
        <is>
          <t>S&amp;P 100 / US</t>
        </is>
      </c>
    </row>
    <row r="458">
      <c r="A458" s="31" t="inlineStr">
        <is>
          <t>GLPI</t>
        </is>
      </c>
      <c r="B458" s="32" t="inlineStr">
        <is>
          <t>S&amp;P 100 / US</t>
        </is>
      </c>
    </row>
    <row r="459">
      <c r="A459" s="31" t="inlineStr">
        <is>
          <t>GLW</t>
        </is>
      </c>
      <c r="B459" s="32" t="inlineStr">
        <is>
          <t>S&amp;P 100 / US</t>
        </is>
      </c>
    </row>
    <row r="460">
      <c r="A460" s="31" t="inlineStr">
        <is>
          <t>GM</t>
        </is>
      </c>
      <c r="B460" s="32" t="inlineStr">
        <is>
          <t>S&amp;P 100 / US</t>
        </is>
      </c>
    </row>
    <row r="461">
      <c r="A461" s="31" t="inlineStr">
        <is>
          <t>GMAB</t>
        </is>
      </c>
      <c r="B461" s="32" t="inlineStr">
        <is>
          <t>S&amp;P 100 / US</t>
        </is>
      </c>
    </row>
    <row r="462">
      <c r="A462" s="31" t="inlineStr">
        <is>
          <t>GME</t>
        </is>
      </c>
      <c r="B462" s="32" t="inlineStr">
        <is>
          <t>S&amp;P 100 / US</t>
        </is>
      </c>
    </row>
    <row r="463">
      <c r="A463" s="31" t="inlineStr">
        <is>
          <t>GOLF</t>
        </is>
      </c>
      <c r="B463" s="32" t="inlineStr">
        <is>
          <t>S&amp;P 100 / US</t>
        </is>
      </c>
    </row>
    <row r="464">
      <c r="A464" s="31" t="inlineStr">
        <is>
          <t>GOOGL</t>
        </is>
      </c>
      <c r="B464" s="32" t="inlineStr">
        <is>
          <t>S&amp;P 100 / US</t>
        </is>
      </c>
    </row>
    <row r="465">
      <c r="A465" s="31" t="inlineStr">
        <is>
          <t>GOOS</t>
        </is>
      </c>
      <c r="B465" s="32" t="inlineStr">
        <is>
          <t>S&amp;P 100 / US</t>
        </is>
      </c>
    </row>
    <row r="466">
      <c r="A466" s="31" t="inlineStr">
        <is>
          <t>GPC</t>
        </is>
      </c>
      <c r="B466" s="32" t="inlineStr">
        <is>
          <t>S&amp;P 100 / US</t>
        </is>
      </c>
    </row>
    <row r="467">
      <c r="A467" s="31" t="inlineStr">
        <is>
          <t>GPK</t>
        </is>
      </c>
      <c r="B467" s="32" t="inlineStr">
        <is>
          <t>S&amp;P 100 / US</t>
        </is>
      </c>
    </row>
    <row r="468">
      <c r="A468" s="31" t="inlineStr">
        <is>
          <t>GPN</t>
        </is>
      </c>
      <c r="B468" s="32" t="inlineStr">
        <is>
          <t>S&amp;P 100 / US</t>
        </is>
      </c>
    </row>
    <row r="469">
      <c r="A469" s="31" t="inlineStr">
        <is>
          <t>GPOR</t>
        </is>
      </c>
      <c r="B469" s="32" t="inlineStr">
        <is>
          <t>S&amp;P 100 / US</t>
        </is>
      </c>
    </row>
    <row r="470">
      <c r="A470" s="31" t="inlineStr">
        <is>
          <t>GRAB</t>
        </is>
      </c>
      <c r="B470" s="32" t="inlineStr">
        <is>
          <t>S&amp;P 100 / US</t>
        </is>
      </c>
    </row>
    <row r="471">
      <c r="A471" s="31" t="inlineStr">
        <is>
          <t>GRBK</t>
        </is>
      </c>
      <c r="B471" s="32" t="inlineStr">
        <is>
          <t>S&amp;P 100 / US</t>
        </is>
      </c>
    </row>
    <row r="472">
      <c r="A472" s="31" t="inlineStr">
        <is>
          <t>GRMN</t>
        </is>
      </c>
      <c r="B472" s="32" t="inlineStr">
        <is>
          <t>S&amp;P 100 / US</t>
        </is>
      </c>
    </row>
    <row r="473">
      <c r="A473" s="31" t="inlineStr">
        <is>
          <t>GRND</t>
        </is>
      </c>
      <c r="B473" s="32" t="inlineStr">
        <is>
          <t>S&amp;P 100 / US</t>
        </is>
      </c>
    </row>
    <row r="474">
      <c r="A474" s="31" t="inlineStr">
        <is>
          <t>GS</t>
        </is>
      </c>
      <c r="B474" s="32" t="inlineStr">
        <is>
          <t>S&amp;P 100 / US</t>
        </is>
      </c>
    </row>
    <row r="475">
      <c r="A475" s="31" t="inlineStr">
        <is>
          <t>GSHD</t>
        </is>
      </c>
      <c r="B475" s="32" t="inlineStr">
        <is>
          <t>S&amp;P 100 / US</t>
        </is>
      </c>
    </row>
    <row r="476">
      <c r="A476" s="31" t="inlineStr">
        <is>
          <t>GSK</t>
        </is>
      </c>
      <c r="B476" s="32" t="inlineStr">
        <is>
          <t>S&amp;P 100 / US</t>
        </is>
      </c>
    </row>
    <row r="477">
      <c r="A477" s="31" t="inlineStr">
        <is>
          <t>GT</t>
        </is>
      </c>
      <c r="B477" s="32" t="inlineStr">
        <is>
          <t>S&amp;P 100 / US</t>
        </is>
      </c>
    </row>
    <row r="478">
      <c r="A478" s="31" t="inlineStr">
        <is>
          <t>GTLB</t>
        </is>
      </c>
      <c r="B478" s="32" t="inlineStr">
        <is>
          <t>S&amp;P 100 / US</t>
        </is>
      </c>
    </row>
    <row r="479">
      <c r="A479" s="31" t="inlineStr">
        <is>
          <t>GTX</t>
        </is>
      </c>
      <c r="B479" s="32" t="inlineStr">
        <is>
          <t>S&amp;P 100 / US</t>
        </is>
      </c>
    </row>
    <row r="480">
      <c r="A480" s="31" t="inlineStr">
        <is>
          <t>GVA</t>
        </is>
      </c>
      <c r="B480" s="32" t="inlineStr">
        <is>
          <t>S&amp;P 100 / US</t>
        </is>
      </c>
    </row>
    <row r="481">
      <c r="A481" s="31" t="inlineStr">
        <is>
          <t>GWRE</t>
        </is>
      </c>
      <c r="B481" s="32" t="inlineStr">
        <is>
          <t>S&amp;P 100 / US</t>
        </is>
      </c>
    </row>
    <row r="482">
      <c r="A482" s="31" t="inlineStr">
        <is>
          <t>HAE</t>
        </is>
      </c>
      <c r="B482" s="32" t="inlineStr">
        <is>
          <t>S&amp;P 100 / US</t>
        </is>
      </c>
    </row>
    <row r="483">
      <c r="A483" s="31" t="inlineStr">
        <is>
          <t>HAL</t>
        </is>
      </c>
      <c r="B483" s="32" t="inlineStr">
        <is>
          <t>S&amp;P 100 / US</t>
        </is>
      </c>
    </row>
    <row r="484">
      <c r="A484" s="31" t="inlineStr">
        <is>
          <t>HALO</t>
        </is>
      </c>
      <c r="B484" s="32" t="inlineStr">
        <is>
          <t>S&amp;P 100 / US</t>
        </is>
      </c>
    </row>
    <row r="485">
      <c r="A485" s="31" t="inlineStr">
        <is>
          <t>HBAN</t>
        </is>
      </c>
      <c r="B485" s="32" t="inlineStr">
        <is>
          <t>S&amp;P 100 / US</t>
        </is>
      </c>
    </row>
    <row r="486">
      <c r="A486" s="31" t="inlineStr">
        <is>
          <t>HCA</t>
        </is>
      </c>
      <c r="B486" s="32" t="inlineStr">
        <is>
          <t>S&amp;P 100 / US</t>
        </is>
      </c>
    </row>
    <row r="487">
      <c r="A487" s="31" t="inlineStr">
        <is>
          <t>HCC</t>
        </is>
      </c>
      <c r="B487" s="32" t="inlineStr">
        <is>
          <t>S&amp;P 100 / US</t>
        </is>
      </c>
    </row>
    <row r="488">
      <c r="A488" s="31" t="inlineStr">
        <is>
          <t>HD</t>
        </is>
      </c>
      <c r="B488" s="32" t="inlineStr">
        <is>
          <t>S&amp;P 100 / US</t>
        </is>
      </c>
    </row>
    <row r="489">
      <c r="A489" s="31" t="inlineStr">
        <is>
          <t>HEINY</t>
        </is>
      </c>
      <c r="B489" s="32" t="inlineStr">
        <is>
          <t>S&amp;P 100 / US</t>
        </is>
      </c>
    </row>
    <row r="490">
      <c r="A490" s="31" t="inlineStr">
        <is>
          <t>HESM</t>
        </is>
      </c>
      <c r="B490" s="32" t="inlineStr">
        <is>
          <t>S&amp;P 100 / US</t>
        </is>
      </c>
    </row>
    <row r="491">
      <c r="A491" s="31" t="inlineStr">
        <is>
          <t>HHH</t>
        </is>
      </c>
      <c r="B491" s="32" t="inlineStr">
        <is>
          <t>S&amp;P 100 / US</t>
        </is>
      </c>
    </row>
    <row r="492">
      <c r="A492" s="31" t="inlineStr">
        <is>
          <t>HIG</t>
        </is>
      </c>
      <c r="B492" s="32" t="inlineStr">
        <is>
          <t>S&amp;P 100 / US</t>
        </is>
      </c>
    </row>
    <row r="493">
      <c r="A493" s="31" t="inlineStr">
        <is>
          <t>HII</t>
        </is>
      </c>
      <c r="B493" s="32" t="inlineStr">
        <is>
          <t>S&amp;P 100 / US</t>
        </is>
      </c>
    </row>
    <row r="494">
      <c r="A494" s="31" t="inlineStr">
        <is>
          <t>HIMS</t>
        </is>
      </c>
      <c r="B494" s="32" t="inlineStr">
        <is>
          <t>S&amp;P 100 / US</t>
        </is>
      </c>
    </row>
    <row r="495">
      <c r="A495" s="31" t="inlineStr">
        <is>
          <t>HL</t>
        </is>
      </c>
      <c r="B495" s="32" t="inlineStr">
        <is>
          <t>S&amp;P 100 / US</t>
        </is>
      </c>
    </row>
    <row r="496">
      <c r="A496" s="31" t="inlineStr">
        <is>
          <t>HLN</t>
        </is>
      </c>
      <c r="B496" s="32" t="inlineStr">
        <is>
          <t>S&amp;P 100 / US</t>
        </is>
      </c>
    </row>
    <row r="497">
      <c r="A497" s="31" t="inlineStr">
        <is>
          <t>HLT</t>
        </is>
      </c>
      <c r="B497" s="32" t="inlineStr">
        <is>
          <t>S&amp;P 100 / US</t>
        </is>
      </c>
    </row>
    <row r="498">
      <c r="A498" s="31" t="inlineStr">
        <is>
          <t>HMC</t>
        </is>
      </c>
      <c r="B498" s="32" t="inlineStr">
        <is>
          <t>S&amp;P 100 / US</t>
        </is>
      </c>
    </row>
    <row r="499">
      <c r="A499" s="31" t="inlineStr">
        <is>
          <t>HOMB</t>
        </is>
      </c>
      <c r="B499" s="32" t="inlineStr">
        <is>
          <t>S&amp;P 100 / US</t>
        </is>
      </c>
    </row>
    <row r="500">
      <c r="A500" s="31" t="inlineStr">
        <is>
          <t>HON</t>
        </is>
      </c>
      <c r="B500" s="32" t="inlineStr">
        <is>
          <t>S&amp;P 100 / US</t>
        </is>
      </c>
    </row>
    <row r="501">
      <c r="A501" s="31" t="inlineStr">
        <is>
          <t>HOOD</t>
        </is>
      </c>
      <c r="B501" s="32" t="inlineStr">
        <is>
          <t>S&amp;P 100 / US</t>
        </is>
      </c>
    </row>
    <row r="502">
      <c r="A502" s="31" t="inlineStr">
        <is>
          <t>HPE</t>
        </is>
      </c>
      <c r="B502" s="32" t="inlineStr">
        <is>
          <t>S&amp;P 100 / US</t>
        </is>
      </c>
    </row>
    <row r="503">
      <c r="A503" s="31" t="inlineStr">
        <is>
          <t>HPP</t>
        </is>
      </c>
      <c r="B503" s="32" t="inlineStr">
        <is>
          <t>S&amp;P 100 / US</t>
        </is>
      </c>
    </row>
    <row r="504">
      <c r="A504" s="31" t="inlineStr">
        <is>
          <t>HPQ</t>
        </is>
      </c>
      <c r="B504" s="32" t="inlineStr">
        <is>
          <t>S&amp;P 100 / US</t>
        </is>
      </c>
    </row>
    <row r="505">
      <c r="A505" s="31" t="inlineStr">
        <is>
          <t>HRB</t>
        </is>
      </c>
      <c r="B505" s="32" t="inlineStr">
        <is>
          <t>S&amp;P 100 / US</t>
        </is>
      </c>
    </row>
    <row r="506">
      <c r="A506" s="31" t="inlineStr">
        <is>
          <t>HRL</t>
        </is>
      </c>
      <c r="B506" s="32" t="inlineStr">
        <is>
          <t>S&amp;P 100 / US</t>
        </is>
      </c>
    </row>
    <row r="507">
      <c r="A507" s="31" t="inlineStr">
        <is>
          <t>HSAI</t>
        </is>
      </c>
      <c r="B507" s="32" t="inlineStr">
        <is>
          <t>S&amp;P 100 / US</t>
        </is>
      </c>
    </row>
    <row r="508">
      <c r="A508" s="31" t="inlineStr">
        <is>
          <t>HSBC</t>
        </is>
      </c>
      <c r="B508" s="32" t="inlineStr">
        <is>
          <t>International (ADR)</t>
        </is>
      </c>
    </row>
    <row r="509">
      <c r="A509" s="31" t="inlineStr">
        <is>
          <t>HST</t>
        </is>
      </c>
      <c r="B509" s="32" t="inlineStr">
        <is>
          <t>S&amp;P 100 / US</t>
        </is>
      </c>
    </row>
    <row r="510">
      <c r="A510" s="31" t="inlineStr">
        <is>
          <t>HSY</t>
        </is>
      </c>
      <c r="B510" s="32" t="inlineStr">
        <is>
          <t>S&amp;P 100 / US</t>
        </is>
      </c>
    </row>
    <row r="511">
      <c r="A511" s="31" t="inlineStr">
        <is>
          <t>HUBB</t>
        </is>
      </c>
      <c r="B511" s="32" t="inlineStr">
        <is>
          <t>S&amp;P 100 / US</t>
        </is>
      </c>
    </row>
    <row r="512">
      <c r="A512" s="31" t="inlineStr">
        <is>
          <t>HUBS</t>
        </is>
      </c>
      <c r="B512" s="32" t="inlineStr">
        <is>
          <t>S&amp;P 100 / US</t>
        </is>
      </c>
    </row>
    <row r="513">
      <c r="A513" s="31" t="inlineStr">
        <is>
          <t>HUM</t>
        </is>
      </c>
      <c r="B513" s="32" t="inlineStr">
        <is>
          <t>S&amp;P 100 / US</t>
        </is>
      </c>
    </row>
    <row r="514">
      <c r="A514" s="31" t="inlineStr">
        <is>
          <t>HUT</t>
        </is>
      </c>
      <c r="B514" s="32" t="inlineStr">
        <is>
          <t>S&amp;P 100 / US</t>
        </is>
      </c>
    </row>
    <row r="515">
      <c r="A515" s="31" t="inlineStr">
        <is>
          <t>HVRRY</t>
        </is>
      </c>
      <c r="B515" s="32" t="inlineStr">
        <is>
          <t>S&amp;P 100 / US</t>
        </is>
      </c>
    </row>
    <row r="516">
      <c r="A516" s="31" t="inlineStr">
        <is>
          <t>IBKR</t>
        </is>
      </c>
      <c r="B516" s="32" t="inlineStr">
        <is>
          <t>S&amp;P 100 / US</t>
        </is>
      </c>
    </row>
    <row r="517">
      <c r="A517" s="31" t="inlineStr">
        <is>
          <t>IBM</t>
        </is>
      </c>
      <c r="B517" s="32" t="inlineStr">
        <is>
          <t>S&amp;P 100 / US</t>
        </is>
      </c>
    </row>
    <row r="518">
      <c r="A518" s="31" t="inlineStr">
        <is>
          <t>ICE</t>
        </is>
      </c>
      <c r="B518" s="32" t="inlineStr">
        <is>
          <t>S&amp;P 100 / US</t>
        </is>
      </c>
    </row>
    <row r="519">
      <c r="A519" s="31" t="inlineStr">
        <is>
          <t>IDXX</t>
        </is>
      </c>
      <c r="B519" s="32" t="inlineStr">
        <is>
          <t>S&amp;P 100 / US</t>
        </is>
      </c>
    </row>
    <row r="520">
      <c r="A520" s="31" t="inlineStr">
        <is>
          <t>IESC</t>
        </is>
      </c>
      <c r="B520" s="32" t="inlineStr">
        <is>
          <t>S&amp;P 100 / US</t>
        </is>
      </c>
    </row>
    <row r="521">
      <c r="A521" s="31" t="inlineStr">
        <is>
          <t>IFF</t>
        </is>
      </c>
      <c r="B521" s="32" t="inlineStr">
        <is>
          <t>S&amp;P 100 / US</t>
        </is>
      </c>
    </row>
    <row r="522">
      <c r="A522" s="31" t="inlineStr">
        <is>
          <t>IFNNY</t>
        </is>
      </c>
      <c r="B522" s="32" t="inlineStr">
        <is>
          <t>S&amp;P 100 / US</t>
        </is>
      </c>
    </row>
    <row r="523">
      <c r="A523" s="31" t="inlineStr">
        <is>
          <t>IHG</t>
        </is>
      </c>
      <c r="B523" s="32" t="inlineStr">
        <is>
          <t>S&amp;P 100 / US</t>
        </is>
      </c>
    </row>
    <row r="524">
      <c r="A524" s="31" t="inlineStr">
        <is>
          <t>ILMN</t>
        </is>
      </c>
      <c r="B524" s="32" t="inlineStr">
        <is>
          <t>S&amp;P 100 / US</t>
        </is>
      </c>
    </row>
    <row r="525">
      <c r="A525" s="31" t="inlineStr">
        <is>
          <t>IMBBY</t>
        </is>
      </c>
      <c r="B525" s="32" t="inlineStr">
        <is>
          <t>S&amp;P 100 / US</t>
        </is>
      </c>
    </row>
    <row r="526">
      <c r="A526" s="31" t="inlineStr">
        <is>
          <t>INCY</t>
        </is>
      </c>
      <c r="B526" s="32" t="inlineStr">
        <is>
          <t>S&amp;P 100 / US</t>
        </is>
      </c>
    </row>
    <row r="527">
      <c r="A527" s="31" t="inlineStr">
        <is>
          <t>INDV</t>
        </is>
      </c>
      <c r="B527" s="32" t="inlineStr">
        <is>
          <t>S&amp;P 100 / US</t>
        </is>
      </c>
    </row>
    <row r="528">
      <c r="A528" s="31" t="inlineStr">
        <is>
          <t>INFY</t>
        </is>
      </c>
      <c r="B528" s="32" t="inlineStr">
        <is>
          <t>S&amp;P 100 / US</t>
        </is>
      </c>
    </row>
    <row r="529">
      <c r="A529" s="31" t="inlineStr">
        <is>
          <t>INGR</t>
        </is>
      </c>
      <c r="B529" s="32" t="inlineStr">
        <is>
          <t>S&amp;P 100 / US</t>
        </is>
      </c>
    </row>
    <row r="530">
      <c r="A530" s="31" t="inlineStr">
        <is>
          <t>INSM</t>
        </is>
      </c>
      <c r="B530" s="32" t="inlineStr">
        <is>
          <t>S&amp;P 100 / US</t>
        </is>
      </c>
    </row>
    <row r="531">
      <c r="A531" s="31" t="inlineStr">
        <is>
          <t>INTC</t>
        </is>
      </c>
      <c r="B531" s="32" t="inlineStr">
        <is>
          <t>S&amp;P 100 / US</t>
        </is>
      </c>
    </row>
    <row r="532">
      <c r="A532" s="31" t="inlineStr">
        <is>
          <t>INTU</t>
        </is>
      </c>
      <c r="B532" s="32" t="inlineStr">
        <is>
          <t>S&amp;P 100 / US</t>
        </is>
      </c>
    </row>
    <row r="533">
      <c r="A533" s="31" t="inlineStr">
        <is>
          <t>IONQ</t>
        </is>
      </c>
      <c r="B533" s="32" t="inlineStr">
        <is>
          <t>S&amp;P 100 / US</t>
        </is>
      </c>
    </row>
    <row r="534">
      <c r="A534" s="31" t="inlineStr">
        <is>
          <t>IONS</t>
        </is>
      </c>
      <c r="B534" s="32" t="inlineStr">
        <is>
          <t>S&amp;P 100 / US</t>
        </is>
      </c>
    </row>
    <row r="535">
      <c r="A535" s="31" t="inlineStr">
        <is>
          <t>IOT</t>
        </is>
      </c>
      <c r="B535" s="32" t="inlineStr">
        <is>
          <t>S&amp;P 100 / US</t>
        </is>
      </c>
    </row>
    <row r="536">
      <c r="A536" s="31" t="inlineStr">
        <is>
          <t>IP</t>
        </is>
      </c>
      <c r="B536" s="32" t="inlineStr">
        <is>
          <t>S&amp;P 100 / US</t>
        </is>
      </c>
    </row>
    <row r="537">
      <c r="A537" s="31" t="inlineStr">
        <is>
          <t>IRDM</t>
        </is>
      </c>
      <c r="B537" s="32" t="inlineStr">
        <is>
          <t>S&amp;P 100 / US</t>
        </is>
      </c>
    </row>
    <row r="538">
      <c r="A538" s="31" t="inlineStr">
        <is>
          <t>IREN</t>
        </is>
      </c>
      <c r="B538" s="32" t="inlineStr">
        <is>
          <t>S&amp;P 100 / US</t>
        </is>
      </c>
    </row>
    <row r="539">
      <c r="A539" s="31" t="inlineStr">
        <is>
          <t>IRM</t>
        </is>
      </c>
      <c r="B539" s="32" t="inlineStr">
        <is>
          <t>S&amp;P 100 / US</t>
        </is>
      </c>
    </row>
    <row r="540">
      <c r="A540" s="31" t="inlineStr">
        <is>
          <t>ISRG</t>
        </is>
      </c>
      <c r="B540" s="32" t="inlineStr">
        <is>
          <t>S&amp;P 100 / US</t>
        </is>
      </c>
    </row>
    <row r="541">
      <c r="A541" s="31" t="inlineStr">
        <is>
          <t>IT</t>
        </is>
      </c>
      <c r="B541" s="32" t="inlineStr">
        <is>
          <t>S&amp;P 100 / US</t>
        </is>
      </c>
    </row>
    <row r="542">
      <c r="A542" s="31" t="inlineStr">
        <is>
          <t>ITRI</t>
        </is>
      </c>
      <c r="B542" s="32" t="inlineStr">
        <is>
          <t>S&amp;P 100 / US</t>
        </is>
      </c>
    </row>
    <row r="543">
      <c r="A543" s="31" t="inlineStr">
        <is>
          <t>ITT</t>
        </is>
      </c>
      <c r="B543" s="32" t="inlineStr">
        <is>
          <t>S&amp;P 100 / US</t>
        </is>
      </c>
    </row>
    <row r="544">
      <c r="A544" s="31" t="inlineStr">
        <is>
          <t>ITUB</t>
        </is>
      </c>
      <c r="B544" s="32" t="inlineStr">
        <is>
          <t>S&amp;P 100 / US</t>
        </is>
      </c>
    </row>
    <row r="545">
      <c r="A545" s="31" t="inlineStr">
        <is>
          <t>ITW</t>
        </is>
      </c>
      <c r="B545" s="32" t="inlineStr">
        <is>
          <t>S&amp;P 100 / US</t>
        </is>
      </c>
    </row>
    <row r="546">
      <c r="A546" s="31" t="inlineStr">
        <is>
          <t>IVZ</t>
        </is>
      </c>
      <c r="B546" s="32" t="inlineStr">
        <is>
          <t>S&amp;P 100 / US</t>
        </is>
      </c>
    </row>
    <row r="547">
      <c r="A547" s="31" t="inlineStr">
        <is>
          <t>J</t>
        </is>
      </c>
      <c r="B547" s="32" t="inlineStr">
        <is>
          <t>S&amp;P 100 / US</t>
        </is>
      </c>
    </row>
    <row r="548">
      <c r="A548" s="31" t="inlineStr">
        <is>
          <t>JAZZ</t>
        </is>
      </c>
      <c r="B548" s="32" t="inlineStr">
        <is>
          <t>S&amp;P 100 / US</t>
        </is>
      </c>
    </row>
    <row r="549">
      <c r="A549" s="31" t="inlineStr">
        <is>
          <t>JBL</t>
        </is>
      </c>
      <c r="B549" s="32" t="inlineStr">
        <is>
          <t>S&amp;P 100 / US</t>
        </is>
      </c>
    </row>
    <row r="550">
      <c r="A550" s="31" t="inlineStr">
        <is>
          <t>JBLU</t>
        </is>
      </c>
      <c r="B550" s="32" t="inlineStr">
        <is>
          <t>S&amp;P 100 / US</t>
        </is>
      </c>
    </row>
    <row r="551">
      <c r="A551" s="31" t="inlineStr">
        <is>
          <t>JCI</t>
        </is>
      </c>
      <c r="B551" s="32" t="inlineStr">
        <is>
          <t>S&amp;P 100 / US</t>
        </is>
      </c>
    </row>
    <row r="552">
      <c r="A552" s="31" t="inlineStr">
        <is>
          <t>JD</t>
        </is>
      </c>
      <c r="B552" s="32" t="inlineStr">
        <is>
          <t>S&amp;P 100 / US</t>
        </is>
      </c>
    </row>
    <row r="553">
      <c r="A553" s="31" t="inlineStr">
        <is>
          <t>JKHY</t>
        </is>
      </c>
      <c r="B553" s="32" t="inlineStr">
        <is>
          <t>S&amp;P 100 / US</t>
        </is>
      </c>
    </row>
    <row r="554">
      <c r="A554" s="31" t="inlineStr">
        <is>
          <t>JLL</t>
        </is>
      </c>
      <c r="B554" s="32" t="inlineStr">
        <is>
          <t>S&amp;P 100 / US</t>
        </is>
      </c>
    </row>
    <row r="555">
      <c r="A555" s="31" t="inlineStr">
        <is>
          <t>JNJ</t>
        </is>
      </c>
      <c r="B555" s="32" t="inlineStr">
        <is>
          <t>S&amp;P 100 / US</t>
        </is>
      </c>
    </row>
    <row r="556">
      <c r="A556" s="31" t="inlineStr">
        <is>
          <t>JOBY</t>
        </is>
      </c>
      <c r="B556" s="32" t="inlineStr">
        <is>
          <t>S&amp;P 100 / US</t>
        </is>
      </c>
    </row>
    <row r="557">
      <c r="A557" s="31" t="inlineStr">
        <is>
          <t>JPM</t>
        </is>
      </c>
      <c r="B557" s="32" t="inlineStr">
        <is>
          <t>S&amp;P 100 / US</t>
        </is>
      </c>
    </row>
    <row r="558">
      <c r="A558" s="31" t="inlineStr">
        <is>
          <t>KBR</t>
        </is>
      </c>
      <c r="B558" s="32" t="inlineStr">
        <is>
          <t>S&amp;P 100 / US</t>
        </is>
      </c>
    </row>
    <row r="559">
      <c r="A559" s="31" t="inlineStr">
        <is>
          <t>KD</t>
        </is>
      </c>
      <c r="B559" s="32" t="inlineStr">
        <is>
          <t>S&amp;P 100 / US</t>
        </is>
      </c>
    </row>
    <row r="560">
      <c r="A560" s="31" t="inlineStr">
        <is>
          <t>KDDIY</t>
        </is>
      </c>
      <c r="B560" s="32" t="inlineStr">
        <is>
          <t>S&amp;P 100 / US</t>
        </is>
      </c>
    </row>
    <row r="561">
      <c r="A561" s="31" t="inlineStr">
        <is>
          <t>KDP</t>
        </is>
      </c>
      <c r="B561" s="32" t="inlineStr">
        <is>
          <t>S&amp;P 100 / US</t>
        </is>
      </c>
    </row>
    <row r="562">
      <c r="A562" s="31" t="inlineStr">
        <is>
          <t>KEY</t>
        </is>
      </c>
      <c r="B562" s="32" t="inlineStr">
        <is>
          <t>S&amp;P 100 / US</t>
        </is>
      </c>
    </row>
    <row r="563">
      <c r="A563" s="31" t="inlineStr">
        <is>
          <t>KEYS</t>
        </is>
      </c>
      <c r="B563" s="32" t="inlineStr">
        <is>
          <t>S&amp;P 100 / US</t>
        </is>
      </c>
    </row>
    <row r="564">
      <c r="A564" s="31" t="inlineStr">
        <is>
          <t>KGC</t>
        </is>
      </c>
      <c r="B564" s="32" t="inlineStr">
        <is>
          <t>S&amp;P 100 / US</t>
        </is>
      </c>
    </row>
    <row r="565">
      <c r="A565" s="31" t="inlineStr">
        <is>
          <t>KGS</t>
        </is>
      </c>
      <c r="B565" s="32" t="inlineStr">
        <is>
          <t>S&amp;P 100 / US</t>
        </is>
      </c>
    </row>
    <row r="566">
      <c r="A566" s="31" t="inlineStr">
        <is>
          <t>KHC</t>
        </is>
      </c>
      <c r="B566" s="32" t="inlineStr">
        <is>
          <t>S&amp;P 100 / US</t>
        </is>
      </c>
    </row>
    <row r="567">
      <c r="A567" s="31" t="inlineStr">
        <is>
          <t>KIM</t>
        </is>
      </c>
      <c r="B567" s="32" t="inlineStr">
        <is>
          <t>S&amp;P 100 / US</t>
        </is>
      </c>
    </row>
    <row r="568">
      <c r="A568" s="31" t="inlineStr">
        <is>
          <t>KKPNY</t>
        </is>
      </c>
      <c r="B568" s="32" t="inlineStr">
        <is>
          <t>S&amp;P 100 / US</t>
        </is>
      </c>
    </row>
    <row r="569">
      <c r="A569" s="31" t="inlineStr">
        <is>
          <t>KKR</t>
        </is>
      </c>
      <c r="B569" s="32" t="inlineStr">
        <is>
          <t>S&amp;P 100 / US</t>
        </is>
      </c>
    </row>
    <row r="570">
      <c r="A570" s="31" t="inlineStr">
        <is>
          <t>KLAC</t>
        </is>
      </c>
      <c r="B570" s="32" t="inlineStr">
        <is>
          <t>S&amp;P 100 / US</t>
        </is>
      </c>
    </row>
    <row r="571">
      <c r="A571" s="31" t="inlineStr">
        <is>
          <t>KLAR</t>
        </is>
      </c>
      <c r="B571" s="32" t="inlineStr">
        <is>
          <t>S&amp;P 100 / US</t>
        </is>
      </c>
    </row>
    <row r="572">
      <c r="A572" s="31" t="inlineStr">
        <is>
          <t>KMB</t>
        </is>
      </c>
      <c r="B572" s="32" t="inlineStr">
        <is>
          <t>S&amp;P 100 / US</t>
        </is>
      </c>
    </row>
    <row r="573">
      <c r="A573" s="31" t="inlineStr">
        <is>
          <t>KMI</t>
        </is>
      </c>
      <c r="B573" s="32" t="inlineStr">
        <is>
          <t>S&amp;P 100 / US</t>
        </is>
      </c>
    </row>
    <row r="574">
      <c r="A574" s="31" t="inlineStr">
        <is>
          <t>KMX</t>
        </is>
      </c>
      <c r="B574" s="32" t="inlineStr">
        <is>
          <t>S&amp;P 100 / US</t>
        </is>
      </c>
    </row>
    <row r="575">
      <c r="A575" s="31" t="inlineStr">
        <is>
          <t>KNTK</t>
        </is>
      </c>
      <c r="B575" s="32" t="inlineStr">
        <is>
          <t>S&amp;P 100 / US</t>
        </is>
      </c>
    </row>
    <row r="576">
      <c r="A576" s="31" t="inlineStr">
        <is>
          <t>KNX</t>
        </is>
      </c>
      <c r="B576" s="32" t="inlineStr">
        <is>
          <t>S&amp;P 100 / US</t>
        </is>
      </c>
    </row>
    <row r="577">
      <c r="A577" s="31" t="inlineStr">
        <is>
          <t>KO</t>
        </is>
      </c>
      <c r="B577" s="32" t="inlineStr">
        <is>
          <t>S&amp;P 100 / US</t>
        </is>
      </c>
    </row>
    <row r="578">
      <c r="A578" s="31" t="inlineStr">
        <is>
          <t>KOF</t>
        </is>
      </c>
      <c r="B578" s="32" t="inlineStr">
        <is>
          <t>S&amp;P 100 / US</t>
        </is>
      </c>
    </row>
    <row r="579">
      <c r="A579" s="31" t="inlineStr">
        <is>
          <t>KPRX</t>
        </is>
      </c>
      <c r="B579" s="32" t="inlineStr">
        <is>
          <t>S&amp;P 100 / US</t>
        </is>
      </c>
    </row>
    <row r="580">
      <c r="A580" s="31" t="inlineStr">
        <is>
          <t>KR</t>
        </is>
      </c>
      <c r="B580" s="32" t="inlineStr">
        <is>
          <t>S&amp;P 100 / US</t>
        </is>
      </c>
    </row>
    <row r="581">
      <c r="A581" s="31" t="inlineStr">
        <is>
          <t>KRC</t>
        </is>
      </c>
      <c r="B581" s="32" t="inlineStr">
        <is>
          <t>S&amp;P 100 / US</t>
        </is>
      </c>
    </row>
    <row r="582">
      <c r="A582" s="31" t="inlineStr">
        <is>
          <t>KRRO</t>
        </is>
      </c>
      <c r="B582" s="32" t="inlineStr">
        <is>
          <t>S&amp;P 100 / US</t>
        </is>
      </c>
    </row>
    <row r="583">
      <c r="A583" s="31" t="inlineStr">
        <is>
          <t>KSS</t>
        </is>
      </c>
      <c r="B583" s="32" t="inlineStr">
        <is>
          <t>S&amp;P 100 / US</t>
        </is>
      </c>
    </row>
    <row r="584">
      <c r="A584" s="31" t="inlineStr">
        <is>
          <t>KT</t>
        </is>
      </c>
      <c r="B584" s="32" t="inlineStr">
        <is>
          <t>S&amp;P 100 / US</t>
        </is>
      </c>
    </row>
    <row r="585">
      <c r="A585" s="31" t="inlineStr">
        <is>
          <t>KTB</t>
        </is>
      </c>
      <c r="B585" s="32" t="inlineStr">
        <is>
          <t>S&amp;P 100 / US</t>
        </is>
      </c>
    </row>
    <row r="586">
      <c r="A586" s="31" t="inlineStr">
        <is>
          <t>KTOS</t>
        </is>
      </c>
      <c r="B586" s="32" t="inlineStr">
        <is>
          <t>S&amp;P 100 / US</t>
        </is>
      </c>
    </row>
    <row r="587">
      <c r="A587" s="31" t="inlineStr">
        <is>
          <t>KVUE</t>
        </is>
      </c>
      <c r="B587" s="32" t="inlineStr">
        <is>
          <t>S&amp;P 100 / US</t>
        </is>
      </c>
    </row>
    <row r="588">
      <c r="A588" s="31" t="inlineStr">
        <is>
          <t>KVYO</t>
        </is>
      </c>
      <c r="B588" s="32" t="inlineStr">
        <is>
          <t>S&amp;P 100 / US</t>
        </is>
      </c>
    </row>
    <row r="589">
      <c r="A589" s="31" t="inlineStr">
        <is>
          <t>LAC</t>
        </is>
      </c>
      <c r="B589" s="32" t="inlineStr">
        <is>
          <t>S&amp;P 100 / US</t>
        </is>
      </c>
    </row>
    <row r="590">
      <c r="A590" s="31" t="inlineStr">
        <is>
          <t>LAD</t>
        </is>
      </c>
      <c r="B590" s="32" t="inlineStr">
        <is>
          <t>S&amp;P 100 / US</t>
        </is>
      </c>
    </row>
    <row r="591">
      <c r="A591" s="31" t="inlineStr">
        <is>
          <t>LAR</t>
        </is>
      </c>
      <c r="B591" s="32" t="inlineStr">
        <is>
          <t>S&amp;P 100 / US</t>
        </is>
      </c>
    </row>
    <row r="592">
      <c r="A592" s="31" t="inlineStr">
        <is>
          <t>LBTYA</t>
        </is>
      </c>
      <c r="B592" s="32" t="inlineStr">
        <is>
          <t>S&amp;P 100 / US</t>
        </is>
      </c>
    </row>
    <row r="593">
      <c r="A593" s="31" t="inlineStr">
        <is>
          <t>LCID</t>
        </is>
      </c>
      <c r="B593" s="32" t="inlineStr">
        <is>
          <t>S&amp;P 100 / US</t>
        </is>
      </c>
    </row>
    <row r="594">
      <c r="A594" s="31" t="inlineStr">
        <is>
          <t>LEA</t>
        </is>
      </c>
      <c r="B594" s="32" t="inlineStr">
        <is>
          <t>S&amp;P 100 / US</t>
        </is>
      </c>
    </row>
    <row r="595">
      <c r="A595" s="31" t="inlineStr">
        <is>
          <t>LEGN</t>
        </is>
      </c>
      <c r="B595" s="32" t="inlineStr">
        <is>
          <t>S&amp;P 100 / US</t>
        </is>
      </c>
    </row>
    <row r="596">
      <c r="A596" s="31" t="inlineStr">
        <is>
          <t>LEN</t>
        </is>
      </c>
      <c r="B596" s="32" t="inlineStr">
        <is>
          <t>S&amp;P 100 / US</t>
        </is>
      </c>
    </row>
    <row r="597">
      <c r="A597" s="31" t="inlineStr">
        <is>
          <t>LEU</t>
        </is>
      </c>
      <c r="B597" s="32" t="inlineStr">
        <is>
          <t>S&amp;P 100 / US</t>
        </is>
      </c>
    </row>
    <row r="598">
      <c r="A598" s="31" t="inlineStr">
        <is>
          <t>LEVI</t>
        </is>
      </c>
      <c r="B598" s="32" t="inlineStr">
        <is>
          <t>S&amp;P 100 / US</t>
        </is>
      </c>
    </row>
    <row r="599">
      <c r="A599" s="31" t="inlineStr">
        <is>
          <t>LFST</t>
        </is>
      </c>
      <c r="B599" s="32" t="inlineStr">
        <is>
          <t>S&amp;P 100 / US</t>
        </is>
      </c>
    </row>
    <row r="600">
      <c r="A600" s="31" t="inlineStr">
        <is>
          <t>LFTO</t>
        </is>
      </c>
      <c r="B600" s="32" t="inlineStr">
        <is>
          <t>S&amp;P 100 / US</t>
        </is>
      </c>
    </row>
    <row r="601">
      <c r="A601" s="31" t="inlineStr">
        <is>
          <t>LFUS</t>
        </is>
      </c>
      <c r="B601" s="32" t="inlineStr">
        <is>
          <t>S&amp;P 100 / US</t>
        </is>
      </c>
    </row>
    <row r="602">
      <c r="A602" s="31" t="inlineStr">
        <is>
          <t>LH</t>
        </is>
      </c>
      <c r="B602" s="32" t="inlineStr">
        <is>
          <t>S&amp;P 100 / US</t>
        </is>
      </c>
    </row>
    <row r="603">
      <c r="A603" s="31" t="inlineStr">
        <is>
          <t>LHX</t>
        </is>
      </c>
      <c r="B603" s="32" t="inlineStr">
        <is>
          <t>S&amp;P 100 / US</t>
        </is>
      </c>
    </row>
    <row r="604">
      <c r="A604" s="31" t="inlineStr">
        <is>
          <t>LI</t>
        </is>
      </c>
      <c r="B604" s="32" t="inlineStr">
        <is>
          <t>S&amp;P 100 / US</t>
        </is>
      </c>
    </row>
    <row r="605">
      <c r="A605" s="31" t="inlineStr">
        <is>
          <t>LIF</t>
        </is>
      </c>
      <c r="B605" s="32" t="inlineStr">
        <is>
          <t>S&amp;P 100 / US</t>
        </is>
      </c>
    </row>
    <row r="606">
      <c r="A606" s="31" t="inlineStr">
        <is>
          <t>LIFE</t>
        </is>
      </c>
      <c r="B606" s="32" t="inlineStr">
        <is>
          <t>S&amp;P 100 / US</t>
        </is>
      </c>
    </row>
    <row r="607">
      <c r="A607" s="31" t="inlineStr">
        <is>
          <t>LIME</t>
        </is>
      </c>
      <c r="B607" s="32" t="inlineStr">
        <is>
          <t>S&amp;P 100 / US</t>
        </is>
      </c>
    </row>
    <row r="608">
      <c r="A608" s="31" t="inlineStr">
        <is>
          <t>LIN</t>
        </is>
      </c>
      <c r="B608" s="32" t="inlineStr">
        <is>
          <t>S&amp;P 100 / US</t>
        </is>
      </c>
    </row>
    <row r="609">
      <c r="A609" s="31" t="inlineStr">
        <is>
          <t>LITE</t>
        </is>
      </c>
      <c r="B609" s="32" t="inlineStr">
        <is>
          <t>S&amp;P 100 / US</t>
        </is>
      </c>
    </row>
    <row r="610">
      <c r="A610" s="31" t="inlineStr">
        <is>
          <t>LKNCY</t>
        </is>
      </c>
      <c r="B610" s="32" t="inlineStr">
        <is>
          <t>S&amp;P 100 / US</t>
        </is>
      </c>
    </row>
    <row r="611">
      <c r="A611" s="31" t="inlineStr">
        <is>
          <t>LLY</t>
        </is>
      </c>
      <c r="B611" s="32" t="inlineStr">
        <is>
          <t>S&amp;P 100 / US</t>
        </is>
      </c>
    </row>
    <row r="612">
      <c r="A612" s="31" t="inlineStr">
        <is>
          <t>LMND</t>
        </is>
      </c>
      <c r="B612" s="32" t="inlineStr">
        <is>
          <t>S&amp;P 100 / US</t>
        </is>
      </c>
    </row>
    <row r="613">
      <c r="A613" s="31" t="inlineStr">
        <is>
          <t>LMT</t>
        </is>
      </c>
      <c r="B613" s="32" t="inlineStr">
        <is>
          <t>S&amp;P 100 / US</t>
        </is>
      </c>
    </row>
    <row r="614">
      <c r="A614" s="31" t="inlineStr">
        <is>
          <t>LNW</t>
        </is>
      </c>
      <c r="B614" s="32" t="inlineStr">
        <is>
          <t>S&amp;P 100 / US</t>
        </is>
      </c>
    </row>
    <row r="615">
      <c r="A615" s="31" t="inlineStr">
        <is>
          <t>LOGI</t>
        </is>
      </c>
      <c r="B615" s="32" t="inlineStr">
        <is>
          <t>S&amp;P 100 / US</t>
        </is>
      </c>
    </row>
    <row r="616">
      <c r="A616" s="31" t="inlineStr">
        <is>
          <t>LOPE</t>
        </is>
      </c>
      <c r="B616" s="32" t="inlineStr">
        <is>
          <t>S&amp;P 100 / US</t>
        </is>
      </c>
    </row>
    <row r="617">
      <c r="A617" s="31" t="inlineStr">
        <is>
          <t>LOW</t>
        </is>
      </c>
      <c r="B617" s="32" t="inlineStr">
        <is>
          <t>S&amp;P 100 / US</t>
        </is>
      </c>
    </row>
    <row r="618">
      <c r="A618" s="31" t="inlineStr">
        <is>
          <t>LPLA</t>
        </is>
      </c>
      <c r="B618" s="32" t="inlineStr">
        <is>
          <t>S&amp;P 100 / US</t>
        </is>
      </c>
    </row>
    <row r="619">
      <c r="A619" s="31" t="inlineStr">
        <is>
          <t>LPX</t>
        </is>
      </c>
      <c r="B619" s="32" t="inlineStr">
        <is>
          <t>S&amp;P 100 / US</t>
        </is>
      </c>
    </row>
    <row r="620">
      <c r="A620" s="31" t="inlineStr">
        <is>
          <t>LRCX</t>
        </is>
      </c>
      <c r="B620" s="32" t="inlineStr">
        <is>
          <t>S&amp;P 100 / US</t>
        </is>
      </c>
    </row>
    <row r="621">
      <c r="A621" s="31" t="inlineStr">
        <is>
          <t>LRN</t>
        </is>
      </c>
      <c r="B621" s="32" t="inlineStr">
        <is>
          <t>S&amp;P 100 / US</t>
        </is>
      </c>
    </row>
    <row r="622">
      <c r="A622" s="31" t="inlineStr">
        <is>
          <t>LSCC</t>
        </is>
      </c>
      <c r="B622" s="32" t="inlineStr">
        <is>
          <t>S&amp;P 100 / US</t>
        </is>
      </c>
    </row>
    <row r="623">
      <c r="A623" s="31" t="inlineStr">
        <is>
          <t>LTM</t>
        </is>
      </c>
      <c r="B623" s="32" t="inlineStr">
        <is>
          <t>S&amp;P 100 / US</t>
        </is>
      </c>
    </row>
    <row r="624">
      <c r="A624" s="31" t="inlineStr">
        <is>
          <t>LULU</t>
        </is>
      </c>
      <c r="B624" s="32" t="inlineStr">
        <is>
          <t>S&amp;P 100 / US</t>
        </is>
      </c>
    </row>
    <row r="625">
      <c r="A625" s="31" t="inlineStr">
        <is>
          <t>LUNR</t>
        </is>
      </c>
      <c r="B625" s="32" t="inlineStr">
        <is>
          <t>S&amp;P 100 / US</t>
        </is>
      </c>
    </row>
    <row r="626">
      <c r="A626" s="31" t="inlineStr">
        <is>
          <t>LUV</t>
        </is>
      </c>
      <c r="B626" s="32" t="inlineStr">
        <is>
          <t>S&amp;P 100 / US</t>
        </is>
      </c>
    </row>
    <row r="627">
      <c r="A627" s="31" t="inlineStr">
        <is>
          <t>LVMUY</t>
        </is>
      </c>
      <c r="B627" s="32" t="inlineStr">
        <is>
          <t>International (ADR)</t>
        </is>
      </c>
    </row>
    <row r="628">
      <c r="A628" s="31" t="inlineStr">
        <is>
          <t>LVS</t>
        </is>
      </c>
      <c r="B628" s="32" t="inlineStr">
        <is>
          <t>S&amp;P 100 / US</t>
        </is>
      </c>
    </row>
    <row r="629">
      <c r="A629" s="31" t="inlineStr">
        <is>
          <t>LW</t>
        </is>
      </c>
      <c r="B629" s="32" t="inlineStr">
        <is>
          <t>S&amp;P 100 / US</t>
        </is>
      </c>
    </row>
    <row r="630">
      <c r="A630" s="31" t="inlineStr">
        <is>
          <t>LYB</t>
        </is>
      </c>
      <c r="B630" s="32" t="inlineStr">
        <is>
          <t>S&amp;P 100 / US</t>
        </is>
      </c>
    </row>
    <row r="631">
      <c r="A631" s="31" t="inlineStr">
        <is>
          <t>LYFT</t>
        </is>
      </c>
      <c r="B631" s="32" t="inlineStr">
        <is>
          <t>S&amp;P 100 / US</t>
        </is>
      </c>
    </row>
    <row r="632">
      <c r="A632" s="31" t="inlineStr">
        <is>
          <t>LYG</t>
        </is>
      </c>
      <c r="B632" s="32" t="inlineStr">
        <is>
          <t>S&amp;P 100 / US</t>
        </is>
      </c>
    </row>
    <row r="633">
      <c r="A633" s="31" t="inlineStr">
        <is>
          <t>LYV</t>
        </is>
      </c>
      <c r="B633" s="32" t="inlineStr">
        <is>
          <t>S&amp;P 100 / US</t>
        </is>
      </c>
    </row>
    <row r="634">
      <c r="A634" s="31" t="inlineStr">
        <is>
          <t>M</t>
        </is>
      </c>
      <c r="B634" s="32" t="inlineStr">
        <is>
          <t>S&amp;P 100 / US</t>
        </is>
      </c>
    </row>
    <row r="635">
      <c r="A635" s="31" t="inlineStr">
        <is>
          <t>MA</t>
        </is>
      </c>
      <c r="B635" s="32" t="inlineStr">
        <is>
          <t>S&amp;P 100 / US</t>
        </is>
      </c>
    </row>
    <row r="636">
      <c r="A636" s="31" t="inlineStr">
        <is>
          <t>MANH</t>
        </is>
      </c>
      <c r="B636" s="32" t="inlineStr">
        <is>
          <t>S&amp;P 100 / US</t>
        </is>
      </c>
    </row>
    <row r="637">
      <c r="A637" s="31" t="inlineStr">
        <is>
          <t>MAR</t>
        </is>
      </c>
      <c r="B637" s="32" t="inlineStr">
        <is>
          <t>S&amp;P 100 / US</t>
        </is>
      </c>
    </row>
    <row r="638">
      <c r="A638" s="31" t="inlineStr">
        <is>
          <t>MARA</t>
        </is>
      </c>
      <c r="B638" s="32" t="inlineStr">
        <is>
          <t>S&amp;P 100 / US</t>
        </is>
      </c>
    </row>
    <row r="639">
      <c r="A639" s="31" t="inlineStr">
        <is>
          <t>MBLY</t>
        </is>
      </c>
      <c r="B639" s="32" t="inlineStr">
        <is>
          <t>S&amp;P 100 / US</t>
        </is>
      </c>
    </row>
    <row r="640">
      <c r="A640" s="31" t="inlineStr">
        <is>
          <t>MCD</t>
        </is>
      </c>
      <c r="B640" s="32" t="inlineStr">
        <is>
          <t>S&amp;P 100 / US</t>
        </is>
      </c>
    </row>
    <row r="641">
      <c r="A641" s="31" t="inlineStr">
        <is>
          <t>MCHP</t>
        </is>
      </c>
      <c r="B641" s="32" t="inlineStr">
        <is>
          <t>S&amp;P 100 / US</t>
        </is>
      </c>
    </row>
    <row r="642">
      <c r="A642" s="31" t="inlineStr">
        <is>
          <t>MCO</t>
        </is>
      </c>
      <c r="B642" s="32" t="inlineStr">
        <is>
          <t>S&amp;P 100 / US</t>
        </is>
      </c>
    </row>
    <row r="643">
      <c r="A643" s="31" t="inlineStr">
        <is>
          <t>MDB</t>
        </is>
      </c>
      <c r="B643" s="32" t="inlineStr">
        <is>
          <t>S&amp;P 100 / US</t>
        </is>
      </c>
    </row>
    <row r="644">
      <c r="A644" s="31" t="inlineStr">
        <is>
          <t>MDGL</t>
        </is>
      </c>
      <c r="B644" s="32" t="inlineStr">
        <is>
          <t>S&amp;P 100 / US</t>
        </is>
      </c>
    </row>
    <row r="645">
      <c r="A645" s="31" t="inlineStr">
        <is>
          <t>MDLN</t>
        </is>
      </c>
      <c r="B645" s="32" t="inlineStr">
        <is>
          <t>S&amp;P 100 / US</t>
        </is>
      </c>
    </row>
    <row r="646">
      <c r="A646" s="31" t="inlineStr">
        <is>
          <t>MDLZ</t>
        </is>
      </c>
      <c r="B646" s="32" t="inlineStr">
        <is>
          <t>S&amp;P 100 / US</t>
        </is>
      </c>
    </row>
    <row r="647">
      <c r="A647" s="31" t="inlineStr">
        <is>
          <t>MDT</t>
        </is>
      </c>
      <c r="B647" s="32" t="inlineStr">
        <is>
          <t>S&amp;P 100 / US</t>
        </is>
      </c>
    </row>
    <row r="648">
      <c r="A648" s="31" t="inlineStr">
        <is>
          <t>MELI</t>
        </is>
      </c>
      <c r="B648" s="32" t="inlineStr">
        <is>
          <t>S&amp;P 100 / US</t>
        </is>
      </c>
    </row>
    <row r="649">
      <c r="A649" s="31" t="inlineStr">
        <is>
          <t>MET</t>
        </is>
      </c>
      <c r="B649" s="32" t="inlineStr">
        <is>
          <t>S&amp;P 100 / US</t>
        </is>
      </c>
    </row>
    <row r="650">
      <c r="A650" s="31" t="inlineStr">
        <is>
          <t>META</t>
        </is>
      </c>
      <c r="B650" s="32" t="inlineStr">
        <is>
          <t>S&amp;P 100 / US</t>
        </is>
      </c>
    </row>
    <row r="651">
      <c r="A651" s="31" t="inlineStr">
        <is>
          <t>MFC</t>
        </is>
      </c>
      <c r="B651" s="32" t="inlineStr">
        <is>
          <t>S&amp;P 100 / US</t>
        </is>
      </c>
    </row>
    <row r="652">
      <c r="A652" s="31" t="inlineStr">
        <is>
          <t>MFG</t>
        </is>
      </c>
      <c r="B652" s="32" t="inlineStr">
        <is>
          <t>S&amp;P 100 / US</t>
        </is>
      </c>
    </row>
    <row r="653">
      <c r="A653" s="31" t="inlineStr">
        <is>
          <t>MGM</t>
        </is>
      </c>
      <c r="B653" s="32" t="inlineStr">
        <is>
          <t>S&amp;P 100 / US</t>
        </is>
      </c>
    </row>
    <row r="654">
      <c r="A654" s="31" t="inlineStr">
        <is>
          <t>MGY</t>
        </is>
      </c>
      <c r="B654" s="32" t="inlineStr">
        <is>
          <t>S&amp;P 100 / US</t>
        </is>
      </c>
    </row>
    <row r="655">
      <c r="A655" s="31" t="inlineStr">
        <is>
          <t>MIR</t>
        </is>
      </c>
      <c r="B655" s="32" t="inlineStr">
        <is>
          <t>S&amp;P 100 / US</t>
        </is>
      </c>
    </row>
    <row r="656">
      <c r="A656" s="31" t="inlineStr">
        <is>
          <t>MKC</t>
        </is>
      </c>
      <c r="B656" s="32" t="inlineStr">
        <is>
          <t>S&amp;P 100 / US</t>
        </is>
      </c>
    </row>
    <row r="657">
      <c r="A657" s="31" t="inlineStr">
        <is>
          <t>MKKGY</t>
        </is>
      </c>
      <c r="B657" s="32" t="inlineStr">
        <is>
          <t>S&amp;P 100 / US</t>
        </is>
      </c>
    </row>
    <row r="658">
      <c r="A658" s="31" t="inlineStr">
        <is>
          <t>MKL</t>
        </is>
      </c>
      <c r="B658" s="32" t="inlineStr">
        <is>
          <t>S&amp;P 100 / US</t>
        </is>
      </c>
    </row>
    <row r="659">
      <c r="A659" s="31" t="inlineStr">
        <is>
          <t>MKSI</t>
        </is>
      </c>
      <c r="B659" s="32" t="inlineStr">
        <is>
          <t>S&amp;P 100 / US</t>
        </is>
      </c>
    </row>
    <row r="660">
      <c r="A660" s="31" t="inlineStr">
        <is>
          <t>MKTX</t>
        </is>
      </c>
      <c r="B660" s="32" t="inlineStr">
        <is>
          <t>S&amp;P 100 / US</t>
        </is>
      </c>
    </row>
    <row r="661">
      <c r="A661" s="31" t="inlineStr">
        <is>
          <t>MMM</t>
        </is>
      </c>
      <c r="B661" s="32" t="inlineStr">
        <is>
          <t>S&amp;P 100 / US</t>
        </is>
      </c>
    </row>
    <row r="662">
      <c r="A662" s="31" t="inlineStr">
        <is>
          <t>MMYT</t>
        </is>
      </c>
      <c r="B662" s="32" t="inlineStr">
        <is>
          <t>S&amp;P 100 / US</t>
        </is>
      </c>
    </row>
    <row r="663">
      <c r="A663" s="31" t="inlineStr">
        <is>
          <t>MNDY</t>
        </is>
      </c>
      <c r="B663" s="32" t="inlineStr">
        <is>
          <t>S&amp;P 100 / US</t>
        </is>
      </c>
    </row>
    <row r="664">
      <c r="A664" s="31" t="inlineStr">
        <is>
          <t>MNST</t>
        </is>
      </c>
      <c r="B664" s="32" t="inlineStr">
        <is>
          <t>S&amp;P 100 / US</t>
        </is>
      </c>
    </row>
    <row r="665">
      <c r="A665" s="31" t="inlineStr">
        <is>
          <t>MO</t>
        </is>
      </c>
      <c r="B665" s="32" t="inlineStr">
        <is>
          <t>S&amp;P 100 / US</t>
        </is>
      </c>
    </row>
    <row r="666">
      <c r="A666" s="31" t="inlineStr">
        <is>
          <t>MOH</t>
        </is>
      </c>
      <c r="B666" s="32" t="inlineStr">
        <is>
          <t>S&amp;P 100 / US</t>
        </is>
      </c>
    </row>
    <row r="667">
      <c r="A667" s="31" t="inlineStr">
        <is>
          <t>MORN</t>
        </is>
      </c>
      <c r="B667" s="32" t="inlineStr">
        <is>
          <t>S&amp;P 100 / US</t>
        </is>
      </c>
    </row>
    <row r="668">
      <c r="A668" s="31" t="inlineStr">
        <is>
          <t>MOS</t>
        </is>
      </c>
      <c r="B668" s="32" t="inlineStr">
        <is>
          <t>S&amp;P 100 / US</t>
        </is>
      </c>
    </row>
    <row r="669">
      <c r="A669" s="31" t="inlineStr">
        <is>
          <t>MP</t>
        </is>
      </c>
      <c r="B669" s="32" t="inlineStr">
        <is>
          <t>S&amp;P 100 / US</t>
        </is>
      </c>
    </row>
    <row r="670">
      <c r="A670" s="31" t="inlineStr">
        <is>
          <t>MPC</t>
        </is>
      </c>
      <c r="B670" s="32" t="inlineStr">
        <is>
          <t>S&amp;P 100 / US</t>
        </is>
      </c>
    </row>
    <row r="671">
      <c r="A671" s="31" t="inlineStr">
        <is>
          <t>MPLX</t>
        </is>
      </c>
      <c r="B671" s="32" t="inlineStr">
        <is>
          <t>S&amp;P 100 / US</t>
        </is>
      </c>
    </row>
    <row r="672">
      <c r="A672" s="31" t="inlineStr">
        <is>
          <t>MPWR</t>
        </is>
      </c>
      <c r="B672" s="32" t="inlineStr">
        <is>
          <t>S&amp;P 100 / US</t>
        </is>
      </c>
    </row>
    <row r="673">
      <c r="A673" s="31" t="inlineStr">
        <is>
          <t>MRK</t>
        </is>
      </c>
      <c r="B673" s="32" t="inlineStr">
        <is>
          <t>S&amp;P 100 / US</t>
        </is>
      </c>
    </row>
    <row r="674">
      <c r="A674" s="31" t="inlineStr">
        <is>
          <t>MRNA</t>
        </is>
      </c>
      <c r="B674" s="32" t="inlineStr">
        <is>
          <t>S&amp;P 100 / US</t>
        </is>
      </c>
    </row>
    <row r="675">
      <c r="A675" s="31" t="inlineStr">
        <is>
          <t>MRVL</t>
        </is>
      </c>
      <c r="B675" s="32" t="inlineStr">
        <is>
          <t>S&amp;P 100 / US</t>
        </is>
      </c>
    </row>
    <row r="676">
      <c r="A676" s="31" t="inlineStr">
        <is>
          <t>MS</t>
        </is>
      </c>
      <c r="B676" s="32" t="inlineStr">
        <is>
          <t>S&amp;P 100 / US</t>
        </is>
      </c>
    </row>
    <row r="677">
      <c r="A677" s="31" t="inlineStr">
        <is>
          <t>MSA</t>
        </is>
      </c>
      <c r="B677" s="32" t="inlineStr">
        <is>
          <t>S&amp;P 100 / US</t>
        </is>
      </c>
    </row>
    <row r="678">
      <c r="A678" s="31" t="inlineStr">
        <is>
          <t>MSCI</t>
        </is>
      </c>
      <c r="B678" s="32" t="inlineStr">
        <is>
          <t>S&amp;P 100 / US</t>
        </is>
      </c>
    </row>
    <row r="679">
      <c r="A679" s="31" t="inlineStr">
        <is>
          <t>MSFT</t>
        </is>
      </c>
      <c r="B679" s="32" t="inlineStr">
        <is>
          <t>S&amp;P 100 / US</t>
        </is>
      </c>
    </row>
    <row r="680">
      <c r="A680" s="31" t="inlineStr">
        <is>
          <t>MSGS</t>
        </is>
      </c>
      <c r="B680" s="32" t="inlineStr">
        <is>
          <t>S&amp;P 100 / US</t>
        </is>
      </c>
    </row>
    <row r="681">
      <c r="A681" s="31" t="inlineStr">
        <is>
          <t>MSI</t>
        </is>
      </c>
      <c r="B681" s="32" t="inlineStr">
        <is>
          <t>S&amp;P 100 / US</t>
        </is>
      </c>
    </row>
    <row r="682">
      <c r="A682" s="31" t="inlineStr">
        <is>
          <t>MSTR</t>
        </is>
      </c>
      <c r="B682" s="32" t="inlineStr">
        <is>
          <t>S&amp;P 100 / US</t>
        </is>
      </c>
    </row>
    <row r="683">
      <c r="A683" s="31" t="inlineStr">
        <is>
          <t>MTCH</t>
        </is>
      </c>
      <c r="B683" s="32" t="inlineStr">
        <is>
          <t>S&amp;P 100 / US</t>
        </is>
      </c>
    </row>
    <row r="684">
      <c r="A684" s="31" t="inlineStr">
        <is>
          <t>MTD</t>
        </is>
      </c>
      <c r="B684" s="32" t="inlineStr">
        <is>
          <t>S&amp;P 100 / US</t>
        </is>
      </c>
    </row>
    <row r="685">
      <c r="A685" s="31" t="inlineStr">
        <is>
          <t>MTDR</t>
        </is>
      </c>
      <c r="B685" s="32" t="inlineStr">
        <is>
          <t>S&amp;P 100 / US</t>
        </is>
      </c>
    </row>
    <row r="686">
      <c r="A686" s="31" t="inlineStr">
        <is>
          <t>MTSI</t>
        </is>
      </c>
      <c r="B686" s="32" t="inlineStr">
        <is>
          <t>S&amp;P 100 / US</t>
        </is>
      </c>
    </row>
    <row r="687">
      <c r="A687" s="31" t="inlineStr">
        <is>
          <t>MTZ</t>
        </is>
      </c>
      <c r="B687" s="32" t="inlineStr">
        <is>
          <t>S&amp;P 100 / US</t>
        </is>
      </c>
    </row>
    <row r="688">
      <c r="A688" s="31" t="inlineStr">
        <is>
          <t>MU</t>
        </is>
      </c>
      <c r="B688" s="32" t="inlineStr">
        <is>
          <t>S&amp;P 100 / US</t>
        </is>
      </c>
    </row>
    <row r="689">
      <c r="A689" s="31" t="inlineStr">
        <is>
          <t>MUR</t>
        </is>
      </c>
      <c r="B689" s="32" t="inlineStr">
        <is>
          <t>S&amp;P 100 / US</t>
        </is>
      </c>
    </row>
    <row r="690">
      <c r="A690" s="31" t="inlineStr">
        <is>
          <t>MURGY</t>
        </is>
      </c>
      <c r="B690" s="32" t="inlineStr">
        <is>
          <t>S&amp;P 100 / US</t>
        </is>
      </c>
    </row>
    <row r="691">
      <c r="A691" s="31" t="inlineStr">
        <is>
          <t>MUSA</t>
        </is>
      </c>
      <c r="B691" s="32" t="inlineStr">
        <is>
          <t>S&amp;P 100 / US</t>
        </is>
      </c>
    </row>
    <row r="692">
      <c r="A692" s="31" t="inlineStr">
        <is>
          <t>NAVN</t>
        </is>
      </c>
      <c r="B692" s="32" t="inlineStr">
        <is>
          <t>S&amp;P 100 / US</t>
        </is>
      </c>
    </row>
    <row r="693">
      <c r="A693" s="31" t="inlineStr">
        <is>
          <t>NB</t>
        </is>
      </c>
      <c r="B693" s="32" t="inlineStr">
        <is>
          <t>S&amp;P 100 / US</t>
        </is>
      </c>
    </row>
    <row r="694">
      <c r="A694" s="31" t="inlineStr">
        <is>
          <t>NBIS</t>
        </is>
      </c>
      <c r="B694" s="32" t="inlineStr">
        <is>
          <t>S&amp;P 100 / US</t>
        </is>
      </c>
    </row>
    <row r="695">
      <c r="A695" s="31" t="inlineStr">
        <is>
          <t>NBIX</t>
        </is>
      </c>
      <c r="B695" s="32" t="inlineStr">
        <is>
          <t>S&amp;P 100 / US</t>
        </is>
      </c>
    </row>
    <row r="696">
      <c r="A696" s="31" t="inlineStr">
        <is>
          <t>NBR</t>
        </is>
      </c>
      <c r="B696" s="32" t="inlineStr">
        <is>
          <t>S&amp;P 100 / US</t>
        </is>
      </c>
    </row>
    <row r="697">
      <c r="A697" s="31" t="inlineStr">
        <is>
          <t>NCLH</t>
        </is>
      </c>
      <c r="B697" s="32" t="inlineStr">
        <is>
          <t>S&amp;P 100 / US</t>
        </is>
      </c>
    </row>
    <row r="698">
      <c r="A698" s="31" t="inlineStr">
        <is>
          <t>NDAQ</t>
        </is>
      </c>
      <c r="B698" s="32" t="inlineStr">
        <is>
          <t>S&amp;P 100 / US</t>
        </is>
      </c>
    </row>
    <row r="699">
      <c r="A699" s="31" t="inlineStr">
        <is>
          <t>NDSN</t>
        </is>
      </c>
      <c r="B699" s="32" t="inlineStr">
        <is>
          <t>S&amp;P 100 / US</t>
        </is>
      </c>
    </row>
    <row r="700">
      <c r="A700" s="31" t="inlineStr">
        <is>
          <t>NE</t>
        </is>
      </c>
      <c r="B700" s="32" t="inlineStr">
        <is>
          <t>S&amp;P 100 / US</t>
        </is>
      </c>
    </row>
    <row r="701">
      <c r="A701" s="31" t="inlineStr">
        <is>
          <t>NEE</t>
        </is>
      </c>
      <c r="B701" s="32" t="inlineStr">
        <is>
          <t>S&amp;P 100 / US</t>
        </is>
      </c>
    </row>
    <row r="702">
      <c r="A702" s="31" t="inlineStr">
        <is>
          <t>NEM</t>
        </is>
      </c>
      <c r="B702" s="32" t="inlineStr">
        <is>
          <t>S&amp;P 100 / US</t>
        </is>
      </c>
    </row>
    <row r="703">
      <c r="A703" s="31" t="inlineStr">
        <is>
          <t>NET</t>
        </is>
      </c>
      <c r="B703" s="32" t="inlineStr">
        <is>
          <t>S&amp;P 100 / US</t>
        </is>
      </c>
    </row>
    <row r="704">
      <c r="A704" s="31" t="inlineStr">
        <is>
          <t>NFG</t>
        </is>
      </c>
      <c r="B704" s="32" t="inlineStr">
        <is>
          <t>S&amp;P 100 / US</t>
        </is>
      </c>
    </row>
    <row r="705">
      <c r="A705" s="31" t="inlineStr">
        <is>
          <t>NFLX</t>
        </is>
      </c>
      <c r="B705" s="32" t="inlineStr">
        <is>
          <t>S&amp;P 100 / US</t>
        </is>
      </c>
    </row>
    <row r="706">
      <c r="A706" s="31" t="inlineStr">
        <is>
          <t>NGG</t>
        </is>
      </c>
      <c r="B706" s="32" t="inlineStr">
        <is>
          <t>S&amp;P 100 / US</t>
        </is>
      </c>
    </row>
    <row r="707">
      <c r="A707" s="31" t="inlineStr">
        <is>
          <t>NHI</t>
        </is>
      </c>
      <c r="B707" s="32" t="inlineStr">
        <is>
          <t>S&amp;P 100 / US</t>
        </is>
      </c>
    </row>
    <row r="708">
      <c r="A708" s="31" t="inlineStr">
        <is>
          <t>NICE</t>
        </is>
      </c>
      <c r="B708" s="32" t="inlineStr">
        <is>
          <t>S&amp;P 100 / US</t>
        </is>
      </c>
    </row>
    <row r="709">
      <c r="A709" s="31" t="inlineStr">
        <is>
          <t>NIO</t>
        </is>
      </c>
      <c r="B709" s="32" t="inlineStr">
        <is>
          <t>S&amp;P 100 / US</t>
        </is>
      </c>
    </row>
    <row r="710">
      <c r="A710" s="31" t="inlineStr">
        <is>
          <t>NJR</t>
        </is>
      </c>
      <c r="B710" s="32" t="inlineStr">
        <is>
          <t>S&amp;P 100 / US</t>
        </is>
      </c>
    </row>
    <row r="711">
      <c r="A711" s="31" t="inlineStr">
        <is>
          <t>NKE</t>
        </is>
      </c>
      <c r="B711" s="32" t="inlineStr">
        <is>
          <t>S&amp;P 100 / US</t>
        </is>
      </c>
    </row>
    <row r="712">
      <c r="A712" s="31" t="inlineStr">
        <is>
          <t>NKTX</t>
        </is>
      </c>
      <c r="B712" s="32" t="inlineStr">
        <is>
          <t>S&amp;P 100 / US</t>
        </is>
      </c>
    </row>
    <row r="713">
      <c r="A713" s="31" t="inlineStr">
        <is>
          <t>NOC</t>
        </is>
      </c>
      <c r="B713" s="32" t="inlineStr">
        <is>
          <t>S&amp;P 100 / US</t>
        </is>
      </c>
    </row>
    <row r="714">
      <c r="A714" s="31" t="inlineStr">
        <is>
          <t>NOG</t>
        </is>
      </c>
      <c r="B714" s="32" t="inlineStr">
        <is>
          <t>S&amp;P 100 / US</t>
        </is>
      </c>
    </row>
    <row r="715">
      <c r="A715" s="31" t="inlineStr">
        <is>
          <t>NOK</t>
        </is>
      </c>
      <c r="B715" s="32" t="inlineStr">
        <is>
          <t>S&amp;P 100 / US</t>
        </is>
      </c>
    </row>
    <row r="716">
      <c r="A716" s="31" t="inlineStr">
        <is>
          <t>NOV</t>
        </is>
      </c>
      <c r="B716" s="32" t="inlineStr">
        <is>
          <t>S&amp;P 100 / US</t>
        </is>
      </c>
    </row>
    <row r="717">
      <c r="A717" s="31" t="inlineStr">
        <is>
          <t>NOW</t>
        </is>
      </c>
      <c r="B717" s="32" t="inlineStr">
        <is>
          <t>S&amp;P 100 / US</t>
        </is>
      </c>
    </row>
    <row r="718">
      <c r="A718" s="31" t="inlineStr">
        <is>
          <t>NSANY</t>
        </is>
      </c>
      <c r="B718" s="32" t="inlineStr">
        <is>
          <t>S&amp;P 100 / US</t>
        </is>
      </c>
    </row>
    <row r="719">
      <c r="A719" s="31" t="inlineStr">
        <is>
          <t>NSRGY</t>
        </is>
      </c>
      <c r="B719" s="32" t="inlineStr">
        <is>
          <t>International (ADR)</t>
        </is>
      </c>
    </row>
    <row r="720">
      <c r="A720" s="31" t="inlineStr">
        <is>
          <t>NTAP</t>
        </is>
      </c>
      <c r="B720" s="32" t="inlineStr">
        <is>
          <t>S&amp;P 100 / US</t>
        </is>
      </c>
    </row>
    <row r="721">
      <c r="A721" s="31" t="inlineStr">
        <is>
          <t>NTES</t>
        </is>
      </c>
      <c r="B721" s="32" t="inlineStr">
        <is>
          <t>S&amp;P 100 / US</t>
        </is>
      </c>
    </row>
    <row r="722">
      <c r="A722" s="31" t="inlineStr">
        <is>
          <t>NTNX</t>
        </is>
      </c>
      <c r="B722" s="32" t="inlineStr">
        <is>
          <t>S&amp;P 100 / US</t>
        </is>
      </c>
    </row>
    <row r="723">
      <c r="A723" s="31" t="inlineStr">
        <is>
          <t>NTR</t>
        </is>
      </c>
      <c r="B723" s="32" t="inlineStr">
        <is>
          <t>S&amp;P 100 / US</t>
        </is>
      </c>
    </row>
    <row r="724">
      <c r="A724" s="31" t="inlineStr">
        <is>
          <t>NTRA</t>
        </is>
      </c>
      <c r="B724" s="32" t="inlineStr">
        <is>
          <t>S&amp;P 100 / US</t>
        </is>
      </c>
    </row>
    <row r="725">
      <c r="A725" s="31" t="inlineStr">
        <is>
          <t>NU</t>
        </is>
      </c>
      <c r="B725" s="32" t="inlineStr">
        <is>
          <t>S&amp;P 100 / US</t>
        </is>
      </c>
    </row>
    <row r="726">
      <c r="A726" s="31" t="inlineStr">
        <is>
          <t>NUE</t>
        </is>
      </c>
      <c r="B726" s="32" t="inlineStr">
        <is>
          <t>S&amp;P 100 / US</t>
        </is>
      </c>
    </row>
    <row r="727">
      <c r="A727" s="31" t="inlineStr">
        <is>
          <t>NUVL</t>
        </is>
      </c>
      <c r="B727" s="32" t="inlineStr">
        <is>
          <t>S&amp;P 100 / US</t>
        </is>
      </c>
    </row>
    <row r="728">
      <c r="A728" s="31" t="inlineStr">
        <is>
          <t>NVAX</t>
        </is>
      </c>
      <c r="B728" s="32" t="inlineStr">
        <is>
          <t>S&amp;P 100 / US</t>
        </is>
      </c>
    </row>
    <row r="729">
      <c r="A729" s="31" t="inlineStr">
        <is>
          <t>NVDA</t>
        </is>
      </c>
      <c r="B729" s="32" t="inlineStr">
        <is>
          <t>S&amp;P 100 / US</t>
        </is>
      </c>
    </row>
    <row r="730">
      <c r="A730" s="31" t="inlineStr">
        <is>
          <t>NVMI</t>
        </is>
      </c>
      <c r="B730" s="32" t="inlineStr">
        <is>
          <t>S&amp;P 100 / US</t>
        </is>
      </c>
    </row>
    <row r="731">
      <c r="A731" s="31" t="inlineStr">
        <is>
          <t>NVO</t>
        </is>
      </c>
      <c r="B731" s="32" t="inlineStr">
        <is>
          <t>International (ADR)</t>
        </is>
      </c>
    </row>
    <row r="732">
      <c r="A732" s="31" t="inlineStr">
        <is>
          <t>NVS</t>
        </is>
      </c>
      <c r="B732" s="32" t="inlineStr">
        <is>
          <t>International (ADR)</t>
        </is>
      </c>
    </row>
    <row r="733">
      <c r="A733" s="31" t="inlineStr">
        <is>
          <t>NVTS</t>
        </is>
      </c>
      <c r="B733" s="32" t="inlineStr">
        <is>
          <t>S&amp;P 100 / US</t>
        </is>
      </c>
    </row>
    <row r="734">
      <c r="A734" s="31" t="inlineStr">
        <is>
          <t>NWG</t>
        </is>
      </c>
      <c r="B734" s="32" t="inlineStr">
        <is>
          <t>S&amp;P 100 / US</t>
        </is>
      </c>
    </row>
    <row r="735">
      <c r="A735" s="31" t="inlineStr">
        <is>
          <t>NWS</t>
        </is>
      </c>
      <c r="B735" s="32" t="inlineStr">
        <is>
          <t>S&amp;P 100 / US</t>
        </is>
      </c>
    </row>
    <row r="736">
      <c r="A736" s="31" t="inlineStr">
        <is>
          <t>NWSA</t>
        </is>
      </c>
      <c r="B736" s="32" t="inlineStr">
        <is>
          <t>S&amp;P 100 / US</t>
        </is>
      </c>
    </row>
    <row r="737">
      <c r="A737" s="31" t="inlineStr">
        <is>
          <t>NXPI</t>
        </is>
      </c>
      <c r="B737" s="32" t="inlineStr">
        <is>
          <t>S&amp;P 100 / US</t>
        </is>
      </c>
    </row>
    <row r="738">
      <c r="A738" s="31" t="inlineStr">
        <is>
          <t>NXST</t>
        </is>
      </c>
      <c r="B738" s="32" t="inlineStr">
        <is>
          <t>S&amp;P 100 / US</t>
        </is>
      </c>
    </row>
    <row r="739">
      <c r="A739" s="31" t="inlineStr">
        <is>
          <t>NYT</t>
        </is>
      </c>
      <c r="B739" s="32" t="inlineStr">
        <is>
          <t>S&amp;P 100 / US</t>
        </is>
      </c>
    </row>
    <row r="740">
      <c r="A740" s="31" t="inlineStr">
        <is>
          <t>O</t>
        </is>
      </c>
      <c r="B740" s="32" t="inlineStr">
        <is>
          <t>S&amp;P 100 / US</t>
        </is>
      </c>
    </row>
    <row r="741">
      <c r="A741" s="31" t="inlineStr">
        <is>
          <t>ODFL</t>
        </is>
      </c>
      <c r="B741" s="32" t="inlineStr">
        <is>
          <t>S&amp;P 100 / US</t>
        </is>
      </c>
    </row>
    <row r="742">
      <c r="A742" s="31" t="inlineStr">
        <is>
          <t>OHI</t>
        </is>
      </c>
      <c r="B742" s="32" t="inlineStr">
        <is>
          <t>S&amp;P 100 / US</t>
        </is>
      </c>
    </row>
    <row r="743">
      <c r="A743" s="31" t="inlineStr">
        <is>
          <t>OII</t>
        </is>
      </c>
      <c r="B743" s="32" t="inlineStr">
        <is>
          <t>S&amp;P 100 / US</t>
        </is>
      </c>
    </row>
    <row r="744">
      <c r="A744" s="31" t="inlineStr">
        <is>
          <t>OIS</t>
        </is>
      </c>
      <c r="B744" s="32" t="inlineStr">
        <is>
          <t>S&amp;P 100 / US</t>
        </is>
      </c>
    </row>
    <row r="745">
      <c r="A745" s="31" t="inlineStr">
        <is>
          <t>OKE</t>
        </is>
      </c>
      <c r="B745" s="32" t="inlineStr">
        <is>
          <t>S&amp;P 100 / US</t>
        </is>
      </c>
    </row>
    <row r="746">
      <c r="A746" s="31" t="inlineStr">
        <is>
          <t>OKLO</t>
        </is>
      </c>
      <c r="B746" s="32" t="inlineStr">
        <is>
          <t>S&amp;P 100 / US</t>
        </is>
      </c>
    </row>
    <row r="747">
      <c r="A747" s="31" t="inlineStr">
        <is>
          <t>OKTA</t>
        </is>
      </c>
      <c r="B747" s="32" t="inlineStr">
        <is>
          <t>S&amp;P 100 / US</t>
        </is>
      </c>
    </row>
    <row r="748">
      <c r="A748" s="31" t="inlineStr">
        <is>
          <t>OLED</t>
        </is>
      </c>
      <c r="B748" s="32" t="inlineStr">
        <is>
          <t>S&amp;P 100 / US</t>
        </is>
      </c>
    </row>
    <row r="749">
      <c r="A749" s="31" t="inlineStr">
        <is>
          <t>OLLI</t>
        </is>
      </c>
      <c r="B749" s="32" t="inlineStr">
        <is>
          <t>S&amp;P 100 / US</t>
        </is>
      </c>
    </row>
    <row r="750">
      <c r="A750" s="31" t="inlineStr">
        <is>
          <t>OM</t>
        </is>
      </c>
      <c r="B750" s="32" t="inlineStr">
        <is>
          <t>S&amp;P 100 / US</t>
        </is>
      </c>
    </row>
    <row r="751">
      <c r="A751" s="31" t="inlineStr">
        <is>
          <t>OMAB</t>
        </is>
      </c>
      <c r="B751" s="32" t="inlineStr">
        <is>
          <t>S&amp;P 100 / US</t>
        </is>
      </c>
    </row>
    <row r="752">
      <c r="A752" s="31" t="inlineStr">
        <is>
          <t>OMF</t>
        </is>
      </c>
      <c r="B752" s="32" t="inlineStr">
        <is>
          <t>S&amp;P 100 / US</t>
        </is>
      </c>
    </row>
    <row r="753">
      <c r="A753" s="31" t="inlineStr">
        <is>
          <t>ON</t>
        </is>
      </c>
      <c r="B753" s="32" t="inlineStr">
        <is>
          <t>S&amp;P 100 / US</t>
        </is>
      </c>
    </row>
    <row r="754">
      <c r="A754" s="31" t="inlineStr">
        <is>
          <t>ONC</t>
        </is>
      </c>
      <c r="B754" s="32" t="inlineStr">
        <is>
          <t>S&amp;P 100 / US</t>
        </is>
      </c>
    </row>
    <row r="755">
      <c r="A755" s="31" t="inlineStr">
        <is>
          <t>ONDS</t>
        </is>
      </c>
      <c r="B755" s="32" t="inlineStr">
        <is>
          <t>S&amp;P 100 / US</t>
        </is>
      </c>
    </row>
    <row r="756">
      <c r="A756" s="31" t="inlineStr">
        <is>
          <t>ONON</t>
        </is>
      </c>
      <c r="B756" s="32" t="inlineStr">
        <is>
          <t>S&amp;P 100 / US</t>
        </is>
      </c>
    </row>
    <row r="757">
      <c r="A757" s="31" t="inlineStr">
        <is>
          <t>ORCL</t>
        </is>
      </c>
      <c r="B757" s="32" t="inlineStr">
        <is>
          <t>S&amp;P 100 / US</t>
        </is>
      </c>
    </row>
    <row r="758">
      <c r="A758" s="31" t="inlineStr">
        <is>
          <t>ORI</t>
        </is>
      </c>
      <c r="B758" s="32" t="inlineStr">
        <is>
          <t>S&amp;P 100 / US</t>
        </is>
      </c>
    </row>
    <row r="759">
      <c r="A759" s="31" t="inlineStr">
        <is>
          <t>ORLY</t>
        </is>
      </c>
      <c r="B759" s="32" t="inlineStr">
        <is>
          <t>S&amp;P 100 / US</t>
        </is>
      </c>
    </row>
    <row r="760">
      <c r="A760" s="31" t="inlineStr">
        <is>
          <t>OTEX</t>
        </is>
      </c>
      <c r="B760" s="32" t="inlineStr">
        <is>
          <t>S&amp;P 100 / US</t>
        </is>
      </c>
    </row>
    <row r="761">
      <c r="A761" s="31" t="inlineStr">
        <is>
          <t>OVV</t>
        </is>
      </c>
      <c r="B761" s="32" t="inlineStr">
        <is>
          <t>S&amp;P 100 / US</t>
        </is>
      </c>
    </row>
    <row r="762">
      <c r="A762" s="31" t="inlineStr">
        <is>
          <t>OXY</t>
        </is>
      </c>
      <c r="B762" s="32" t="inlineStr">
        <is>
          <t>S&amp;P 100 / US</t>
        </is>
      </c>
    </row>
    <row r="763">
      <c r="A763" s="31" t="inlineStr">
        <is>
          <t>PAA</t>
        </is>
      </c>
      <c r="B763" s="32" t="inlineStr">
        <is>
          <t>S&amp;P 100 / US</t>
        </is>
      </c>
    </row>
    <row r="764">
      <c r="A764" s="31" t="inlineStr">
        <is>
          <t>PAGP</t>
        </is>
      </c>
      <c r="B764" s="32" t="inlineStr">
        <is>
          <t>S&amp;P 100 / US</t>
        </is>
      </c>
    </row>
    <row r="765">
      <c r="A765" s="31" t="inlineStr">
        <is>
          <t>PAM</t>
        </is>
      </c>
      <c r="B765" s="32" t="inlineStr">
        <is>
          <t>S&amp;P 100 / US</t>
        </is>
      </c>
    </row>
    <row r="766">
      <c r="A766" s="31" t="inlineStr">
        <is>
          <t>PANW</t>
        </is>
      </c>
      <c r="B766" s="32" t="inlineStr">
        <is>
          <t>S&amp;P 100 / US</t>
        </is>
      </c>
    </row>
    <row r="767">
      <c r="A767" s="31" t="inlineStr">
        <is>
          <t>PATH</t>
        </is>
      </c>
      <c r="B767" s="32" t="inlineStr">
        <is>
          <t>S&amp;P 100 / US</t>
        </is>
      </c>
    </row>
    <row r="768">
      <c r="A768" s="31" t="inlineStr">
        <is>
          <t>PAY</t>
        </is>
      </c>
      <c r="B768" s="32" t="inlineStr">
        <is>
          <t>S&amp;P 100 / US</t>
        </is>
      </c>
    </row>
    <row r="769">
      <c r="A769" s="31" t="inlineStr">
        <is>
          <t>PAYC</t>
        </is>
      </c>
      <c r="B769" s="32" t="inlineStr">
        <is>
          <t>S&amp;P 100 / US</t>
        </is>
      </c>
    </row>
    <row r="770">
      <c r="A770" s="31" t="inlineStr">
        <is>
          <t>PAYX</t>
        </is>
      </c>
      <c r="B770" s="32" t="inlineStr">
        <is>
          <t>S&amp;P 100 / US</t>
        </is>
      </c>
    </row>
    <row r="771">
      <c r="A771" s="31" t="inlineStr">
        <is>
          <t>PBA</t>
        </is>
      </c>
      <c r="B771" s="32" t="inlineStr">
        <is>
          <t>S&amp;P 100 / US</t>
        </is>
      </c>
    </row>
    <row r="772">
      <c r="A772" s="31" t="inlineStr">
        <is>
          <t>PBF</t>
        </is>
      </c>
      <c r="B772" s="32" t="inlineStr">
        <is>
          <t>S&amp;P 100 / US</t>
        </is>
      </c>
    </row>
    <row r="773">
      <c r="A773" s="31" t="inlineStr">
        <is>
          <t>PBR</t>
        </is>
      </c>
      <c r="B773" s="32" t="inlineStr">
        <is>
          <t>S&amp;P 100 / US</t>
        </is>
      </c>
    </row>
    <row r="774">
      <c r="A774" s="31" t="inlineStr">
        <is>
          <t>PCAR</t>
        </is>
      </c>
      <c r="B774" s="32" t="inlineStr">
        <is>
          <t>S&amp;P 100 / US</t>
        </is>
      </c>
    </row>
    <row r="775">
      <c r="A775" s="31" t="inlineStr">
        <is>
          <t>PCG</t>
        </is>
      </c>
      <c r="B775" s="32" t="inlineStr">
        <is>
          <t>S&amp;P 100 / US</t>
        </is>
      </c>
    </row>
    <row r="776">
      <c r="A776" s="31" t="inlineStr">
        <is>
          <t>PCOR</t>
        </is>
      </c>
      <c r="B776" s="32" t="inlineStr">
        <is>
          <t>S&amp;P 100 / US</t>
        </is>
      </c>
    </row>
    <row r="777">
      <c r="A777" s="31" t="inlineStr">
        <is>
          <t>PCTY</t>
        </is>
      </c>
      <c r="B777" s="32" t="inlineStr">
        <is>
          <t>S&amp;P 100 / US</t>
        </is>
      </c>
    </row>
    <row r="778">
      <c r="A778" s="31" t="inlineStr">
        <is>
          <t>PDD</t>
        </is>
      </c>
      <c r="B778" s="32" t="inlineStr">
        <is>
          <t>S&amp;P 100 / US</t>
        </is>
      </c>
    </row>
    <row r="779">
      <c r="A779" s="31" t="inlineStr">
        <is>
          <t>PEGA</t>
        </is>
      </c>
      <c r="B779" s="32" t="inlineStr">
        <is>
          <t>S&amp;P 100 / US</t>
        </is>
      </c>
    </row>
    <row r="780">
      <c r="A780" s="31" t="inlineStr">
        <is>
          <t>PENN</t>
        </is>
      </c>
      <c r="B780" s="32" t="inlineStr">
        <is>
          <t>S&amp;P 100 / US</t>
        </is>
      </c>
    </row>
    <row r="781">
      <c r="A781" s="31" t="inlineStr">
        <is>
          <t>PEP</t>
        </is>
      </c>
      <c r="B781" s="32" t="inlineStr">
        <is>
          <t>S&amp;P 100 / US</t>
        </is>
      </c>
    </row>
    <row r="782">
      <c r="A782" s="31" t="inlineStr">
        <is>
          <t>PFE</t>
        </is>
      </c>
      <c r="B782" s="32" t="inlineStr">
        <is>
          <t>S&amp;P 100 / US</t>
        </is>
      </c>
    </row>
    <row r="783">
      <c r="A783" s="31" t="inlineStr">
        <is>
          <t>PFG</t>
        </is>
      </c>
      <c r="B783" s="32" t="inlineStr">
        <is>
          <t>S&amp;P 100 / US</t>
        </is>
      </c>
    </row>
    <row r="784">
      <c r="A784" s="31" t="inlineStr">
        <is>
          <t>PG</t>
        </is>
      </c>
      <c r="B784" s="32" t="inlineStr">
        <is>
          <t>S&amp;P 100 / US</t>
        </is>
      </c>
    </row>
    <row r="785">
      <c r="A785" s="31" t="inlineStr">
        <is>
          <t>PGNY</t>
        </is>
      </c>
      <c r="B785" s="32" t="inlineStr">
        <is>
          <t>S&amp;P 100 / US</t>
        </is>
      </c>
    </row>
    <row r="786">
      <c r="A786" s="31" t="inlineStr">
        <is>
          <t>PGR</t>
        </is>
      </c>
      <c r="B786" s="32" t="inlineStr">
        <is>
          <t>S&amp;P 100 / US</t>
        </is>
      </c>
    </row>
    <row r="787">
      <c r="A787" s="31" t="inlineStr">
        <is>
          <t>PII</t>
        </is>
      </c>
      <c r="B787" s="32" t="inlineStr">
        <is>
          <t>S&amp;P 100 / US</t>
        </is>
      </c>
    </row>
    <row r="788">
      <c r="A788" s="31" t="inlineStr">
        <is>
          <t>PINS</t>
        </is>
      </c>
      <c r="B788" s="32" t="inlineStr">
        <is>
          <t>S&amp;P 100 / US</t>
        </is>
      </c>
    </row>
    <row r="789">
      <c r="A789" s="31" t="inlineStr">
        <is>
          <t>PKX</t>
        </is>
      </c>
      <c r="B789" s="32" t="inlineStr">
        <is>
          <t>S&amp;P 100 / US</t>
        </is>
      </c>
    </row>
    <row r="790">
      <c r="A790" s="31" t="inlineStr">
        <is>
          <t>PLAY</t>
        </is>
      </c>
      <c r="B790" s="32" t="inlineStr">
        <is>
          <t>S&amp;P 100 / US</t>
        </is>
      </c>
    </row>
    <row r="791">
      <c r="A791" s="31" t="inlineStr">
        <is>
          <t>PLD</t>
        </is>
      </c>
      <c r="B791" s="32" t="inlineStr">
        <is>
          <t>S&amp;P 100 / US</t>
        </is>
      </c>
    </row>
    <row r="792">
      <c r="A792" s="31" t="inlineStr">
        <is>
          <t>PLTR</t>
        </is>
      </c>
      <c r="B792" s="32" t="inlineStr">
        <is>
          <t>S&amp;P 100 / US</t>
        </is>
      </c>
    </row>
    <row r="793">
      <c r="A793" s="31" t="inlineStr">
        <is>
          <t>PLUG</t>
        </is>
      </c>
      <c r="B793" s="32" t="inlineStr">
        <is>
          <t>S&amp;P 100 / US</t>
        </is>
      </c>
    </row>
    <row r="794">
      <c r="A794" s="31" t="inlineStr">
        <is>
          <t>PM</t>
        </is>
      </c>
      <c r="B794" s="32" t="inlineStr">
        <is>
          <t>S&amp;P 100 / US</t>
        </is>
      </c>
    </row>
    <row r="795">
      <c r="A795" s="31" t="inlineStr">
        <is>
          <t>POOL</t>
        </is>
      </c>
      <c r="B795" s="32" t="inlineStr">
        <is>
          <t>S&amp;P 100 / US</t>
        </is>
      </c>
    </row>
    <row r="796">
      <c r="A796" s="31" t="inlineStr">
        <is>
          <t>POR</t>
        </is>
      </c>
      <c r="B796" s="32" t="inlineStr">
        <is>
          <t>S&amp;P 100 / US</t>
        </is>
      </c>
    </row>
    <row r="797">
      <c r="A797" s="31" t="inlineStr">
        <is>
          <t>PR</t>
        </is>
      </c>
      <c r="B797" s="32" t="inlineStr">
        <is>
          <t>S&amp;P 100 / US</t>
        </is>
      </c>
    </row>
    <row r="798">
      <c r="A798" s="31" t="inlineStr">
        <is>
          <t>PRI</t>
        </is>
      </c>
      <c r="B798" s="32" t="inlineStr">
        <is>
          <t>S&amp;P 100 / US</t>
        </is>
      </c>
    </row>
    <row r="799">
      <c r="A799" s="31" t="inlineStr">
        <is>
          <t>PRIM</t>
        </is>
      </c>
      <c r="B799" s="32" t="inlineStr">
        <is>
          <t>S&amp;P 100 / US</t>
        </is>
      </c>
    </row>
    <row r="800">
      <c r="A800" s="31" t="inlineStr">
        <is>
          <t>PRMB</t>
        </is>
      </c>
      <c r="B800" s="32" t="inlineStr">
        <is>
          <t>S&amp;P 100 / US</t>
        </is>
      </c>
    </row>
    <row r="801">
      <c r="A801" s="31" t="inlineStr">
        <is>
          <t>PRU</t>
        </is>
      </c>
      <c r="B801" s="32" t="inlineStr">
        <is>
          <t>S&amp;P 100 / US</t>
        </is>
      </c>
    </row>
    <row r="802">
      <c r="A802" s="31" t="inlineStr">
        <is>
          <t>PSA</t>
        </is>
      </c>
      <c r="B802" s="32" t="inlineStr">
        <is>
          <t>S&amp;P 100 / US</t>
        </is>
      </c>
    </row>
    <row r="803">
      <c r="A803" s="31" t="inlineStr">
        <is>
          <t>PSKY</t>
        </is>
      </c>
      <c r="B803" s="32" t="inlineStr">
        <is>
          <t>S&amp;P 100 / US</t>
        </is>
      </c>
    </row>
    <row r="804">
      <c r="A804" s="31" t="inlineStr">
        <is>
          <t>PSN</t>
        </is>
      </c>
      <c r="B804" s="32" t="inlineStr">
        <is>
          <t>S&amp;P 100 / US</t>
        </is>
      </c>
    </row>
    <row r="805">
      <c r="A805" s="31" t="inlineStr">
        <is>
          <t>PSUS</t>
        </is>
      </c>
      <c r="B805" s="32" t="inlineStr">
        <is>
          <t>S&amp;P 100 / US</t>
        </is>
      </c>
    </row>
    <row r="806">
      <c r="A806" s="31" t="inlineStr">
        <is>
          <t>PSX</t>
        </is>
      </c>
      <c r="B806" s="32" t="inlineStr">
        <is>
          <t>S&amp;P 100 / US</t>
        </is>
      </c>
    </row>
    <row r="807">
      <c r="A807" s="31" t="inlineStr">
        <is>
          <t>PTC</t>
        </is>
      </c>
      <c r="B807" s="32" t="inlineStr">
        <is>
          <t>S&amp;P 100 / US</t>
        </is>
      </c>
    </row>
    <row r="808">
      <c r="A808" s="31" t="inlineStr">
        <is>
          <t>PTCT</t>
        </is>
      </c>
      <c r="B808" s="32" t="inlineStr">
        <is>
          <t>S&amp;P 100 / US</t>
        </is>
      </c>
    </row>
    <row r="809">
      <c r="A809" s="31" t="inlineStr">
        <is>
          <t>PTEN</t>
        </is>
      </c>
      <c r="B809" s="32" t="inlineStr">
        <is>
          <t>S&amp;P 100 / US</t>
        </is>
      </c>
    </row>
    <row r="810">
      <c r="A810" s="31" t="inlineStr">
        <is>
          <t>PTON</t>
        </is>
      </c>
      <c r="B810" s="32" t="inlineStr">
        <is>
          <t>S&amp;P 100 / US</t>
        </is>
      </c>
    </row>
    <row r="811">
      <c r="A811" s="31" t="inlineStr">
        <is>
          <t>PTRN</t>
        </is>
      </c>
      <c r="B811" s="32" t="inlineStr">
        <is>
          <t>S&amp;P 100 / US</t>
        </is>
      </c>
    </row>
    <row r="812">
      <c r="A812" s="31" t="inlineStr">
        <is>
          <t>PVH</t>
        </is>
      </c>
      <c r="B812" s="32" t="inlineStr">
        <is>
          <t>S&amp;P 100 / US</t>
        </is>
      </c>
    </row>
    <row r="813">
      <c r="A813" s="31" t="inlineStr">
        <is>
          <t>PXED</t>
        </is>
      </c>
      <c r="B813" s="32" t="inlineStr">
        <is>
          <t>S&amp;P 100 / US</t>
        </is>
      </c>
    </row>
    <row r="814">
      <c r="A814" s="31" t="inlineStr">
        <is>
          <t>PYPL</t>
        </is>
      </c>
      <c r="B814" s="32" t="inlineStr">
        <is>
          <t>S&amp;P 100 / US</t>
        </is>
      </c>
    </row>
    <row r="815">
      <c r="A815" s="31" t="inlineStr">
        <is>
          <t>QBTS</t>
        </is>
      </c>
      <c r="B815" s="32" t="inlineStr">
        <is>
          <t>S&amp;P 100 / US</t>
        </is>
      </c>
    </row>
    <row r="816">
      <c r="A816" s="31" t="inlineStr">
        <is>
          <t>QCOM</t>
        </is>
      </c>
      <c r="B816" s="32" t="inlineStr">
        <is>
          <t>S&amp;P 100 / US</t>
        </is>
      </c>
    </row>
    <row r="817">
      <c r="A817" s="31" t="inlineStr">
        <is>
          <t>QRVO</t>
        </is>
      </c>
      <c r="B817" s="32" t="inlineStr">
        <is>
          <t>S&amp;P 100 / US</t>
        </is>
      </c>
    </row>
    <row r="818">
      <c r="A818" s="31" t="inlineStr">
        <is>
          <t>QS</t>
        </is>
      </c>
      <c r="B818" s="32" t="inlineStr">
        <is>
          <t>S&amp;P 100 / US</t>
        </is>
      </c>
    </row>
    <row r="819">
      <c r="A819" s="31" t="inlineStr">
        <is>
          <t>QSR</t>
        </is>
      </c>
      <c r="B819" s="32" t="inlineStr">
        <is>
          <t>S&amp;P 100 / US</t>
        </is>
      </c>
    </row>
    <row r="820">
      <c r="A820" s="31" t="inlineStr">
        <is>
          <t>QTWO</t>
        </is>
      </c>
      <c r="B820" s="32" t="inlineStr">
        <is>
          <t>S&amp;P 100 / US</t>
        </is>
      </c>
    </row>
    <row r="821">
      <c r="A821" s="31" t="inlineStr">
        <is>
          <t>QUBT</t>
        </is>
      </c>
      <c r="B821" s="32" t="inlineStr">
        <is>
          <t>S&amp;P 100 / US</t>
        </is>
      </c>
    </row>
    <row r="822">
      <c r="A822" s="31" t="inlineStr">
        <is>
          <t>QXO</t>
        </is>
      </c>
      <c r="B822" s="32" t="inlineStr">
        <is>
          <t>S&amp;P 100 / US</t>
        </is>
      </c>
    </row>
    <row r="823">
      <c r="A823" s="31" t="inlineStr">
        <is>
          <t>RACE</t>
        </is>
      </c>
      <c r="B823" s="32" t="inlineStr">
        <is>
          <t>S&amp;P 100 / US</t>
        </is>
      </c>
    </row>
    <row r="824">
      <c r="A824" s="31" t="inlineStr">
        <is>
          <t>RBA</t>
        </is>
      </c>
      <c r="B824" s="32" t="inlineStr">
        <is>
          <t>S&amp;P 100 / US</t>
        </is>
      </c>
    </row>
    <row r="825">
      <c r="A825" s="31" t="inlineStr">
        <is>
          <t>RBGLY</t>
        </is>
      </c>
      <c r="B825" s="32" t="inlineStr">
        <is>
          <t>S&amp;P 100 / US</t>
        </is>
      </c>
    </row>
    <row r="826">
      <c r="A826" s="31" t="inlineStr">
        <is>
          <t>RBLX</t>
        </is>
      </c>
      <c r="B826" s="32" t="inlineStr">
        <is>
          <t>S&amp;P 100 / US</t>
        </is>
      </c>
    </row>
    <row r="827">
      <c r="A827" s="31" t="inlineStr">
        <is>
          <t>RBRK</t>
        </is>
      </c>
      <c r="B827" s="32" t="inlineStr">
        <is>
          <t>S&amp;P 100 / US</t>
        </is>
      </c>
    </row>
    <row r="828">
      <c r="A828" s="31" t="inlineStr">
        <is>
          <t>RCAT</t>
        </is>
      </c>
      <c r="B828" s="32" t="inlineStr">
        <is>
          <t>S&amp;P 100 / US</t>
        </is>
      </c>
    </row>
    <row r="829">
      <c r="A829" s="31" t="inlineStr">
        <is>
          <t>RCI</t>
        </is>
      </c>
      <c r="B829" s="32" t="inlineStr">
        <is>
          <t>S&amp;P 100 / US</t>
        </is>
      </c>
    </row>
    <row r="830">
      <c r="A830" s="31" t="inlineStr">
        <is>
          <t>RCL</t>
        </is>
      </c>
      <c r="B830" s="32" t="inlineStr">
        <is>
          <t>S&amp;P 100 / US</t>
        </is>
      </c>
    </row>
    <row r="831">
      <c r="A831" s="31" t="inlineStr">
        <is>
          <t>RDDT</t>
        </is>
      </c>
      <c r="B831" s="32" t="inlineStr">
        <is>
          <t>S&amp;P 100 / US</t>
        </is>
      </c>
    </row>
    <row r="832">
      <c r="A832" s="31" t="inlineStr">
        <is>
          <t>RDY</t>
        </is>
      </c>
      <c r="B832" s="32" t="inlineStr">
        <is>
          <t>S&amp;P 100 / US</t>
        </is>
      </c>
    </row>
    <row r="833">
      <c r="A833" s="31" t="inlineStr">
        <is>
          <t>REA</t>
        </is>
      </c>
      <c r="B833" s="32" t="inlineStr">
        <is>
          <t>S&amp;P 100 / US</t>
        </is>
      </c>
    </row>
    <row r="834">
      <c r="A834" s="31" t="inlineStr">
        <is>
          <t>REGN</t>
        </is>
      </c>
      <c r="B834" s="32" t="inlineStr">
        <is>
          <t>S&amp;P 100 / US</t>
        </is>
      </c>
    </row>
    <row r="835">
      <c r="A835" s="31" t="inlineStr">
        <is>
          <t>RELX</t>
        </is>
      </c>
      <c r="B835" s="32" t="inlineStr">
        <is>
          <t>S&amp;P 100 / US</t>
        </is>
      </c>
    </row>
    <row r="836">
      <c r="A836" s="31" t="inlineStr">
        <is>
          <t>RGA</t>
        </is>
      </c>
      <c r="B836" s="32" t="inlineStr">
        <is>
          <t>S&amp;P 100 / US</t>
        </is>
      </c>
    </row>
    <row r="837">
      <c r="A837" s="31" t="inlineStr">
        <is>
          <t>RGLD</t>
        </is>
      </c>
      <c r="B837" s="32" t="inlineStr">
        <is>
          <t>S&amp;P 100 / US</t>
        </is>
      </c>
    </row>
    <row r="838">
      <c r="A838" s="31" t="inlineStr">
        <is>
          <t>RGTI</t>
        </is>
      </c>
      <c r="B838" s="32" t="inlineStr">
        <is>
          <t>S&amp;P 100 / US</t>
        </is>
      </c>
    </row>
    <row r="839">
      <c r="A839" s="31" t="inlineStr">
        <is>
          <t>RH</t>
        </is>
      </c>
      <c r="B839" s="32" t="inlineStr">
        <is>
          <t>S&amp;P 100 / US</t>
        </is>
      </c>
    </row>
    <row r="840">
      <c r="A840" s="31" t="inlineStr">
        <is>
          <t>RHHBY</t>
        </is>
      </c>
      <c r="B840" s="32" t="inlineStr">
        <is>
          <t>International (ADR)</t>
        </is>
      </c>
    </row>
    <row r="841">
      <c r="A841" s="31" t="inlineStr">
        <is>
          <t>RIG</t>
        </is>
      </c>
      <c r="B841" s="32" t="inlineStr">
        <is>
          <t>S&amp;P 100 / US</t>
        </is>
      </c>
    </row>
    <row r="842">
      <c r="A842" s="31" t="inlineStr">
        <is>
          <t>RIO</t>
        </is>
      </c>
      <c r="B842" s="32" t="inlineStr">
        <is>
          <t>S&amp;P 100 / US</t>
        </is>
      </c>
    </row>
    <row r="843">
      <c r="A843" s="31" t="inlineStr">
        <is>
          <t>RIOT</t>
        </is>
      </c>
      <c r="B843" s="32" t="inlineStr">
        <is>
          <t>S&amp;P 100 / US</t>
        </is>
      </c>
    </row>
    <row r="844">
      <c r="A844" s="31" t="inlineStr">
        <is>
          <t>RIVN</t>
        </is>
      </c>
      <c r="B844" s="32" t="inlineStr">
        <is>
          <t>S&amp;P 100 / US</t>
        </is>
      </c>
    </row>
    <row r="845">
      <c r="A845" s="31" t="inlineStr">
        <is>
          <t>RKLB</t>
        </is>
      </c>
      <c r="B845" s="32" t="inlineStr">
        <is>
          <t>S&amp;P 100 / US</t>
        </is>
      </c>
    </row>
    <row r="846">
      <c r="A846" s="31" t="inlineStr">
        <is>
          <t>RKT</t>
        </is>
      </c>
      <c r="B846" s="32" t="inlineStr">
        <is>
          <t>S&amp;P 100 / US</t>
        </is>
      </c>
    </row>
    <row r="847">
      <c r="A847" s="31" t="inlineStr">
        <is>
          <t>RL</t>
        </is>
      </c>
      <c r="B847" s="32" t="inlineStr">
        <is>
          <t>S&amp;P 100 / US</t>
        </is>
      </c>
    </row>
    <row r="848">
      <c r="A848" s="31" t="inlineStr">
        <is>
          <t>RMBS</t>
        </is>
      </c>
      <c r="B848" s="32" t="inlineStr">
        <is>
          <t>S&amp;P 100 / US</t>
        </is>
      </c>
    </row>
    <row r="849">
      <c r="A849" s="31" t="inlineStr">
        <is>
          <t>RNG</t>
        </is>
      </c>
      <c r="B849" s="32" t="inlineStr">
        <is>
          <t>S&amp;P 100 / US</t>
        </is>
      </c>
    </row>
    <row r="850">
      <c r="A850" s="31" t="inlineStr">
        <is>
          <t>RNR</t>
        </is>
      </c>
      <c r="B850" s="32" t="inlineStr">
        <is>
          <t>S&amp;P 100 / US</t>
        </is>
      </c>
    </row>
    <row r="851">
      <c r="A851" s="31" t="inlineStr">
        <is>
          <t>ROAD</t>
        </is>
      </c>
      <c r="B851" s="32" t="inlineStr">
        <is>
          <t>S&amp;P 100 / US</t>
        </is>
      </c>
    </row>
    <row r="852">
      <c r="A852" s="31" t="inlineStr">
        <is>
          <t>ROIV</t>
        </is>
      </c>
      <c r="B852" s="32" t="inlineStr">
        <is>
          <t>S&amp;P 100 / US</t>
        </is>
      </c>
    </row>
    <row r="853">
      <c r="A853" s="31" t="inlineStr">
        <is>
          <t>ROK</t>
        </is>
      </c>
      <c r="B853" s="32" t="inlineStr">
        <is>
          <t>S&amp;P 100 / US</t>
        </is>
      </c>
    </row>
    <row r="854">
      <c r="A854" s="31" t="inlineStr">
        <is>
          <t>ROKU</t>
        </is>
      </c>
      <c r="B854" s="32" t="inlineStr">
        <is>
          <t>S&amp;P 100 / US</t>
        </is>
      </c>
    </row>
    <row r="855">
      <c r="A855" s="31" t="inlineStr">
        <is>
          <t>ROP</t>
        </is>
      </c>
      <c r="B855" s="32" t="inlineStr">
        <is>
          <t>S&amp;P 100 / US</t>
        </is>
      </c>
    </row>
    <row r="856">
      <c r="A856" s="31" t="inlineStr">
        <is>
          <t>ROST</t>
        </is>
      </c>
      <c r="B856" s="32" t="inlineStr">
        <is>
          <t>S&amp;P 100 / US</t>
        </is>
      </c>
    </row>
    <row r="857">
      <c r="A857" s="31" t="inlineStr">
        <is>
          <t>RPD</t>
        </is>
      </c>
      <c r="B857" s="32" t="inlineStr">
        <is>
          <t>S&amp;P 100 / US</t>
        </is>
      </c>
    </row>
    <row r="858">
      <c r="A858" s="31" t="inlineStr">
        <is>
          <t>RPRX</t>
        </is>
      </c>
      <c r="B858" s="32" t="inlineStr">
        <is>
          <t>S&amp;P 100 / US</t>
        </is>
      </c>
    </row>
    <row r="859">
      <c r="A859" s="31" t="inlineStr">
        <is>
          <t>RRC</t>
        </is>
      </c>
      <c r="B859" s="32" t="inlineStr">
        <is>
          <t>S&amp;P 100 / US</t>
        </is>
      </c>
    </row>
    <row r="860">
      <c r="A860" s="31" t="inlineStr">
        <is>
          <t>RRX</t>
        </is>
      </c>
      <c r="B860" s="32" t="inlineStr">
        <is>
          <t>S&amp;P 100 / US</t>
        </is>
      </c>
    </row>
    <row r="861">
      <c r="A861" s="31" t="inlineStr">
        <is>
          <t>RS</t>
        </is>
      </c>
      <c r="B861" s="32" t="inlineStr">
        <is>
          <t>S&amp;P 100 / US</t>
        </is>
      </c>
    </row>
    <row r="862">
      <c r="A862" s="31" t="inlineStr">
        <is>
          <t>RSG</t>
        </is>
      </c>
      <c r="B862" s="32" t="inlineStr">
        <is>
          <t>S&amp;P 100 / US</t>
        </is>
      </c>
    </row>
    <row r="863">
      <c r="A863" s="31" t="inlineStr">
        <is>
          <t>RTX</t>
        </is>
      </c>
      <c r="B863" s="32" t="inlineStr">
        <is>
          <t>S&amp;P 100 / US</t>
        </is>
      </c>
    </row>
    <row r="864">
      <c r="A864" s="31" t="inlineStr">
        <is>
          <t>RUN</t>
        </is>
      </c>
      <c r="B864" s="32" t="inlineStr">
        <is>
          <t>S&amp;P 100 / US</t>
        </is>
      </c>
    </row>
    <row r="865">
      <c r="A865" s="31" t="inlineStr">
        <is>
          <t>RVI</t>
        </is>
      </c>
      <c r="B865" s="32" t="inlineStr">
        <is>
          <t>S&amp;P 100 / US</t>
        </is>
      </c>
    </row>
    <row r="866">
      <c r="A866" s="31" t="inlineStr">
        <is>
          <t>RVMD</t>
        </is>
      </c>
      <c r="B866" s="32" t="inlineStr">
        <is>
          <t>S&amp;P 100 / US</t>
        </is>
      </c>
    </row>
    <row r="867">
      <c r="A867" s="31" t="inlineStr">
        <is>
          <t>RWAY</t>
        </is>
      </c>
      <c r="B867" s="32" t="inlineStr">
        <is>
          <t>S&amp;P 100 / US</t>
        </is>
      </c>
    </row>
    <row r="868">
      <c r="A868" s="31" t="inlineStr">
        <is>
          <t>RXRX</t>
        </is>
      </c>
      <c r="B868" s="32" t="inlineStr">
        <is>
          <t>S&amp;P 100 / US</t>
        </is>
      </c>
    </row>
    <row r="869">
      <c r="A869" s="31" t="inlineStr">
        <is>
          <t>RY</t>
        </is>
      </c>
      <c r="B869" s="32" t="inlineStr">
        <is>
          <t>S&amp;P 100 / US</t>
        </is>
      </c>
    </row>
    <row r="870">
      <c r="A870" s="31" t="inlineStr">
        <is>
          <t>RYAAY</t>
        </is>
      </c>
      <c r="B870" s="32" t="inlineStr">
        <is>
          <t>S&amp;P 100 / US</t>
        </is>
      </c>
    </row>
    <row r="871">
      <c r="A871" s="31" t="inlineStr">
        <is>
          <t>RYCEY</t>
        </is>
      </c>
      <c r="B871" s="32" t="inlineStr">
        <is>
          <t>S&amp;P 100 / US</t>
        </is>
      </c>
    </row>
    <row r="872">
      <c r="A872" s="31" t="inlineStr">
        <is>
          <t>RYTM</t>
        </is>
      </c>
      <c r="B872" s="32" t="inlineStr">
        <is>
          <t>S&amp;P 100 / US</t>
        </is>
      </c>
    </row>
    <row r="873">
      <c r="A873" s="31" t="inlineStr">
        <is>
          <t>S</t>
        </is>
      </c>
      <c r="B873" s="32" t="inlineStr">
        <is>
          <t>S&amp;P 100 / US</t>
        </is>
      </c>
    </row>
    <row r="874">
      <c r="A874" s="31" t="inlineStr">
        <is>
          <t>SABR</t>
        </is>
      </c>
      <c r="B874" s="32" t="inlineStr">
        <is>
          <t>S&amp;P 100 / US</t>
        </is>
      </c>
    </row>
    <row r="875">
      <c r="A875" s="31" t="inlineStr">
        <is>
          <t>SAIA</t>
        </is>
      </c>
      <c r="B875" s="32" t="inlineStr">
        <is>
          <t>S&amp;P 100 / US</t>
        </is>
      </c>
    </row>
    <row r="876">
      <c r="A876" s="31" t="inlineStr">
        <is>
          <t>SAIL</t>
        </is>
      </c>
      <c r="B876" s="32" t="inlineStr">
        <is>
          <t>S&amp;P 100 / US</t>
        </is>
      </c>
    </row>
    <row r="877">
      <c r="A877" s="31" t="inlineStr">
        <is>
          <t>SAM</t>
        </is>
      </c>
      <c r="B877" s="32" t="inlineStr">
        <is>
          <t>S&amp;P 100 / US</t>
        </is>
      </c>
    </row>
    <row r="878">
      <c r="A878" s="31" t="inlineStr">
        <is>
          <t>SAN</t>
        </is>
      </c>
      <c r="B878" s="32" t="inlineStr">
        <is>
          <t>S&amp;P 100 / US</t>
        </is>
      </c>
    </row>
    <row r="879">
      <c r="A879" s="31" t="inlineStr">
        <is>
          <t>SAP</t>
        </is>
      </c>
      <c r="B879" s="32" t="inlineStr">
        <is>
          <t>International (ADR)</t>
        </is>
      </c>
    </row>
    <row r="880">
      <c r="A880" s="31" t="inlineStr">
        <is>
          <t>SATS</t>
        </is>
      </c>
      <c r="B880" s="32" t="inlineStr">
        <is>
          <t>S&amp;P 100 / US</t>
        </is>
      </c>
    </row>
    <row r="881">
      <c r="A881" s="31" t="inlineStr">
        <is>
          <t>SBAC</t>
        </is>
      </c>
      <c r="B881" s="32" t="inlineStr">
        <is>
          <t>S&amp;P 100 / US</t>
        </is>
      </c>
    </row>
    <row r="882">
      <c r="A882" s="31" t="inlineStr">
        <is>
          <t>SBLK</t>
        </is>
      </c>
      <c r="B882" s="32" t="inlineStr">
        <is>
          <t>S&amp;P 100 / US</t>
        </is>
      </c>
    </row>
    <row r="883">
      <c r="A883" s="31" t="inlineStr">
        <is>
          <t>SBSW</t>
        </is>
      </c>
      <c r="B883" s="32" t="inlineStr">
        <is>
          <t>S&amp;P 100 / US</t>
        </is>
      </c>
    </row>
    <row r="884">
      <c r="A884" s="31" t="inlineStr">
        <is>
          <t>SBUX</t>
        </is>
      </c>
      <c r="B884" s="32" t="inlineStr">
        <is>
          <t>S&amp;P 100 / US</t>
        </is>
      </c>
    </row>
    <row r="885">
      <c r="A885" s="31" t="inlineStr">
        <is>
          <t>SCCO</t>
        </is>
      </c>
      <c r="B885" s="32" t="inlineStr">
        <is>
          <t>S&amp;P 100 / US</t>
        </is>
      </c>
    </row>
    <row r="886">
      <c r="A886" s="31" t="inlineStr">
        <is>
          <t>SCHW</t>
        </is>
      </c>
      <c r="B886" s="32" t="inlineStr">
        <is>
          <t>S&amp;P 100 / US</t>
        </is>
      </c>
    </row>
    <row r="887">
      <c r="A887" s="31" t="inlineStr">
        <is>
          <t>SDRL</t>
        </is>
      </c>
      <c r="B887" s="32" t="inlineStr">
        <is>
          <t>S&amp;P 100 / US</t>
        </is>
      </c>
    </row>
    <row r="888">
      <c r="A888" s="31" t="inlineStr">
        <is>
          <t>SDVKY</t>
        </is>
      </c>
      <c r="B888" s="32" t="inlineStr">
        <is>
          <t>S&amp;P 100 / US</t>
        </is>
      </c>
    </row>
    <row r="889">
      <c r="A889" s="31" t="inlineStr">
        <is>
          <t>SE</t>
        </is>
      </c>
      <c r="B889" s="32" t="inlineStr">
        <is>
          <t>S&amp;P 100 / US</t>
        </is>
      </c>
    </row>
    <row r="890">
      <c r="A890" s="31" t="inlineStr">
        <is>
          <t>SEDG</t>
        </is>
      </c>
      <c r="B890" s="32" t="inlineStr">
        <is>
          <t>S&amp;P 100 / US</t>
        </is>
      </c>
    </row>
    <row r="891">
      <c r="A891" s="31" t="inlineStr">
        <is>
          <t>SEI</t>
        </is>
      </c>
      <c r="B891" s="32" t="inlineStr">
        <is>
          <t>S&amp;P 100 / US</t>
        </is>
      </c>
    </row>
    <row r="892">
      <c r="A892" s="31" t="inlineStr">
        <is>
          <t>SEZL</t>
        </is>
      </c>
      <c r="B892" s="32" t="inlineStr">
        <is>
          <t>S&amp;P 100 / US</t>
        </is>
      </c>
    </row>
    <row r="893">
      <c r="A893" s="31" t="inlineStr">
        <is>
          <t>SFM</t>
        </is>
      </c>
      <c r="B893" s="32" t="inlineStr">
        <is>
          <t>S&amp;P 100 / US</t>
        </is>
      </c>
    </row>
    <row r="894">
      <c r="A894" s="31" t="inlineStr">
        <is>
          <t>SG</t>
        </is>
      </c>
      <c r="B894" s="32" t="inlineStr">
        <is>
          <t>S&amp;P 100 / US</t>
        </is>
      </c>
    </row>
    <row r="895">
      <c r="A895" s="31" t="inlineStr">
        <is>
          <t>SGHC</t>
        </is>
      </c>
      <c r="B895" s="32" t="inlineStr">
        <is>
          <t>S&amp;P 100 / US</t>
        </is>
      </c>
    </row>
    <row r="896">
      <c r="A896" s="31" t="inlineStr">
        <is>
          <t>SGML</t>
        </is>
      </c>
      <c r="B896" s="32" t="inlineStr">
        <is>
          <t>S&amp;P 100 / US</t>
        </is>
      </c>
    </row>
    <row r="897">
      <c r="A897" s="31" t="inlineStr">
        <is>
          <t>SHEL</t>
        </is>
      </c>
      <c r="B897" s="32" t="inlineStr">
        <is>
          <t>International (ADR)</t>
        </is>
      </c>
    </row>
    <row r="898">
      <c r="A898" s="31" t="inlineStr">
        <is>
          <t>SHOO</t>
        </is>
      </c>
      <c r="B898" s="32" t="inlineStr">
        <is>
          <t>S&amp;P 100 / US</t>
        </is>
      </c>
    </row>
    <row r="899">
      <c r="A899" s="31" t="inlineStr">
        <is>
          <t>SHOP</t>
        </is>
      </c>
      <c r="B899" s="32" t="inlineStr">
        <is>
          <t>S&amp;P 100 / US</t>
        </is>
      </c>
    </row>
    <row r="900">
      <c r="A900" s="31" t="inlineStr">
        <is>
          <t>SHW</t>
        </is>
      </c>
      <c r="B900" s="32" t="inlineStr">
        <is>
          <t>S&amp;P 100 / US</t>
        </is>
      </c>
    </row>
    <row r="901">
      <c r="A901" s="31" t="inlineStr">
        <is>
          <t>SIEGY</t>
        </is>
      </c>
      <c r="B901" s="32" t="inlineStr">
        <is>
          <t>S&amp;P 100 / US</t>
        </is>
      </c>
    </row>
    <row r="902">
      <c r="A902" s="31" t="inlineStr">
        <is>
          <t>SIG</t>
        </is>
      </c>
      <c r="B902" s="32" t="inlineStr">
        <is>
          <t>S&amp;P 100 / US</t>
        </is>
      </c>
    </row>
    <row r="903">
      <c r="A903" s="31" t="inlineStr">
        <is>
          <t>SIRI</t>
        </is>
      </c>
      <c r="B903" s="32" t="inlineStr">
        <is>
          <t>S&amp;P 100 / US</t>
        </is>
      </c>
    </row>
    <row r="904">
      <c r="A904" s="31" t="inlineStr">
        <is>
          <t>SITM</t>
        </is>
      </c>
      <c r="B904" s="32" t="inlineStr">
        <is>
          <t>S&amp;P 100 / US</t>
        </is>
      </c>
    </row>
    <row r="905">
      <c r="A905" s="31" t="inlineStr">
        <is>
          <t>SJM</t>
        </is>
      </c>
      <c r="B905" s="32" t="inlineStr">
        <is>
          <t>S&amp;P 100 / US</t>
        </is>
      </c>
    </row>
    <row r="906">
      <c r="A906" s="31" t="inlineStr">
        <is>
          <t>SKHY</t>
        </is>
      </c>
      <c r="B906" s="32" t="inlineStr">
        <is>
          <t>S&amp;P 100 / US</t>
        </is>
      </c>
    </row>
    <row r="907">
      <c r="A907" s="31" t="inlineStr">
        <is>
          <t>SKM</t>
        </is>
      </c>
      <c r="B907" s="32" t="inlineStr">
        <is>
          <t>S&amp;P 100 / US</t>
        </is>
      </c>
    </row>
    <row r="908">
      <c r="A908" s="31" t="inlineStr">
        <is>
          <t>SKYW</t>
        </is>
      </c>
      <c r="B908" s="32" t="inlineStr">
        <is>
          <t>S&amp;P 100 / US</t>
        </is>
      </c>
    </row>
    <row r="909">
      <c r="A909" s="31" t="inlineStr">
        <is>
          <t>SLB</t>
        </is>
      </c>
      <c r="B909" s="32" t="inlineStr">
        <is>
          <t>S&amp;P 100 / US</t>
        </is>
      </c>
    </row>
    <row r="910">
      <c r="A910" s="31" t="inlineStr">
        <is>
          <t>SLF</t>
        </is>
      </c>
      <c r="B910" s="32" t="inlineStr">
        <is>
          <t>S&amp;P 100 / US</t>
        </is>
      </c>
    </row>
    <row r="911">
      <c r="A911" s="31" t="inlineStr">
        <is>
          <t>SLI</t>
        </is>
      </c>
      <c r="B911" s="32" t="inlineStr">
        <is>
          <t>S&amp;P 100 / US</t>
        </is>
      </c>
    </row>
    <row r="912">
      <c r="A912" s="31" t="inlineStr">
        <is>
          <t>SLM</t>
        </is>
      </c>
      <c r="B912" s="32" t="inlineStr">
        <is>
          <t>S&amp;P 100 / US</t>
        </is>
      </c>
    </row>
    <row r="913">
      <c r="A913" s="31" t="inlineStr">
        <is>
          <t>SM</t>
        </is>
      </c>
      <c r="B913" s="32" t="inlineStr">
        <is>
          <t>S&amp;P 100 / US</t>
        </is>
      </c>
    </row>
    <row r="914">
      <c r="A914" s="31" t="inlineStr">
        <is>
          <t>SMMT</t>
        </is>
      </c>
      <c r="B914" s="32" t="inlineStr">
        <is>
          <t>S&amp;P 100 / US</t>
        </is>
      </c>
    </row>
    <row r="915">
      <c r="A915" s="31" t="inlineStr">
        <is>
          <t>SMR</t>
        </is>
      </c>
      <c r="B915" s="32" t="inlineStr">
        <is>
          <t>S&amp;P 100 / US</t>
        </is>
      </c>
    </row>
    <row r="916">
      <c r="A916" s="31" t="inlineStr">
        <is>
          <t>SN</t>
        </is>
      </c>
      <c r="B916" s="32" t="inlineStr">
        <is>
          <t>S&amp;P 100 / US</t>
        </is>
      </c>
    </row>
    <row r="917">
      <c r="A917" s="31" t="inlineStr">
        <is>
          <t>SNAP</t>
        </is>
      </c>
      <c r="B917" s="32" t="inlineStr">
        <is>
          <t>S&amp;P 100 / US</t>
        </is>
      </c>
    </row>
    <row r="918">
      <c r="A918" s="31" t="inlineStr">
        <is>
          <t>SNDK</t>
        </is>
      </c>
      <c r="B918" s="32" t="inlineStr">
        <is>
          <t>S&amp;P 100 / US</t>
        </is>
      </c>
    </row>
    <row r="919">
      <c r="A919" s="31" t="inlineStr">
        <is>
          <t>SNDR</t>
        </is>
      </c>
      <c r="B919" s="32" t="inlineStr">
        <is>
          <t>S&amp;P 100 / US</t>
        </is>
      </c>
    </row>
    <row r="920">
      <c r="A920" s="31" t="inlineStr">
        <is>
          <t>SNN</t>
        </is>
      </c>
      <c r="B920" s="32" t="inlineStr">
        <is>
          <t>S&amp;P 100 / US</t>
        </is>
      </c>
    </row>
    <row r="921">
      <c r="A921" s="31" t="inlineStr">
        <is>
          <t>SNOW</t>
        </is>
      </c>
      <c r="B921" s="32" t="inlineStr">
        <is>
          <t>S&amp;P 100 / US</t>
        </is>
      </c>
    </row>
    <row r="922">
      <c r="A922" s="31" t="inlineStr">
        <is>
          <t>SNPS</t>
        </is>
      </c>
      <c r="B922" s="32" t="inlineStr">
        <is>
          <t>S&amp;P 100 / US</t>
        </is>
      </c>
    </row>
    <row r="923">
      <c r="A923" s="31" t="inlineStr">
        <is>
          <t>SNX</t>
        </is>
      </c>
      <c r="B923" s="32" t="inlineStr">
        <is>
          <t>S&amp;P 100 / US</t>
        </is>
      </c>
    </row>
    <row r="924">
      <c r="A924" s="31" t="inlineStr">
        <is>
          <t>SNY</t>
        </is>
      </c>
      <c r="B924" s="32" t="inlineStr">
        <is>
          <t>S&amp;P 100 / US</t>
        </is>
      </c>
    </row>
    <row r="925">
      <c r="A925" s="31" t="inlineStr">
        <is>
          <t>SO</t>
        </is>
      </c>
      <c r="B925" s="32" t="inlineStr">
        <is>
          <t>S&amp;P 100 / US</t>
        </is>
      </c>
    </row>
    <row r="926">
      <c r="A926" s="31" t="inlineStr">
        <is>
          <t>SOBO</t>
        </is>
      </c>
      <c r="B926" s="32" t="inlineStr">
        <is>
          <t>S&amp;P 100 / US</t>
        </is>
      </c>
    </row>
    <row r="927">
      <c r="A927" s="31" t="inlineStr">
        <is>
          <t>SOC</t>
        </is>
      </c>
      <c r="B927" s="32" t="inlineStr">
        <is>
          <t>S&amp;P 100 / US</t>
        </is>
      </c>
    </row>
    <row r="928">
      <c r="A928" s="31" t="inlineStr">
        <is>
          <t>SOFI</t>
        </is>
      </c>
      <c r="B928" s="32" t="inlineStr">
        <is>
          <t>S&amp;P 100 / US</t>
        </is>
      </c>
    </row>
    <row r="929">
      <c r="A929" s="31" t="inlineStr">
        <is>
          <t>SOLV</t>
        </is>
      </c>
      <c r="B929" s="32" t="inlineStr">
        <is>
          <t>S&amp;P 100 / US</t>
        </is>
      </c>
    </row>
    <row r="930">
      <c r="A930" s="31" t="inlineStr">
        <is>
          <t>SONY</t>
        </is>
      </c>
      <c r="B930" s="32" t="inlineStr">
        <is>
          <t>International (ADR)</t>
        </is>
      </c>
    </row>
    <row r="931">
      <c r="A931" s="31" t="inlineStr">
        <is>
          <t>SOUN</t>
        </is>
      </c>
      <c r="B931" s="32" t="inlineStr">
        <is>
          <t>S&amp;P 100 / US</t>
        </is>
      </c>
    </row>
    <row r="932">
      <c r="A932" s="31" t="inlineStr">
        <is>
          <t>SPCX</t>
        </is>
      </c>
      <c r="B932" s="32" t="inlineStr">
        <is>
          <t>S&amp;P 100 / US</t>
        </is>
      </c>
    </row>
    <row r="933">
      <c r="A933" s="31" t="inlineStr">
        <is>
          <t>SPG</t>
        </is>
      </c>
      <c r="B933" s="32" t="inlineStr">
        <is>
          <t>S&amp;P 100 / US</t>
        </is>
      </c>
    </row>
    <row r="934">
      <c r="A934" s="31" t="inlineStr">
        <is>
          <t>SPGI</t>
        </is>
      </c>
      <c r="B934" s="32" t="inlineStr">
        <is>
          <t>S&amp;P 100 / US</t>
        </is>
      </c>
    </row>
    <row r="935">
      <c r="A935" s="31" t="inlineStr">
        <is>
          <t>SPHR</t>
        </is>
      </c>
      <c r="B935" s="32" t="inlineStr">
        <is>
          <t>S&amp;P 100 / US</t>
        </is>
      </c>
    </row>
    <row r="936">
      <c r="A936" s="31" t="inlineStr">
        <is>
          <t>SPOT</t>
        </is>
      </c>
      <c r="B936" s="32" t="inlineStr">
        <is>
          <t>S&amp;P 100 / US</t>
        </is>
      </c>
    </row>
    <row r="937">
      <c r="A937" s="31" t="inlineStr">
        <is>
          <t>SQM</t>
        </is>
      </c>
      <c r="B937" s="32" t="inlineStr">
        <is>
          <t>S&amp;P 100 / US</t>
        </is>
      </c>
    </row>
    <row r="938">
      <c r="A938" s="31" t="inlineStr">
        <is>
          <t>SRAD</t>
        </is>
      </c>
      <c r="B938" s="32" t="inlineStr">
        <is>
          <t>S&amp;P 100 / US</t>
        </is>
      </c>
    </row>
    <row r="939">
      <c r="A939" s="31" t="inlineStr">
        <is>
          <t>SRPT</t>
        </is>
      </c>
      <c r="B939" s="32" t="inlineStr">
        <is>
          <t>S&amp;P 100 / US</t>
        </is>
      </c>
    </row>
    <row r="940">
      <c r="A940" s="31" t="inlineStr">
        <is>
          <t>SSNC</t>
        </is>
      </c>
      <c r="B940" s="32" t="inlineStr">
        <is>
          <t>S&amp;P 100 / US</t>
        </is>
      </c>
    </row>
    <row r="941">
      <c r="A941" s="31" t="inlineStr">
        <is>
          <t>SSYS</t>
        </is>
      </c>
      <c r="B941" s="32" t="inlineStr">
        <is>
          <t>S&amp;P 100 / US</t>
        </is>
      </c>
    </row>
    <row r="942">
      <c r="A942" s="31" t="inlineStr">
        <is>
          <t>ST</t>
        </is>
      </c>
      <c r="B942" s="32" t="inlineStr">
        <is>
          <t>S&amp;P 100 / US</t>
        </is>
      </c>
    </row>
    <row r="943">
      <c r="A943" s="31" t="inlineStr">
        <is>
          <t>STAG</t>
        </is>
      </c>
      <c r="B943" s="32" t="inlineStr">
        <is>
          <t>S&amp;P 100 / US</t>
        </is>
      </c>
    </row>
    <row r="944">
      <c r="A944" s="31" t="inlineStr">
        <is>
          <t>STDN</t>
        </is>
      </c>
      <c r="B944" s="32" t="inlineStr">
        <is>
          <t>S&amp;P 100 / US</t>
        </is>
      </c>
    </row>
    <row r="945">
      <c r="A945" s="31" t="inlineStr">
        <is>
          <t>STEM</t>
        </is>
      </c>
      <c r="B945" s="32" t="inlineStr">
        <is>
          <t>S&amp;P 100 / US</t>
        </is>
      </c>
    </row>
    <row r="946">
      <c r="A946" s="31" t="inlineStr">
        <is>
          <t>STLA</t>
        </is>
      </c>
      <c r="B946" s="32" t="inlineStr">
        <is>
          <t>S&amp;P 100 / US</t>
        </is>
      </c>
    </row>
    <row r="947">
      <c r="A947" s="31" t="inlineStr">
        <is>
          <t>STLD</t>
        </is>
      </c>
      <c r="B947" s="32" t="inlineStr">
        <is>
          <t>S&amp;P 100 / US</t>
        </is>
      </c>
    </row>
    <row r="948">
      <c r="A948" s="31" t="inlineStr">
        <is>
          <t>STNE</t>
        </is>
      </c>
      <c r="B948" s="32" t="inlineStr">
        <is>
          <t>S&amp;P 100 / US</t>
        </is>
      </c>
    </row>
    <row r="949">
      <c r="A949" s="31" t="inlineStr">
        <is>
          <t>STNG</t>
        </is>
      </c>
      <c r="B949" s="32" t="inlineStr">
        <is>
          <t>S&amp;P 100 / US</t>
        </is>
      </c>
    </row>
    <row r="950">
      <c r="A950" s="31" t="inlineStr">
        <is>
          <t>STT</t>
        </is>
      </c>
      <c r="B950" s="32" t="inlineStr">
        <is>
          <t>S&amp;P 100 / US</t>
        </is>
      </c>
    </row>
    <row r="951">
      <c r="A951" s="31" t="inlineStr">
        <is>
          <t>STUB</t>
        </is>
      </c>
      <c r="B951" s="32" t="inlineStr">
        <is>
          <t>S&amp;P 100 / US</t>
        </is>
      </c>
    </row>
    <row r="952">
      <c r="A952" s="31" t="inlineStr">
        <is>
          <t>STX</t>
        </is>
      </c>
      <c r="B952" s="32" t="inlineStr">
        <is>
          <t>S&amp;P 100 / US</t>
        </is>
      </c>
    </row>
    <row r="953">
      <c r="A953" s="31" t="inlineStr">
        <is>
          <t>STZ</t>
        </is>
      </c>
      <c r="B953" s="32" t="inlineStr">
        <is>
          <t>S&amp;P 100 / US</t>
        </is>
      </c>
    </row>
    <row r="954">
      <c r="A954" s="31" t="inlineStr">
        <is>
          <t>SUN</t>
        </is>
      </c>
      <c r="B954" s="32" t="inlineStr">
        <is>
          <t>S&amp;P 100 / US</t>
        </is>
      </c>
    </row>
    <row r="955">
      <c r="A955" s="31" t="inlineStr">
        <is>
          <t>SW</t>
        </is>
      </c>
      <c r="B955" s="32" t="inlineStr">
        <is>
          <t>S&amp;P 100 / US</t>
        </is>
      </c>
    </row>
    <row r="956">
      <c r="A956" s="31" t="inlineStr">
        <is>
          <t>SWBI</t>
        </is>
      </c>
      <c r="B956" s="32" t="inlineStr">
        <is>
          <t>S&amp;P 100 / US</t>
        </is>
      </c>
    </row>
    <row r="957">
      <c r="A957" s="31" t="inlineStr">
        <is>
          <t>SWKS</t>
        </is>
      </c>
      <c r="B957" s="32" t="inlineStr">
        <is>
          <t>S&amp;P 100 / US</t>
        </is>
      </c>
    </row>
    <row r="958">
      <c r="A958" s="31" t="inlineStr">
        <is>
          <t>SXT</t>
        </is>
      </c>
      <c r="B958" s="32" t="inlineStr">
        <is>
          <t>S&amp;P 100 / US</t>
        </is>
      </c>
    </row>
    <row r="959">
      <c r="A959" s="31" t="inlineStr">
        <is>
          <t>SYK</t>
        </is>
      </c>
      <c r="B959" s="32" t="inlineStr">
        <is>
          <t>S&amp;P 100 / US</t>
        </is>
      </c>
    </row>
    <row r="960">
      <c r="A960" s="31" t="inlineStr">
        <is>
          <t>SYY</t>
        </is>
      </c>
      <c r="B960" s="32" t="inlineStr">
        <is>
          <t>S&amp;P 100 / US</t>
        </is>
      </c>
    </row>
    <row r="961">
      <c r="A961" s="31" t="inlineStr">
        <is>
          <t>T</t>
        </is>
      </c>
      <c r="B961" s="32" t="inlineStr">
        <is>
          <t>S&amp;P 100 / US</t>
        </is>
      </c>
    </row>
    <row r="962">
      <c r="A962" s="31" t="inlineStr">
        <is>
          <t>TAC</t>
        </is>
      </c>
      <c r="B962" s="32" t="inlineStr">
        <is>
          <t>S&amp;P 100 / US</t>
        </is>
      </c>
    </row>
    <row r="963">
      <c r="A963" s="31" t="inlineStr">
        <is>
          <t>TAK</t>
        </is>
      </c>
      <c r="B963" s="32" t="inlineStr">
        <is>
          <t>S&amp;P 100 / US</t>
        </is>
      </c>
    </row>
    <row r="964">
      <c r="A964" s="31" t="inlineStr">
        <is>
          <t>TAP</t>
        </is>
      </c>
      <c r="B964" s="32" t="inlineStr">
        <is>
          <t>S&amp;P 100 / US</t>
        </is>
      </c>
    </row>
    <row r="965">
      <c r="A965" s="31" t="inlineStr">
        <is>
          <t>TCEHY</t>
        </is>
      </c>
      <c r="B965" s="32" t="inlineStr">
        <is>
          <t>International (ADR)</t>
        </is>
      </c>
    </row>
    <row r="966">
      <c r="A966" s="31" t="inlineStr">
        <is>
          <t>TCOM</t>
        </is>
      </c>
      <c r="B966" s="32" t="inlineStr">
        <is>
          <t>S&amp;P 100 / US</t>
        </is>
      </c>
    </row>
    <row r="967">
      <c r="A967" s="31" t="inlineStr">
        <is>
          <t>TD</t>
        </is>
      </c>
      <c r="B967" s="32" t="inlineStr">
        <is>
          <t>S&amp;P 100 / US</t>
        </is>
      </c>
    </row>
    <row r="968">
      <c r="A968" s="31" t="inlineStr">
        <is>
          <t>TDS</t>
        </is>
      </c>
      <c r="B968" s="32" t="inlineStr">
        <is>
          <t>S&amp;P 100 / US</t>
        </is>
      </c>
    </row>
    <row r="969">
      <c r="A969" s="31" t="inlineStr">
        <is>
          <t>TDW</t>
        </is>
      </c>
      <c r="B969" s="32" t="inlineStr">
        <is>
          <t>S&amp;P 100 / US</t>
        </is>
      </c>
    </row>
    <row r="970">
      <c r="A970" s="31" t="inlineStr">
        <is>
          <t>TDY</t>
        </is>
      </c>
      <c r="B970" s="32" t="inlineStr">
        <is>
          <t>S&amp;P 100 / US</t>
        </is>
      </c>
    </row>
    <row r="971">
      <c r="A971" s="31" t="inlineStr">
        <is>
          <t>TEAM</t>
        </is>
      </c>
      <c r="B971" s="32" t="inlineStr">
        <is>
          <t>S&amp;P 100 / US</t>
        </is>
      </c>
    </row>
    <row r="972">
      <c r="A972" s="31" t="inlineStr">
        <is>
          <t>TECK</t>
        </is>
      </c>
      <c r="B972" s="32" t="inlineStr">
        <is>
          <t>S&amp;P 100 / US</t>
        </is>
      </c>
    </row>
    <row r="973">
      <c r="A973" s="31" t="inlineStr">
        <is>
          <t>TEL</t>
        </is>
      </c>
      <c r="B973" s="32" t="inlineStr">
        <is>
          <t>S&amp;P 100 / US</t>
        </is>
      </c>
    </row>
    <row r="974">
      <c r="A974" s="31" t="inlineStr">
        <is>
          <t>TELNY</t>
        </is>
      </c>
      <c r="B974" s="32" t="inlineStr">
        <is>
          <t>S&amp;P 100 / US</t>
        </is>
      </c>
    </row>
    <row r="975">
      <c r="A975" s="31" t="inlineStr">
        <is>
          <t>TEM</t>
        </is>
      </c>
      <c r="B975" s="32" t="inlineStr">
        <is>
          <t>S&amp;P 100 / US</t>
        </is>
      </c>
    </row>
    <row r="976">
      <c r="A976" s="31" t="inlineStr">
        <is>
          <t>TER</t>
        </is>
      </c>
      <c r="B976" s="32" t="inlineStr">
        <is>
          <t>S&amp;P 100 / US</t>
        </is>
      </c>
    </row>
    <row r="977">
      <c r="A977" s="31" t="inlineStr">
        <is>
          <t>TEVA</t>
        </is>
      </c>
      <c r="B977" s="32" t="inlineStr">
        <is>
          <t>S&amp;P 100 / US</t>
        </is>
      </c>
    </row>
    <row r="978">
      <c r="A978" s="31" t="inlineStr">
        <is>
          <t>TFII</t>
        </is>
      </c>
      <c r="B978" s="32" t="inlineStr">
        <is>
          <t>S&amp;P 100 / US</t>
        </is>
      </c>
    </row>
    <row r="979">
      <c r="A979" s="31" t="inlineStr">
        <is>
          <t>TFPM</t>
        </is>
      </c>
      <c r="B979" s="32" t="inlineStr">
        <is>
          <t>S&amp;P 100 / US</t>
        </is>
      </c>
    </row>
    <row r="980">
      <c r="A980" s="31" t="inlineStr">
        <is>
          <t>TGS</t>
        </is>
      </c>
      <c r="B980" s="32" t="inlineStr">
        <is>
          <t>S&amp;P 100 / US</t>
        </is>
      </c>
    </row>
    <row r="981">
      <c r="A981" s="31" t="inlineStr">
        <is>
          <t>TGT</t>
        </is>
      </c>
      <c r="B981" s="32" t="inlineStr">
        <is>
          <t>S&amp;P 100 / US</t>
        </is>
      </c>
    </row>
    <row r="982">
      <c r="A982" s="31" t="inlineStr">
        <is>
          <t>TGTX</t>
        </is>
      </c>
      <c r="B982" s="32" t="inlineStr">
        <is>
          <t>S&amp;P 100 / US</t>
        </is>
      </c>
    </row>
    <row r="983">
      <c r="A983" s="31" t="inlineStr">
        <is>
          <t>THG</t>
        </is>
      </c>
      <c r="B983" s="32" t="inlineStr">
        <is>
          <t>S&amp;P 100 / US</t>
        </is>
      </c>
    </row>
    <row r="984">
      <c r="A984" s="31" t="inlineStr">
        <is>
          <t>TIGO</t>
        </is>
      </c>
      <c r="B984" s="32" t="inlineStr">
        <is>
          <t>S&amp;P 100 / US</t>
        </is>
      </c>
    </row>
    <row r="985">
      <c r="A985" s="31" t="inlineStr">
        <is>
          <t>TIMB</t>
        </is>
      </c>
      <c r="B985" s="32" t="inlineStr">
        <is>
          <t>S&amp;P 100 / US</t>
        </is>
      </c>
    </row>
    <row r="986">
      <c r="A986" s="31" t="inlineStr">
        <is>
          <t>TJX</t>
        </is>
      </c>
      <c r="B986" s="32" t="inlineStr">
        <is>
          <t>S&amp;P 100 / US</t>
        </is>
      </c>
    </row>
    <row r="987">
      <c r="A987" s="31" t="inlineStr">
        <is>
          <t>TKO</t>
        </is>
      </c>
      <c r="B987" s="32" t="inlineStr">
        <is>
          <t>S&amp;P 100 / US</t>
        </is>
      </c>
    </row>
    <row r="988">
      <c r="A988" s="31" t="inlineStr">
        <is>
          <t>TLN</t>
        </is>
      </c>
      <c r="B988" s="32" t="inlineStr">
        <is>
          <t>S&amp;P 100 / US</t>
        </is>
      </c>
    </row>
    <row r="989">
      <c r="A989" s="31" t="inlineStr">
        <is>
          <t>TLRY</t>
        </is>
      </c>
      <c r="B989" s="32" t="inlineStr">
        <is>
          <t>S&amp;P 100 / US</t>
        </is>
      </c>
    </row>
    <row r="990">
      <c r="A990" s="31" t="inlineStr">
        <is>
          <t>TM</t>
        </is>
      </c>
      <c r="B990" s="32" t="inlineStr">
        <is>
          <t>International (ADR)</t>
        </is>
      </c>
    </row>
    <row r="991">
      <c r="A991" s="31" t="inlineStr">
        <is>
          <t>TMC</t>
        </is>
      </c>
      <c r="B991" s="32" t="inlineStr">
        <is>
          <t>S&amp;P 100 / US</t>
        </is>
      </c>
    </row>
    <row r="992">
      <c r="A992" s="31" t="inlineStr">
        <is>
          <t>TME</t>
        </is>
      </c>
      <c r="B992" s="32" t="inlineStr">
        <is>
          <t>S&amp;P 100 / US</t>
        </is>
      </c>
    </row>
    <row r="993">
      <c r="A993" s="31" t="inlineStr">
        <is>
          <t>TMO</t>
        </is>
      </c>
      <c r="B993" s="32" t="inlineStr">
        <is>
          <t>S&amp;P 100 / US</t>
        </is>
      </c>
    </row>
    <row r="994">
      <c r="A994" s="31" t="inlineStr">
        <is>
          <t>TMUS</t>
        </is>
      </c>
      <c r="B994" s="32" t="inlineStr">
        <is>
          <t>S&amp;P 100 / US</t>
        </is>
      </c>
    </row>
    <row r="995">
      <c r="A995" s="31" t="inlineStr">
        <is>
          <t>TOST</t>
        </is>
      </c>
      <c r="B995" s="32" t="inlineStr">
        <is>
          <t>S&amp;P 100 / US</t>
        </is>
      </c>
    </row>
    <row r="996">
      <c r="A996" s="31" t="inlineStr">
        <is>
          <t>TPR</t>
        </is>
      </c>
      <c r="B996" s="32" t="inlineStr">
        <is>
          <t>S&amp;P 100 / US</t>
        </is>
      </c>
    </row>
    <row r="997">
      <c r="A997" s="31" t="inlineStr">
        <is>
          <t>TRGP</t>
        </is>
      </c>
      <c r="B997" s="32" t="inlineStr">
        <is>
          <t>S&amp;P 100 / US</t>
        </is>
      </c>
    </row>
    <row r="998">
      <c r="A998" s="31" t="inlineStr">
        <is>
          <t>TRI</t>
        </is>
      </c>
      <c r="B998" s="32" t="inlineStr">
        <is>
          <t>S&amp;P 100 / US</t>
        </is>
      </c>
    </row>
    <row r="999">
      <c r="A999" s="31" t="inlineStr">
        <is>
          <t>TRMB</t>
        </is>
      </c>
      <c r="B999" s="32" t="inlineStr">
        <is>
          <t>S&amp;P 100 / US</t>
        </is>
      </c>
    </row>
    <row r="1000">
      <c r="A1000" s="31" t="inlineStr">
        <is>
          <t>TRMD</t>
        </is>
      </c>
      <c r="B1000" s="32" t="inlineStr">
        <is>
          <t>S&amp;P 100 / US</t>
        </is>
      </c>
    </row>
    <row r="1001">
      <c r="A1001" s="31" t="inlineStr">
        <is>
          <t>TROW</t>
        </is>
      </c>
      <c r="B1001" s="32" t="inlineStr">
        <is>
          <t>S&amp;P 100 / US</t>
        </is>
      </c>
    </row>
    <row r="1002">
      <c r="A1002" s="31" t="inlineStr">
        <is>
          <t>TRP</t>
        </is>
      </c>
      <c r="B1002" s="32" t="inlineStr">
        <is>
          <t>S&amp;P 100 / US</t>
        </is>
      </c>
    </row>
    <row r="1003">
      <c r="A1003" s="31" t="inlineStr">
        <is>
          <t>TRV</t>
        </is>
      </c>
      <c r="B1003" s="32" t="inlineStr">
        <is>
          <t>S&amp;P 100 / US</t>
        </is>
      </c>
    </row>
    <row r="1004">
      <c r="A1004" s="31" t="inlineStr">
        <is>
          <t>TS</t>
        </is>
      </c>
      <c r="B1004" s="32" t="inlineStr">
        <is>
          <t>S&amp;P 100 / US</t>
        </is>
      </c>
    </row>
    <row r="1005">
      <c r="A1005" s="31" t="inlineStr">
        <is>
          <t>TSCO</t>
        </is>
      </c>
      <c r="B1005" s="32" t="inlineStr">
        <is>
          <t>S&amp;P 100 / US</t>
        </is>
      </c>
    </row>
    <row r="1006">
      <c r="A1006" s="31" t="inlineStr">
        <is>
          <t>TSEM</t>
        </is>
      </c>
      <c r="B1006" s="32" t="inlineStr">
        <is>
          <t>S&amp;P 100 / US</t>
        </is>
      </c>
    </row>
    <row r="1007">
      <c r="A1007" s="31" t="inlineStr">
        <is>
          <t>TSLA</t>
        </is>
      </c>
      <c r="B1007" s="32" t="inlineStr">
        <is>
          <t>S&amp;P 100 / US</t>
        </is>
      </c>
    </row>
    <row r="1008">
      <c r="A1008" s="31" t="inlineStr">
        <is>
          <t>TSM</t>
        </is>
      </c>
      <c r="B1008" s="32" t="inlineStr">
        <is>
          <t>International (ADR)</t>
        </is>
      </c>
    </row>
    <row r="1009">
      <c r="A1009" s="31" t="inlineStr">
        <is>
          <t>TSN</t>
        </is>
      </c>
      <c r="B1009" s="32" t="inlineStr">
        <is>
          <t>S&amp;P 100 / US</t>
        </is>
      </c>
    </row>
    <row r="1010">
      <c r="A1010" s="31" t="inlineStr">
        <is>
          <t>TT</t>
        </is>
      </c>
      <c r="B1010" s="32" t="inlineStr">
        <is>
          <t>S&amp;P 100 / US</t>
        </is>
      </c>
    </row>
    <row r="1011">
      <c r="A1011" s="31" t="inlineStr">
        <is>
          <t>TTAM</t>
        </is>
      </c>
      <c r="B1011" s="32" t="inlineStr">
        <is>
          <t>S&amp;P 100 / US</t>
        </is>
      </c>
    </row>
    <row r="1012">
      <c r="A1012" s="31" t="inlineStr">
        <is>
          <t>TTAN</t>
        </is>
      </c>
      <c r="B1012" s="32" t="inlineStr">
        <is>
          <t>S&amp;P 100 / US</t>
        </is>
      </c>
    </row>
    <row r="1013">
      <c r="A1013" s="31" t="inlineStr">
        <is>
          <t>TTD</t>
        </is>
      </c>
      <c r="B1013" s="32" t="inlineStr">
        <is>
          <t>S&amp;P 100 / US</t>
        </is>
      </c>
    </row>
    <row r="1014">
      <c r="A1014" s="31" t="inlineStr">
        <is>
          <t>TTE</t>
        </is>
      </c>
      <c r="B1014" s="32" t="inlineStr">
        <is>
          <t>International (ADR)</t>
        </is>
      </c>
    </row>
    <row r="1015">
      <c r="A1015" s="31" t="inlineStr">
        <is>
          <t>TTMI</t>
        </is>
      </c>
      <c r="B1015" s="32" t="inlineStr">
        <is>
          <t>S&amp;P 100 / US</t>
        </is>
      </c>
    </row>
    <row r="1016">
      <c r="A1016" s="31" t="inlineStr">
        <is>
          <t>TTWO</t>
        </is>
      </c>
      <c r="B1016" s="32" t="inlineStr">
        <is>
          <t>S&amp;P 100 / US</t>
        </is>
      </c>
    </row>
    <row r="1017">
      <c r="A1017" s="31" t="inlineStr">
        <is>
          <t>TU</t>
        </is>
      </c>
      <c r="B1017" s="32" t="inlineStr">
        <is>
          <t>S&amp;P 100 / US</t>
        </is>
      </c>
    </row>
    <row r="1018">
      <c r="A1018" s="31" t="inlineStr">
        <is>
          <t>TV</t>
        </is>
      </c>
      <c r="B1018" s="32" t="inlineStr">
        <is>
          <t>S&amp;P 100 / US</t>
        </is>
      </c>
    </row>
    <row r="1019">
      <c r="A1019" s="31" t="inlineStr">
        <is>
          <t>TWLO</t>
        </is>
      </c>
      <c r="B1019" s="32" t="inlineStr">
        <is>
          <t>S&amp;P 100 / US</t>
        </is>
      </c>
    </row>
    <row r="1020">
      <c r="A1020" s="31" t="inlineStr">
        <is>
          <t>TXN</t>
        </is>
      </c>
      <c r="B1020" s="32" t="inlineStr">
        <is>
          <t>S&amp;P 100 / US</t>
        </is>
      </c>
    </row>
    <row r="1021">
      <c r="A1021" s="31" t="inlineStr">
        <is>
          <t>TXRH</t>
        </is>
      </c>
      <c r="B1021" s="32" t="inlineStr">
        <is>
          <t>S&amp;P 100 / US</t>
        </is>
      </c>
    </row>
    <row r="1022">
      <c r="A1022" s="31" t="inlineStr">
        <is>
          <t>TYL</t>
        </is>
      </c>
      <c r="B1022" s="32" t="inlineStr">
        <is>
          <t>S&amp;P 100 / US</t>
        </is>
      </c>
    </row>
    <row r="1023">
      <c r="A1023" s="31" t="inlineStr">
        <is>
          <t>U</t>
        </is>
      </c>
      <c r="B1023" s="32" t="inlineStr">
        <is>
          <t>S&amp;P 100 / US</t>
        </is>
      </c>
    </row>
    <row r="1024">
      <c r="A1024" s="31" t="inlineStr">
        <is>
          <t>UAA</t>
        </is>
      </c>
      <c r="B1024" s="32" t="inlineStr">
        <is>
          <t>S&amp;P 100 / US</t>
        </is>
      </c>
    </row>
    <row r="1025">
      <c r="A1025" s="31" t="inlineStr">
        <is>
          <t>UAL</t>
        </is>
      </c>
      <c r="B1025" s="32" t="inlineStr">
        <is>
          <t>S&amp;P 100 / US</t>
        </is>
      </c>
    </row>
    <row r="1026">
      <c r="A1026" s="31" t="inlineStr">
        <is>
          <t>UBER</t>
        </is>
      </c>
      <c r="B1026" s="32" t="inlineStr">
        <is>
          <t>S&amp;P 100 / US</t>
        </is>
      </c>
    </row>
    <row r="1027">
      <c r="A1027" s="31" t="inlineStr">
        <is>
          <t>UBS</t>
        </is>
      </c>
      <c r="B1027" s="32" t="inlineStr">
        <is>
          <t>S&amp;P 100 / US</t>
        </is>
      </c>
    </row>
    <row r="1028">
      <c r="A1028" s="31" t="inlineStr">
        <is>
          <t>UEC</t>
        </is>
      </c>
      <c r="B1028" s="32" t="inlineStr">
        <is>
          <t>S&amp;P 100 / US</t>
        </is>
      </c>
    </row>
    <row r="1029">
      <c r="A1029" s="31" t="inlineStr">
        <is>
          <t>UGI</t>
        </is>
      </c>
      <c r="B1029" s="32" t="inlineStr">
        <is>
          <t>S&amp;P 100 / US</t>
        </is>
      </c>
    </row>
    <row r="1030">
      <c r="A1030" s="31" t="inlineStr">
        <is>
          <t>UI</t>
        </is>
      </c>
      <c r="B1030" s="32" t="inlineStr">
        <is>
          <t>S&amp;P 100 / US</t>
        </is>
      </c>
    </row>
    <row r="1031">
      <c r="A1031" s="31" t="inlineStr">
        <is>
          <t>UL</t>
        </is>
      </c>
      <c r="B1031" s="32" t="inlineStr">
        <is>
          <t>International (ADR)</t>
        </is>
      </c>
    </row>
    <row r="1032">
      <c r="A1032" s="31" t="inlineStr">
        <is>
          <t>ULCC</t>
        </is>
      </c>
      <c r="B1032" s="32" t="inlineStr">
        <is>
          <t>S&amp;P 100 / US</t>
        </is>
      </c>
    </row>
    <row r="1033">
      <c r="A1033" s="31" t="inlineStr">
        <is>
          <t>ULTA</t>
        </is>
      </c>
      <c r="B1033" s="32" t="inlineStr">
        <is>
          <t>S&amp;P 100 / US</t>
        </is>
      </c>
    </row>
    <row r="1034">
      <c r="A1034" s="31" t="inlineStr">
        <is>
          <t>UNH</t>
        </is>
      </c>
      <c r="B1034" s="32" t="inlineStr">
        <is>
          <t>S&amp;P 100 / US</t>
        </is>
      </c>
    </row>
    <row r="1035">
      <c r="A1035" s="31" t="inlineStr">
        <is>
          <t>UNM</t>
        </is>
      </c>
      <c r="B1035" s="32" t="inlineStr">
        <is>
          <t>S&amp;P 100 / US</t>
        </is>
      </c>
    </row>
    <row r="1036">
      <c r="A1036" s="31" t="inlineStr">
        <is>
          <t>UNP</t>
        </is>
      </c>
      <c r="B1036" s="32" t="inlineStr">
        <is>
          <t>S&amp;P 100 / US</t>
        </is>
      </c>
    </row>
    <row r="1037">
      <c r="A1037" s="31" t="inlineStr">
        <is>
          <t>UPS</t>
        </is>
      </c>
      <c r="B1037" s="32" t="inlineStr">
        <is>
          <t>S&amp;P 100 / US</t>
        </is>
      </c>
    </row>
    <row r="1038">
      <c r="A1038" s="31" t="inlineStr">
        <is>
          <t>UPST</t>
        </is>
      </c>
      <c r="B1038" s="32" t="inlineStr">
        <is>
          <t>S&amp;P 100 / US</t>
        </is>
      </c>
    </row>
    <row r="1039">
      <c r="A1039" s="31" t="inlineStr">
        <is>
          <t>UPWK</t>
        </is>
      </c>
      <c r="B1039" s="32" t="inlineStr">
        <is>
          <t>S&amp;P 100 / US</t>
        </is>
      </c>
    </row>
    <row r="1040">
      <c r="A1040" s="31" t="inlineStr">
        <is>
          <t>URBN</t>
        </is>
      </c>
      <c r="B1040" s="32" t="inlineStr">
        <is>
          <t>S&amp;P 100 / US</t>
        </is>
      </c>
    </row>
    <row r="1041">
      <c r="A1041" s="31" t="inlineStr">
        <is>
          <t>USAR</t>
        </is>
      </c>
      <c r="B1041" s="32" t="inlineStr">
        <is>
          <t>S&amp;P 100 / US</t>
        </is>
      </c>
    </row>
    <row r="1042">
      <c r="A1042" s="31" t="inlineStr">
        <is>
          <t>USB</t>
        </is>
      </c>
      <c r="B1042" s="32" t="inlineStr">
        <is>
          <t>S&amp;P 100 / US</t>
        </is>
      </c>
    </row>
    <row r="1043">
      <c r="A1043" s="31" t="inlineStr">
        <is>
          <t>UTHR</t>
        </is>
      </c>
      <c r="B1043" s="32" t="inlineStr">
        <is>
          <t>S&amp;P 100 / US</t>
        </is>
      </c>
    </row>
    <row r="1044">
      <c r="A1044" s="31" t="inlineStr">
        <is>
          <t>UUUU</t>
        </is>
      </c>
      <c r="B1044" s="32" t="inlineStr">
        <is>
          <t>S&amp;P 100 / US</t>
        </is>
      </c>
    </row>
    <row r="1045">
      <c r="A1045" s="31" t="inlineStr">
        <is>
          <t>V</t>
        </is>
      </c>
      <c r="B1045" s="32" t="inlineStr">
        <is>
          <t>S&amp;P 100 / US</t>
        </is>
      </c>
    </row>
    <row r="1046">
      <c r="A1046" s="31" t="inlineStr">
        <is>
          <t>VAC</t>
        </is>
      </c>
      <c r="B1046" s="32" t="inlineStr">
        <is>
          <t>S&amp;P 100 / US</t>
        </is>
      </c>
    </row>
    <row r="1047">
      <c r="A1047" s="31" t="inlineStr">
        <is>
          <t>VAL</t>
        </is>
      </c>
      <c r="B1047" s="32" t="inlineStr">
        <is>
          <t>S&amp;P 100 / US</t>
        </is>
      </c>
    </row>
    <row r="1048">
      <c r="A1048" s="31" t="inlineStr">
        <is>
          <t>VALE</t>
        </is>
      </c>
      <c r="B1048" s="32" t="inlineStr">
        <is>
          <t>S&amp;P 100 / US</t>
        </is>
      </c>
    </row>
    <row r="1049">
      <c r="A1049" s="31" t="inlineStr">
        <is>
          <t>VEEV</t>
        </is>
      </c>
      <c r="B1049" s="32" t="inlineStr">
        <is>
          <t>S&amp;P 100 / US</t>
        </is>
      </c>
    </row>
    <row r="1050">
      <c r="A1050" s="31" t="inlineStr">
        <is>
          <t>VEON</t>
        </is>
      </c>
      <c r="B1050" s="32" t="inlineStr">
        <is>
          <t>S&amp;P 100 / US</t>
        </is>
      </c>
    </row>
    <row r="1051">
      <c r="A1051" s="31" t="inlineStr">
        <is>
          <t>VERX</t>
        </is>
      </c>
      <c r="B1051" s="32" t="inlineStr">
        <is>
          <t>S&amp;P 100 / US</t>
        </is>
      </c>
    </row>
    <row r="1052">
      <c r="A1052" s="31" t="inlineStr">
        <is>
          <t>VFC</t>
        </is>
      </c>
      <c r="B1052" s="32" t="inlineStr">
        <is>
          <t>S&amp;P 100 / US</t>
        </is>
      </c>
    </row>
    <row r="1053">
      <c r="A1053" s="31" t="inlineStr">
        <is>
          <t>VG</t>
        </is>
      </c>
      <c r="B1053" s="32" t="inlineStr">
        <is>
          <t>S&amp;P 100 / US</t>
        </is>
      </c>
    </row>
    <row r="1054">
      <c r="A1054" s="31" t="inlineStr">
        <is>
          <t>VIA</t>
        </is>
      </c>
      <c r="B1054" s="32" t="inlineStr">
        <is>
          <t>S&amp;P 100 / US</t>
        </is>
      </c>
    </row>
    <row r="1055">
      <c r="A1055" s="31" t="inlineStr">
        <is>
          <t>VICI</t>
        </is>
      </c>
      <c r="B1055" s="32" t="inlineStr">
        <is>
          <t>S&amp;P 100 / US</t>
        </is>
      </c>
    </row>
    <row r="1056">
      <c r="A1056" s="31" t="inlineStr">
        <is>
          <t>VICR</t>
        </is>
      </c>
      <c r="B1056" s="32" t="inlineStr">
        <is>
          <t>S&amp;P 100 / US</t>
        </is>
      </c>
    </row>
    <row r="1057">
      <c r="A1057" s="31" t="inlineStr">
        <is>
          <t>VIST</t>
        </is>
      </c>
      <c r="B1057" s="32" t="inlineStr">
        <is>
          <t>S&amp;P 100 / US</t>
        </is>
      </c>
    </row>
    <row r="1058">
      <c r="A1058" s="31" t="inlineStr">
        <is>
          <t>VIV</t>
        </is>
      </c>
      <c r="B1058" s="32" t="inlineStr">
        <is>
          <t>S&amp;P 100 / US</t>
        </is>
      </c>
    </row>
    <row r="1059">
      <c r="A1059" s="31" t="inlineStr">
        <is>
          <t>VKTX</t>
        </is>
      </c>
      <c r="B1059" s="32" t="inlineStr">
        <is>
          <t>S&amp;P 100 / US</t>
        </is>
      </c>
    </row>
    <row r="1060">
      <c r="A1060" s="31" t="inlineStr">
        <is>
          <t>VLO</t>
        </is>
      </c>
      <c r="B1060" s="32" t="inlineStr">
        <is>
          <t>S&amp;P 100 / US</t>
        </is>
      </c>
    </row>
    <row r="1061">
      <c r="A1061" s="31" t="inlineStr">
        <is>
          <t>VLRS</t>
        </is>
      </c>
      <c r="B1061" s="32" t="inlineStr">
        <is>
          <t>S&amp;P 100 / US</t>
        </is>
      </c>
    </row>
    <row r="1062">
      <c r="A1062" s="31" t="inlineStr">
        <is>
          <t>VNOM</t>
        </is>
      </c>
      <c r="B1062" s="32" t="inlineStr">
        <is>
          <t>S&amp;P 100 / US</t>
        </is>
      </c>
    </row>
    <row r="1063">
      <c r="A1063" s="31" t="inlineStr">
        <is>
          <t>VOD</t>
        </is>
      </c>
      <c r="B1063" s="32" t="inlineStr">
        <is>
          <t>S&amp;P 100 / US</t>
        </is>
      </c>
    </row>
    <row r="1064">
      <c r="A1064" s="31" t="inlineStr">
        <is>
          <t>VRNS</t>
        </is>
      </c>
      <c r="B1064" s="32" t="inlineStr">
        <is>
          <t>S&amp;P 100 / US</t>
        </is>
      </c>
    </row>
    <row r="1065">
      <c r="A1065" s="31" t="inlineStr">
        <is>
          <t>VRSN</t>
        </is>
      </c>
      <c r="B1065" s="32" t="inlineStr">
        <is>
          <t>S&amp;P 100 / US</t>
        </is>
      </c>
    </row>
    <row r="1066">
      <c r="A1066" s="31" t="inlineStr">
        <is>
          <t>VRT</t>
        </is>
      </c>
      <c r="B1066" s="32" t="inlineStr">
        <is>
          <t>S&amp;P 100 / US</t>
        </is>
      </c>
    </row>
    <row r="1067">
      <c r="A1067" s="31" t="inlineStr">
        <is>
          <t>VRTX</t>
        </is>
      </c>
      <c r="B1067" s="32" t="inlineStr">
        <is>
          <t>S&amp;P 100 / US</t>
        </is>
      </c>
    </row>
    <row r="1068">
      <c r="A1068" s="31" t="inlineStr">
        <is>
          <t>VST</t>
        </is>
      </c>
      <c r="B1068" s="32" t="inlineStr">
        <is>
          <t>S&amp;P 100 / US</t>
        </is>
      </c>
    </row>
    <row r="1069">
      <c r="A1069" s="31" t="inlineStr">
        <is>
          <t>VTRS</t>
        </is>
      </c>
      <c r="B1069" s="32" t="inlineStr">
        <is>
          <t>S&amp;P 100 / US</t>
        </is>
      </c>
    </row>
    <row r="1070">
      <c r="A1070" s="31" t="inlineStr">
        <is>
          <t>VWAGY</t>
        </is>
      </c>
      <c r="B1070" s="32" t="inlineStr">
        <is>
          <t>S&amp;P 100 / US</t>
        </is>
      </c>
    </row>
    <row r="1071">
      <c r="A1071" s="31" t="inlineStr">
        <is>
          <t>VZ</t>
        </is>
      </c>
      <c r="B1071" s="32" t="inlineStr">
        <is>
          <t>S&amp;P 100 / US</t>
        </is>
      </c>
    </row>
    <row r="1072">
      <c r="A1072" s="31" t="inlineStr">
        <is>
          <t>W</t>
        </is>
      </c>
      <c r="B1072" s="32" t="inlineStr">
        <is>
          <t>S&amp;P 100 / US</t>
        </is>
      </c>
    </row>
    <row r="1073">
      <c r="A1073" s="31" t="inlineStr">
        <is>
          <t>WAB</t>
        </is>
      </c>
      <c r="B1073" s="32" t="inlineStr">
        <is>
          <t>S&amp;P 100 / US</t>
        </is>
      </c>
    </row>
    <row r="1074">
      <c r="A1074" s="31" t="inlineStr">
        <is>
          <t>WAT</t>
        </is>
      </c>
      <c r="B1074" s="32" t="inlineStr">
        <is>
          <t>S&amp;P 100 / US</t>
        </is>
      </c>
    </row>
    <row r="1075">
      <c r="A1075" s="31" t="inlineStr">
        <is>
          <t>WBD</t>
        </is>
      </c>
      <c r="B1075" s="32" t="inlineStr">
        <is>
          <t>S&amp;P 100 / US</t>
        </is>
      </c>
    </row>
    <row r="1076">
      <c r="A1076" s="31" t="inlineStr">
        <is>
          <t>WCN</t>
        </is>
      </c>
      <c r="B1076" s="32" t="inlineStr">
        <is>
          <t>S&amp;P 100 / US</t>
        </is>
      </c>
    </row>
    <row r="1077">
      <c r="A1077" s="31" t="inlineStr">
        <is>
          <t>WDAY</t>
        </is>
      </c>
      <c r="B1077" s="32" t="inlineStr">
        <is>
          <t>S&amp;P 100 / US</t>
        </is>
      </c>
    </row>
    <row r="1078">
      <c r="A1078" s="31" t="inlineStr">
        <is>
          <t>WDC</t>
        </is>
      </c>
      <c r="B1078" s="32" t="inlineStr">
        <is>
          <t>S&amp;P 100 / US</t>
        </is>
      </c>
    </row>
    <row r="1079">
      <c r="A1079" s="31" t="inlineStr">
        <is>
          <t>WELL</t>
        </is>
      </c>
      <c r="B1079" s="32" t="inlineStr">
        <is>
          <t>S&amp;P 100 / US</t>
        </is>
      </c>
    </row>
    <row r="1080">
      <c r="A1080" s="31" t="inlineStr">
        <is>
          <t>WEN</t>
        </is>
      </c>
      <c r="B1080" s="32" t="inlineStr">
        <is>
          <t>S&amp;P 100 / US</t>
        </is>
      </c>
    </row>
    <row r="1081">
      <c r="A1081" s="31" t="inlineStr">
        <is>
          <t>WES</t>
        </is>
      </c>
      <c r="B1081" s="32" t="inlineStr">
        <is>
          <t>S&amp;P 100 / US</t>
        </is>
      </c>
    </row>
    <row r="1082">
      <c r="A1082" s="31" t="inlineStr">
        <is>
          <t>WFC</t>
        </is>
      </c>
      <c r="B1082" s="32" t="inlineStr">
        <is>
          <t>S&amp;P 100 / US</t>
        </is>
      </c>
    </row>
    <row r="1083">
      <c r="A1083" s="31" t="inlineStr">
        <is>
          <t>WFRD</t>
        </is>
      </c>
      <c r="B1083" s="32" t="inlineStr">
        <is>
          <t>S&amp;P 100 / US</t>
        </is>
      </c>
    </row>
    <row r="1084">
      <c r="A1084" s="31" t="inlineStr">
        <is>
          <t>WHD</t>
        </is>
      </c>
      <c r="B1084" s="32" t="inlineStr">
        <is>
          <t>S&amp;P 100 / US</t>
        </is>
      </c>
    </row>
    <row r="1085">
      <c r="A1085" s="31" t="inlineStr">
        <is>
          <t>WING</t>
        </is>
      </c>
      <c r="B1085" s="32" t="inlineStr">
        <is>
          <t>S&amp;P 100 / US</t>
        </is>
      </c>
    </row>
    <row r="1086">
      <c r="A1086" s="31" t="inlineStr">
        <is>
          <t>WIT</t>
        </is>
      </c>
      <c r="B1086" s="32" t="inlineStr">
        <is>
          <t>S&amp;P 100 / US</t>
        </is>
      </c>
    </row>
    <row r="1087">
      <c r="A1087" s="31" t="inlineStr">
        <is>
          <t>WIX</t>
        </is>
      </c>
      <c r="B1087" s="32" t="inlineStr">
        <is>
          <t>S&amp;P 100 / US</t>
        </is>
      </c>
    </row>
    <row r="1088">
      <c r="A1088" s="31" t="inlineStr">
        <is>
          <t>WM</t>
        </is>
      </c>
      <c r="B1088" s="32" t="inlineStr">
        <is>
          <t>S&amp;P 100 / US</t>
        </is>
      </c>
    </row>
    <row r="1089">
      <c r="A1089" s="31" t="inlineStr">
        <is>
          <t>WMB</t>
        </is>
      </c>
      <c r="B1089" s="32" t="inlineStr">
        <is>
          <t>S&amp;P 100 / US</t>
        </is>
      </c>
    </row>
    <row r="1090">
      <c r="A1090" s="31" t="inlineStr">
        <is>
          <t>WMG</t>
        </is>
      </c>
      <c r="B1090" s="32" t="inlineStr">
        <is>
          <t>S&amp;P 100 / US</t>
        </is>
      </c>
    </row>
    <row r="1091">
      <c r="A1091" s="31" t="inlineStr">
        <is>
          <t>WMT</t>
        </is>
      </c>
      <c r="B1091" s="32" t="inlineStr">
        <is>
          <t>S&amp;P 100 / US</t>
        </is>
      </c>
    </row>
    <row r="1092">
      <c r="A1092" s="31" t="inlineStr">
        <is>
          <t>WPM</t>
        </is>
      </c>
      <c r="B1092" s="32" t="inlineStr">
        <is>
          <t>S&amp;P 100 / US</t>
        </is>
      </c>
    </row>
    <row r="1093">
      <c r="A1093" s="31" t="inlineStr">
        <is>
          <t>WRB</t>
        </is>
      </c>
      <c r="B1093" s="32" t="inlineStr">
        <is>
          <t>S&amp;P 100 / US</t>
        </is>
      </c>
    </row>
    <row r="1094">
      <c r="A1094" s="31" t="inlineStr">
        <is>
          <t>WRBY</t>
        </is>
      </c>
      <c r="B1094" s="32" t="inlineStr">
        <is>
          <t>S&amp;P 100 / US</t>
        </is>
      </c>
    </row>
    <row r="1095">
      <c r="A1095" s="31" t="inlineStr">
        <is>
          <t>WSC</t>
        </is>
      </c>
      <c r="B1095" s="32" t="inlineStr">
        <is>
          <t>S&amp;P 100 / US</t>
        </is>
      </c>
    </row>
    <row r="1096">
      <c r="A1096" s="31" t="inlineStr">
        <is>
          <t>WSM</t>
        </is>
      </c>
      <c r="B1096" s="32" t="inlineStr">
        <is>
          <t>S&amp;P 100 / US</t>
        </is>
      </c>
    </row>
    <row r="1097">
      <c r="A1097" s="31" t="inlineStr">
        <is>
          <t>WST</t>
        </is>
      </c>
      <c r="B1097" s="32" t="inlineStr">
        <is>
          <t>S&amp;P 100 / US</t>
        </is>
      </c>
    </row>
    <row r="1098">
      <c r="A1098" s="31" t="inlineStr">
        <is>
          <t>WTW</t>
        </is>
      </c>
      <c r="B1098" s="32" t="inlineStr">
        <is>
          <t>S&amp;P 100 / US</t>
        </is>
      </c>
    </row>
    <row r="1099">
      <c r="A1099" s="31" t="inlineStr">
        <is>
          <t>WULF</t>
        </is>
      </c>
      <c r="B1099" s="32" t="inlineStr">
        <is>
          <t>S&amp;P 100 / US</t>
        </is>
      </c>
    </row>
    <row r="1100">
      <c r="A1100" s="31" t="inlineStr">
        <is>
          <t>WWD</t>
        </is>
      </c>
      <c r="B1100" s="32" t="inlineStr">
        <is>
          <t>S&amp;P 100 / US</t>
        </is>
      </c>
    </row>
    <row r="1101">
      <c r="A1101" s="31" t="inlineStr">
        <is>
          <t>WWW</t>
        </is>
      </c>
      <c r="B1101" s="32" t="inlineStr">
        <is>
          <t>S&amp;P 100 / US</t>
        </is>
      </c>
    </row>
    <row r="1102">
      <c r="A1102" s="31" t="inlineStr">
        <is>
          <t>WYNN</t>
        </is>
      </c>
      <c r="B1102" s="32" t="inlineStr">
        <is>
          <t>S&amp;P 100 / US</t>
        </is>
      </c>
    </row>
    <row r="1103">
      <c r="A1103" s="31" t="inlineStr">
        <is>
          <t>XIACY</t>
        </is>
      </c>
      <c r="B1103" s="32" t="inlineStr">
        <is>
          <t>S&amp;P 100 / US</t>
        </is>
      </c>
    </row>
    <row r="1104">
      <c r="A1104" s="31" t="inlineStr">
        <is>
          <t>XMTR</t>
        </is>
      </c>
      <c r="B1104" s="32" t="inlineStr">
        <is>
          <t>S&amp;P 100 / US</t>
        </is>
      </c>
    </row>
    <row r="1105">
      <c r="A1105" s="31" t="inlineStr">
        <is>
          <t>XOM</t>
        </is>
      </c>
      <c r="B1105" s="32" t="inlineStr">
        <is>
          <t>S&amp;P 100 / US</t>
        </is>
      </c>
    </row>
    <row r="1106">
      <c r="A1106" s="31" t="inlineStr">
        <is>
          <t>XPEV</t>
        </is>
      </c>
      <c r="B1106" s="32" t="inlineStr">
        <is>
          <t>S&amp;P 100 / US</t>
        </is>
      </c>
    </row>
    <row r="1107">
      <c r="A1107" s="31" t="inlineStr">
        <is>
          <t>XPO</t>
        </is>
      </c>
      <c r="B1107" s="32" t="inlineStr">
        <is>
          <t>S&amp;P 100 / US</t>
        </is>
      </c>
    </row>
    <row r="1108">
      <c r="A1108" s="31" t="inlineStr">
        <is>
          <t>XYZ</t>
        </is>
      </c>
      <c r="B1108" s="32" t="inlineStr">
        <is>
          <t>S&amp;P 100 / US</t>
        </is>
      </c>
    </row>
    <row r="1109">
      <c r="A1109" s="31" t="inlineStr">
        <is>
          <t>YETI</t>
        </is>
      </c>
      <c r="B1109" s="32" t="inlineStr">
        <is>
          <t>S&amp;P 100 / US</t>
        </is>
      </c>
    </row>
    <row r="1110">
      <c r="A1110" s="31" t="inlineStr">
        <is>
          <t>YOU</t>
        </is>
      </c>
      <c r="B1110" s="32" t="inlineStr">
        <is>
          <t>S&amp;P 100 / US</t>
        </is>
      </c>
    </row>
    <row r="1111">
      <c r="A1111" s="31" t="inlineStr">
        <is>
          <t>YPF</t>
        </is>
      </c>
      <c r="B1111" s="32" t="inlineStr">
        <is>
          <t>S&amp;P 100 / US</t>
        </is>
      </c>
    </row>
    <row r="1112">
      <c r="A1112" s="31" t="inlineStr">
        <is>
          <t>YUM</t>
        </is>
      </c>
      <c r="B1112" s="32" t="inlineStr">
        <is>
          <t>S&amp;P 100 / US</t>
        </is>
      </c>
    </row>
    <row r="1113">
      <c r="A1113" s="31" t="inlineStr">
        <is>
          <t>YUMC</t>
        </is>
      </c>
      <c r="B1113" s="32" t="inlineStr">
        <is>
          <t>S&amp;P 100 / US</t>
        </is>
      </c>
    </row>
    <row r="1114">
      <c r="A1114" s="31" t="inlineStr">
        <is>
          <t>Z</t>
        </is>
      </c>
      <c r="B1114" s="32" t="inlineStr">
        <is>
          <t>S&amp;P 100 / US</t>
        </is>
      </c>
    </row>
    <row r="1115">
      <c r="A1115" s="31" t="inlineStr">
        <is>
          <t>ZBH</t>
        </is>
      </c>
      <c r="B1115" s="32" t="inlineStr">
        <is>
          <t>S&amp;P 100 / US</t>
        </is>
      </c>
    </row>
    <row r="1116">
      <c r="A1116" s="31" t="inlineStr">
        <is>
          <t>ZBRA</t>
        </is>
      </c>
      <c r="B1116" s="32" t="inlineStr">
        <is>
          <t>S&amp;P 100 / US</t>
        </is>
      </c>
    </row>
    <row r="1117">
      <c r="A1117" s="31" t="inlineStr">
        <is>
          <t>ZETA</t>
        </is>
      </c>
      <c r="B1117" s="32" t="inlineStr">
        <is>
          <t>S&amp;P 100 / US</t>
        </is>
      </c>
    </row>
    <row r="1118">
      <c r="A1118" s="31" t="inlineStr">
        <is>
          <t>ZG</t>
        </is>
      </c>
      <c r="B1118" s="32" t="inlineStr">
        <is>
          <t>S&amp;P 100 / US</t>
        </is>
      </c>
    </row>
    <row r="1119">
      <c r="A1119" s="31" t="inlineStr">
        <is>
          <t>ZIM</t>
        </is>
      </c>
      <c r="B1119" s="32" t="inlineStr">
        <is>
          <t>S&amp;P 100 / US</t>
        </is>
      </c>
    </row>
    <row r="1120">
      <c r="A1120" s="31" t="inlineStr">
        <is>
          <t>ZM</t>
        </is>
      </c>
      <c r="B1120" s="32" t="inlineStr">
        <is>
          <t>S&amp;P 100 / US</t>
        </is>
      </c>
    </row>
    <row r="1121">
      <c r="A1121" s="31" t="inlineStr">
        <is>
          <t>ZS</t>
        </is>
      </c>
      <c r="B1121" s="32" t="inlineStr">
        <is>
          <t>S&amp;P 100 / 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2026-10-28T01:36:59Z</dcterms:created>
  <dcterms:modified xmlns:dcterms="http://purl.org/dc/terms/" xmlns:xsi="http://www.w3.org/2001/XMLSchema-instance" xsi:type="dcterms:W3CDTF">2026-10-28T01:36:59Z</dcterms:modified>
</cp:coreProperties>
</file>